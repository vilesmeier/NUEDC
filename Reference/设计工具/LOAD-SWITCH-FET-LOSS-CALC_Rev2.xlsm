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0274248\TI Drive\FET\Tools\Load Switch\slpc019\"/>
    </mc:Choice>
  </mc:AlternateContent>
  <xr:revisionPtr revIDLastSave="0" documentId="13_ncr:1_{278765E5-BA51-4443-BBAB-64E54C48C856}" xr6:coauthVersionLast="36" xr6:coauthVersionMax="36" xr10:uidLastSave="{00000000-0000-0000-0000-000000000000}"/>
  <workbookProtection workbookAlgorithmName="SHA-512" workbookHashValue="Hx/CVbp86QJfp3lGePIHB84hsQ/ppmDAv3s865iHA95sHoicUGNVhidnAQBpTgAAHPsjfTuCzFOHUpGvm+auJQ==" workbookSaltValue="wwHfuhGu/vwgjfDwnrW1eA==" workbookSpinCount="100000" lockStructure="1"/>
  <bookViews>
    <workbookView xWindow="-15" yWindow="-15" windowWidth="9690" windowHeight="6930" tabRatio="655" xr2:uid="{00000000-000D-0000-FFFF-FFFF00000000}"/>
  </bookViews>
  <sheets>
    <sheet name="Intro" sheetId="13" r:id="rId1"/>
    <sheet name="User Input" sheetId="1" r:id="rId2"/>
    <sheet name="Circuit Diagrams" sheetId="27" r:id="rId3"/>
    <sheet name="Calculations" sheetId="4" state="hidden" r:id="rId4"/>
    <sheet name="NFET Data" sheetId="14" state="hidden" r:id="rId5"/>
    <sheet name="PFET Data" sheetId="24" state="hidden" r:id="rId6"/>
    <sheet name="NLogic" sheetId="15" state="hidden" r:id="rId7"/>
    <sheet name="PLogic" sheetId="25" state="hidden" r:id="rId8"/>
    <sheet name="Ploss_All_NFETs" sheetId="22" state="hidden" r:id="rId9"/>
    <sheet name="Ploss_All_PFETs" sheetId="26" state="hidden" r:id="rId10"/>
    <sheet name="FET_List1" sheetId="29" state="hidden" r:id="rId11"/>
    <sheet name="FET_List2" sheetId="30" state="hidden" r:id="rId12"/>
    <sheet name="FET_List3" sheetId="32" state="hidden" r:id="rId13"/>
  </sheets>
  <definedNames>
    <definedName name="_xlnm._FilterDatabase" localSheetId="6" hidden="1">NLogic!$A$2:$A$123</definedName>
    <definedName name="_xlnm._FilterDatabase" localSheetId="5" hidden="1">'PFET Data'!$A$1:$CB$26</definedName>
    <definedName name="_xlnm._FilterDatabase" localSheetId="7" hidden="1">PLogic!$A$2:$A$24</definedName>
    <definedName name="BVDSS">'User Input'!$E$7</definedName>
    <definedName name="BVDSS2">'User Input'!$F$7</definedName>
    <definedName name="BVDSS3">'User Input'!$G$7</definedName>
    <definedName name="CH">'User Input'!$B$4</definedName>
    <definedName name="G">Calculations!$B$15</definedName>
    <definedName name="Io">'User Input'!$B$8</definedName>
    <definedName name="k">Calculations!$B$13</definedName>
    <definedName name="m">Calculations!$B$12</definedName>
    <definedName name="Meg">Calculations!$B$14</definedName>
    <definedName name="n">Calculations!$B$10</definedName>
    <definedName name="p">Calculations!$B$9</definedName>
    <definedName name="Part_Number">'User Input'!$E$6</definedName>
    <definedName name="Part_Number2">'User Input'!$F$6</definedName>
    <definedName name="Part_Number3">'User Input'!$G$6</definedName>
    <definedName name="PCOND">Calculations!$D$3</definedName>
    <definedName name="PCOND2">Calculations!$D$4</definedName>
    <definedName name="PCOND3">Calculations!$D$5</definedName>
    <definedName name="PDmax1">Calculations!$G$3</definedName>
    <definedName name="PDmax2">Calculations!$G$4</definedName>
    <definedName name="PDmax3">Calculations!$G$5</definedName>
    <definedName name="Q_sw" localSheetId="11">Calculations!#REF!</definedName>
    <definedName name="Q_sw" localSheetId="12">Calculations!#REF!</definedName>
    <definedName name="Q_sw" localSheetId="7">Calculations!#REF!</definedName>
    <definedName name="Q_sw" localSheetId="9">Calculations!#REF!</definedName>
    <definedName name="Q_sw">Calculations!#REF!</definedName>
    <definedName name="Q_sw2" localSheetId="11">#REF!</definedName>
    <definedName name="Q_sw2" localSheetId="12">#REF!</definedName>
    <definedName name="Q_sw2" localSheetId="7">#REF!</definedName>
    <definedName name="Q_sw2" localSheetId="9">#REF!</definedName>
    <definedName name="Q_sw2">#REF!</definedName>
    <definedName name="Q_sw3" localSheetId="11">#REF!</definedName>
    <definedName name="Q_sw3" localSheetId="12">#REF!</definedName>
    <definedName name="Q_sw3" localSheetId="7">#REF!</definedName>
    <definedName name="Q_sw3" localSheetId="9">#REF!</definedName>
    <definedName name="Q_sw3">#REF!</definedName>
    <definedName name="Q1_Coss" localSheetId="11">'User Input'!#REF!</definedName>
    <definedName name="Q1_Coss" localSheetId="12">'User Input'!#REF!</definedName>
    <definedName name="Q1_Coss" localSheetId="7">'User Input'!#REF!</definedName>
    <definedName name="Q1_Coss" localSheetId="9">'User Input'!#REF!</definedName>
    <definedName name="Q1_Coss">'User Input'!#REF!</definedName>
    <definedName name="Q1_Coss2" localSheetId="11">'User Input'!#REF!</definedName>
    <definedName name="Q1_Coss2" localSheetId="12">'User Input'!#REF!</definedName>
    <definedName name="Q1_Coss2" localSheetId="7">'User Input'!#REF!</definedName>
    <definedName name="Q1_Coss2" localSheetId="9">'User Input'!#REF!</definedName>
    <definedName name="Q1_Coss2">'User Input'!#REF!</definedName>
    <definedName name="Q1_Coss3" localSheetId="11">'User Input'!#REF!</definedName>
    <definedName name="Q1_Coss3" localSheetId="12">'User Input'!#REF!</definedName>
    <definedName name="Q1_Coss3" localSheetId="7">'User Input'!#REF!</definedName>
    <definedName name="Q1_Coss3" localSheetId="9">'User Input'!#REF!</definedName>
    <definedName name="Q1_Coss3">'User Input'!#REF!</definedName>
    <definedName name="Q1_Qg">'User Input'!$E$14</definedName>
    <definedName name="Q1_Qg2">'User Input'!$F$14</definedName>
    <definedName name="Q1_Qg3">'User Input'!$G$14</definedName>
    <definedName name="Q1_Qgd">'User Input'!$E$15</definedName>
    <definedName name="Q1_Qgd2">'User Input'!$F$15</definedName>
    <definedName name="Q1_Qgd3">'User Input'!$G$15</definedName>
    <definedName name="Q1_Qoss" localSheetId="11">'User Input'!#REF!</definedName>
    <definedName name="Q1_Qoss" localSheetId="12">'User Input'!#REF!</definedName>
    <definedName name="Q1_Qoss" localSheetId="7">'User Input'!#REF!</definedName>
    <definedName name="Q1_Qoss" localSheetId="9">'User Input'!#REF!</definedName>
    <definedName name="Q1_Qoss">'User Input'!#REF!</definedName>
    <definedName name="Q1_Rdson">'User Input'!$E$12</definedName>
    <definedName name="Q1_Rdson2">'User Input'!$F$12</definedName>
    <definedName name="Q1_Rdson3">'User Input'!$G$12</definedName>
    <definedName name="Q1_Rg">'User Input'!$E$13</definedName>
    <definedName name="Q1_Rg2">'User Input'!$F$13</definedName>
    <definedName name="Q1_Rg3">'User Input'!$G$13</definedName>
    <definedName name="QGS_HS" localSheetId="11">'User Input'!#REF!</definedName>
    <definedName name="QGS_HS" localSheetId="12">'User Input'!#REF!</definedName>
    <definedName name="QGS_HS" localSheetId="7">'User Input'!#REF!</definedName>
    <definedName name="QGS_HS" localSheetId="9">'User Input'!#REF!</definedName>
    <definedName name="QGS_HS">'User Input'!#REF!</definedName>
    <definedName name="QGS_HS2" localSheetId="11">'User Input'!#REF!</definedName>
    <definedName name="QGS_HS2" localSheetId="12">'User Input'!#REF!</definedName>
    <definedName name="QGS_HS2" localSheetId="7">'User Input'!#REF!</definedName>
    <definedName name="QGS_HS2" localSheetId="9">'User Input'!#REF!</definedName>
    <definedName name="QGS_HS2">'User Input'!#REF!</definedName>
    <definedName name="QGS_HS3" localSheetId="11">'User Input'!#REF!</definedName>
    <definedName name="QGS_HS3" localSheetId="12">'User Input'!#REF!</definedName>
    <definedName name="QGS_HS3" localSheetId="7">'User Input'!#REF!</definedName>
    <definedName name="QGS_HS3" localSheetId="9">'User Input'!#REF!</definedName>
    <definedName name="QGS_HS3">'User Input'!#REF!</definedName>
    <definedName name="QGTH" localSheetId="11">'User Input'!#REF!</definedName>
    <definedName name="QGTH" localSheetId="12">'User Input'!#REF!</definedName>
    <definedName name="QGTH" localSheetId="7">'User Input'!#REF!</definedName>
    <definedName name="QGTH" localSheetId="9">'User Input'!#REF!</definedName>
    <definedName name="QGTH">'User Input'!#REF!</definedName>
    <definedName name="QGTH2" localSheetId="11">'User Input'!#REF!</definedName>
    <definedName name="QGTH2" localSheetId="12">'User Input'!#REF!</definedName>
    <definedName name="QGTH2" localSheetId="7">'User Input'!#REF!</definedName>
    <definedName name="QGTH2" localSheetId="9">'User Input'!#REF!</definedName>
    <definedName name="QGTH2">'User Input'!#REF!</definedName>
    <definedName name="QGTH3" localSheetId="11">'User Input'!#REF!</definedName>
    <definedName name="QGTH3" localSheetId="12">'User Input'!#REF!</definedName>
    <definedName name="QGTH3" localSheetId="7">'User Input'!#REF!</definedName>
    <definedName name="QGTH3" localSheetId="9">'User Input'!#REF!</definedName>
    <definedName name="QGTH3">'User Input'!#REF!</definedName>
    <definedName name="RDSON">NLogic!$AC$7</definedName>
    <definedName name="RDSON2">NLogic!$AC$15</definedName>
    <definedName name="RDSON3">NLogic!$AC$23</definedName>
    <definedName name="RDSONP">PLogic!$S$7</definedName>
    <definedName name="RDSONP2">PLogic!$S$15</definedName>
    <definedName name="RDSONP3">PLogic!$S$23</definedName>
    <definedName name="RDSONTJ">Calculations!$C$3</definedName>
    <definedName name="RDSONTJ2">Calculations!$C$4</definedName>
    <definedName name="RDSONTJ3">Calculations!$C$5</definedName>
    <definedName name="rr" localSheetId="11">Calculations!#REF!</definedName>
    <definedName name="rr" localSheetId="12">Calculations!#REF!</definedName>
    <definedName name="rr" localSheetId="7">Calculations!#REF!</definedName>
    <definedName name="rr" localSheetId="9">Calculations!#REF!</definedName>
    <definedName name="rr">Calculations!#REF!</definedName>
    <definedName name="SW_TYPE">'User Input'!$B$5</definedName>
    <definedName name="Tj">'User Input'!$B$9</definedName>
    <definedName name="u">Calculations!$B$11</definedName>
    <definedName name="VFD" localSheetId="11">'User Input'!#REF!</definedName>
    <definedName name="VFD" localSheetId="12">'User Input'!#REF!</definedName>
    <definedName name="VFD" localSheetId="7">'User Input'!#REF!</definedName>
    <definedName name="VFD" localSheetId="9">'User Input'!#REF!</definedName>
    <definedName name="VFD">'User Input'!#REF!</definedName>
    <definedName name="VG">'User Input'!$B$7</definedName>
    <definedName name="VGS_DR">Calculations!$B$7</definedName>
    <definedName name="VGS_max">'User Input'!$E$8</definedName>
    <definedName name="VGS_max2">'User Input'!$F$8</definedName>
    <definedName name="VGS_max3">'User Input'!$G$8</definedName>
    <definedName name="VGTH" localSheetId="11">Calculations!#REF!</definedName>
    <definedName name="VGTH" localSheetId="12">Calculations!#REF!</definedName>
    <definedName name="VGTH" localSheetId="7">Calculations!#REF!</definedName>
    <definedName name="VGTH" localSheetId="9">Calculations!#REF!</definedName>
    <definedName name="VGTH">Calculations!#REF!</definedName>
    <definedName name="VGTH2" localSheetId="11">#REF!</definedName>
    <definedName name="VGTH2" localSheetId="12">#REF!</definedName>
    <definedName name="VGTH2" localSheetId="7">#REF!</definedName>
    <definedName name="VGTH2" localSheetId="9">#REF!</definedName>
    <definedName name="VGTH2">#REF!</definedName>
    <definedName name="VGTH3" localSheetId="11">#REF!</definedName>
    <definedName name="VGTH3" localSheetId="12">#REF!</definedName>
    <definedName name="VGTH3" localSheetId="7">#REF!</definedName>
    <definedName name="VGTH3" localSheetId="9">#REF!</definedName>
    <definedName name="VGTH3">#REF!</definedName>
    <definedName name="Vi">'User Input'!$B$6</definedName>
    <definedName name="VMILLER" localSheetId="11">'User Input'!#REF!</definedName>
    <definedName name="VMILLER" localSheetId="12">'User Input'!#REF!</definedName>
    <definedName name="VMILLER" localSheetId="7">'User Input'!#REF!</definedName>
    <definedName name="VMILLER" localSheetId="9">'User Input'!#REF!</definedName>
    <definedName name="VMILLER">'User Input'!#REF!</definedName>
    <definedName name="VMILLER2" localSheetId="11">'User Input'!#REF!</definedName>
    <definedName name="VMILLER2" localSheetId="12">'User Input'!#REF!</definedName>
    <definedName name="VMILLER2" localSheetId="7">'User Input'!#REF!</definedName>
    <definedName name="VMILLER2" localSheetId="9">'User Input'!#REF!</definedName>
    <definedName name="VMILLER2">'User Input'!#REF!</definedName>
    <definedName name="VMILLER3" localSheetId="11">'User Input'!#REF!</definedName>
    <definedName name="VMILLER3" localSheetId="12">'User Input'!#REF!</definedName>
    <definedName name="VMILLER3" localSheetId="7">'User Input'!#REF!</definedName>
    <definedName name="VMILLER3" localSheetId="9">'User Input'!#REF!</definedName>
    <definedName name="VMILLER3">'User Input'!#REF!</definedName>
    <definedName name="Vo" localSheetId="11">'User Input'!#REF!</definedName>
    <definedName name="Vo" localSheetId="12">'User Input'!#REF!</definedName>
    <definedName name="Vo" localSheetId="7">'User Input'!#REF!</definedName>
    <definedName name="Vo" localSheetId="9">'User Input'!#REF!</definedName>
    <definedName name="Vo">'User Input'!#REF!</definedName>
    <definedName name="VTHR">'User Input'!$E$10</definedName>
    <definedName name="VTHR_MAX">'User Input'!$E$11</definedName>
    <definedName name="VTHR_MAX2">'User Input'!$F$11</definedName>
    <definedName name="VTHR_MAX3">'User Input'!$G$11</definedName>
    <definedName name="VTHR2">'User Input'!$F$10</definedName>
    <definedName name="VTHR3">'User Input'!$G$10</definedName>
  </definedNames>
  <calcPr calcId="191029"/>
</workbook>
</file>

<file path=xl/calcChain.xml><?xml version="1.0" encoding="utf-8"?>
<calcChain xmlns="http://schemas.openxmlformats.org/spreadsheetml/2006/main">
  <c r="I5" i="4" l="1"/>
  <c r="H5" i="4"/>
  <c r="I4" i="4"/>
  <c r="H4" i="4"/>
  <c r="I3" i="4"/>
  <c r="H3" i="4"/>
  <c r="B3" i="4" l="1"/>
  <c r="B4" i="4"/>
  <c r="B5" i="4"/>
  <c r="E2" i="1"/>
  <c r="E5" i="4" l="1"/>
  <c r="F5" i="4"/>
  <c r="G5" i="4" s="1"/>
  <c r="E4" i="4"/>
  <c r="F4" i="4"/>
  <c r="G4" i="4" s="1"/>
  <c r="E3" i="4"/>
  <c r="F3" i="4"/>
  <c r="G3" i="4" s="1"/>
  <c r="A131" i="22"/>
  <c r="E131" i="22" s="1"/>
  <c r="A132" i="22"/>
  <c r="C132" i="22" s="1"/>
  <c r="A133" i="22"/>
  <c r="AB133" i="22" s="1"/>
  <c r="A134" i="22"/>
  <c r="E134" i="22" s="1"/>
  <c r="A135" i="22"/>
  <c r="G135" i="22" s="1"/>
  <c r="A136" i="22"/>
  <c r="E136" i="22" s="1"/>
  <c r="A137" i="22"/>
  <c r="AB137" i="22" s="1"/>
  <c r="A138" i="22"/>
  <c r="E138" i="22" s="1"/>
  <c r="A139" i="22"/>
  <c r="AB139" i="22" s="1"/>
  <c r="A140" i="22"/>
  <c r="E140" i="22" s="1"/>
  <c r="A141" i="22"/>
  <c r="G141" i="22" s="1"/>
  <c r="A142" i="22"/>
  <c r="F142" i="22" s="1"/>
  <c r="A143" i="22"/>
  <c r="G143" i="22" s="1"/>
  <c r="A144" i="22"/>
  <c r="C144" i="22" s="1"/>
  <c r="D3" i="15"/>
  <c r="E3" i="15"/>
  <c r="F3" i="15"/>
  <c r="G3" i="15"/>
  <c r="H3" i="15"/>
  <c r="D4" i="15"/>
  <c r="E4" i="15"/>
  <c r="F4" i="15"/>
  <c r="G4" i="15"/>
  <c r="H4" i="15"/>
  <c r="D5" i="15"/>
  <c r="E5" i="15"/>
  <c r="F5" i="15"/>
  <c r="G5" i="15"/>
  <c r="H5" i="15"/>
  <c r="D6" i="15"/>
  <c r="E6" i="15"/>
  <c r="F6" i="15"/>
  <c r="G6" i="15"/>
  <c r="H6" i="15"/>
  <c r="D7" i="15"/>
  <c r="E7" i="15"/>
  <c r="F7" i="15"/>
  <c r="G7" i="15"/>
  <c r="H7" i="15"/>
  <c r="D8" i="15"/>
  <c r="E8" i="15"/>
  <c r="F8" i="15"/>
  <c r="G8" i="15"/>
  <c r="H8" i="15"/>
  <c r="D9" i="15"/>
  <c r="E9" i="15"/>
  <c r="F9" i="15"/>
  <c r="G9" i="15"/>
  <c r="H9" i="15"/>
  <c r="D10" i="15"/>
  <c r="E10" i="15"/>
  <c r="F10" i="15"/>
  <c r="G10" i="15"/>
  <c r="H10" i="15"/>
  <c r="D11" i="15"/>
  <c r="E11" i="15"/>
  <c r="F11" i="15"/>
  <c r="G11" i="15"/>
  <c r="H11" i="15"/>
  <c r="D12" i="15"/>
  <c r="E12" i="15"/>
  <c r="F12" i="15"/>
  <c r="G12" i="15"/>
  <c r="H12" i="15"/>
  <c r="D13" i="15"/>
  <c r="E13" i="15"/>
  <c r="F13" i="15"/>
  <c r="G13" i="15"/>
  <c r="H13" i="15"/>
  <c r="D14" i="15"/>
  <c r="E14" i="15"/>
  <c r="F14" i="15"/>
  <c r="G14" i="15"/>
  <c r="H14" i="15"/>
  <c r="D15" i="15"/>
  <c r="E15" i="15"/>
  <c r="F15" i="15"/>
  <c r="G15" i="15"/>
  <c r="H15" i="15"/>
  <c r="D16" i="15"/>
  <c r="E16" i="15"/>
  <c r="F16" i="15"/>
  <c r="G16" i="15"/>
  <c r="H16" i="15"/>
  <c r="D17" i="15"/>
  <c r="E17" i="15"/>
  <c r="F17" i="15"/>
  <c r="G17" i="15"/>
  <c r="H17" i="15"/>
  <c r="D18" i="15"/>
  <c r="E18" i="15"/>
  <c r="F18" i="15"/>
  <c r="G18" i="15"/>
  <c r="H18" i="15"/>
  <c r="D19" i="15"/>
  <c r="E19" i="15"/>
  <c r="F19" i="15"/>
  <c r="G19" i="15"/>
  <c r="H19" i="15"/>
  <c r="D20" i="15"/>
  <c r="E20" i="15"/>
  <c r="F20" i="15"/>
  <c r="G20" i="15"/>
  <c r="H20" i="15"/>
  <c r="D21" i="15"/>
  <c r="E21" i="15"/>
  <c r="F21" i="15"/>
  <c r="G21" i="15"/>
  <c r="H21" i="15"/>
  <c r="D22" i="15"/>
  <c r="E22" i="15"/>
  <c r="F22" i="15"/>
  <c r="G22" i="15"/>
  <c r="H22" i="15"/>
  <c r="D23" i="15"/>
  <c r="E23" i="15"/>
  <c r="F23" i="15"/>
  <c r="G23" i="15"/>
  <c r="H23" i="15"/>
  <c r="D24" i="15"/>
  <c r="E24" i="15"/>
  <c r="F24" i="15"/>
  <c r="G24" i="15"/>
  <c r="H24" i="15"/>
  <c r="D25" i="15"/>
  <c r="E25" i="15"/>
  <c r="F25" i="15"/>
  <c r="G25" i="15"/>
  <c r="H25" i="15"/>
  <c r="D26" i="15"/>
  <c r="E26" i="15"/>
  <c r="F26" i="15"/>
  <c r="G26" i="15"/>
  <c r="H26" i="15"/>
  <c r="D27" i="15"/>
  <c r="E27" i="15"/>
  <c r="F27" i="15"/>
  <c r="G27" i="15"/>
  <c r="H27" i="15"/>
  <c r="D28" i="15"/>
  <c r="E28" i="15"/>
  <c r="F28" i="15"/>
  <c r="G28" i="15"/>
  <c r="H28" i="15"/>
  <c r="D29" i="15"/>
  <c r="E29" i="15"/>
  <c r="F29" i="15"/>
  <c r="G29" i="15"/>
  <c r="H29" i="15"/>
  <c r="D30" i="15"/>
  <c r="E30" i="15"/>
  <c r="F30" i="15"/>
  <c r="G30" i="15"/>
  <c r="H30" i="15"/>
  <c r="D31" i="15"/>
  <c r="E31" i="15"/>
  <c r="F31" i="15"/>
  <c r="G31" i="15"/>
  <c r="H31" i="15"/>
  <c r="D32" i="15"/>
  <c r="E32" i="15"/>
  <c r="F32" i="15"/>
  <c r="G32" i="15"/>
  <c r="H32" i="15"/>
  <c r="D33" i="15"/>
  <c r="E33" i="15"/>
  <c r="F33" i="15"/>
  <c r="G33" i="15"/>
  <c r="H33" i="15"/>
  <c r="D34" i="15"/>
  <c r="E34" i="15"/>
  <c r="F34" i="15"/>
  <c r="G34" i="15"/>
  <c r="H34" i="15"/>
  <c r="D35" i="15"/>
  <c r="E35" i="15"/>
  <c r="F35" i="15"/>
  <c r="G35" i="15"/>
  <c r="H35" i="15"/>
  <c r="D36" i="15"/>
  <c r="E36" i="15"/>
  <c r="F36" i="15"/>
  <c r="G36" i="15"/>
  <c r="H36" i="15"/>
  <c r="D37" i="15"/>
  <c r="E37" i="15"/>
  <c r="F37" i="15"/>
  <c r="G37" i="15"/>
  <c r="H37" i="15"/>
  <c r="D38" i="15"/>
  <c r="E38" i="15"/>
  <c r="F38" i="15"/>
  <c r="G38" i="15"/>
  <c r="H38" i="15"/>
  <c r="D39" i="15"/>
  <c r="E39" i="15"/>
  <c r="F39" i="15"/>
  <c r="G39" i="15"/>
  <c r="H39" i="15"/>
  <c r="D40" i="15"/>
  <c r="E40" i="15"/>
  <c r="F40" i="15"/>
  <c r="G40" i="15"/>
  <c r="H40" i="15"/>
  <c r="D41" i="15"/>
  <c r="E41" i="15"/>
  <c r="F41" i="15"/>
  <c r="G41" i="15"/>
  <c r="H41" i="15"/>
  <c r="D42" i="15"/>
  <c r="E42" i="15"/>
  <c r="F42" i="15"/>
  <c r="G42" i="15"/>
  <c r="H42" i="15"/>
  <c r="D43" i="15"/>
  <c r="E43" i="15"/>
  <c r="F43" i="15"/>
  <c r="G43" i="15"/>
  <c r="H43" i="15"/>
  <c r="D44" i="15"/>
  <c r="E44" i="15"/>
  <c r="F44" i="15"/>
  <c r="G44" i="15"/>
  <c r="H44" i="15"/>
  <c r="D45" i="15"/>
  <c r="E45" i="15"/>
  <c r="F45" i="15"/>
  <c r="G45" i="15"/>
  <c r="H45" i="15"/>
  <c r="D46" i="15"/>
  <c r="E46" i="15"/>
  <c r="F46" i="15"/>
  <c r="G46" i="15"/>
  <c r="H46" i="15"/>
  <c r="D47" i="15"/>
  <c r="E47" i="15"/>
  <c r="F47" i="15"/>
  <c r="G47" i="15"/>
  <c r="H47" i="15"/>
  <c r="D48" i="15"/>
  <c r="E48" i="15"/>
  <c r="F48" i="15"/>
  <c r="G48" i="15"/>
  <c r="H48" i="15"/>
  <c r="D49" i="15"/>
  <c r="E49" i="15"/>
  <c r="F49" i="15"/>
  <c r="G49" i="15"/>
  <c r="H49" i="15"/>
  <c r="D50" i="15"/>
  <c r="E50" i="15"/>
  <c r="F50" i="15"/>
  <c r="G50" i="15"/>
  <c r="H50" i="15"/>
  <c r="D51" i="15"/>
  <c r="E51" i="15"/>
  <c r="F51" i="15"/>
  <c r="G51" i="15"/>
  <c r="H51" i="15"/>
  <c r="D52" i="15"/>
  <c r="E52" i="15"/>
  <c r="F52" i="15"/>
  <c r="G52" i="15"/>
  <c r="H52" i="15"/>
  <c r="D53" i="15"/>
  <c r="E53" i="15"/>
  <c r="F53" i="15"/>
  <c r="G53" i="15"/>
  <c r="H53" i="15"/>
  <c r="D54" i="15"/>
  <c r="E54" i="15"/>
  <c r="F54" i="15"/>
  <c r="G54" i="15"/>
  <c r="H54" i="15"/>
  <c r="D55" i="15"/>
  <c r="E55" i="15"/>
  <c r="F55" i="15"/>
  <c r="G55" i="15"/>
  <c r="H55" i="15"/>
  <c r="D56" i="15"/>
  <c r="E56" i="15"/>
  <c r="F56" i="15"/>
  <c r="G56" i="15"/>
  <c r="H56" i="15"/>
  <c r="D57" i="15"/>
  <c r="E57" i="15"/>
  <c r="F57" i="15"/>
  <c r="G57" i="15"/>
  <c r="H57" i="15"/>
  <c r="D58" i="15"/>
  <c r="E58" i="15"/>
  <c r="F58" i="15"/>
  <c r="G58" i="15"/>
  <c r="H58" i="15"/>
  <c r="D59" i="15"/>
  <c r="E59" i="15"/>
  <c r="F59" i="15"/>
  <c r="G59" i="15"/>
  <c r="H59" i="15"/>
  <c r="D60" i="15"/>
  <c r="E60" i="15"/>
  <c r="F60" i="15"/>
  <c r="G60" i="15"/>
  <c r="H60" i="15"/>
  <c r="D61" i="15"/>
  <c r="E61" i="15"/>
  <c r="F61" i="15"/>
  <c r="G61" i="15"/>
  <c r="H61" i="15"/>
  <c r="D62" i="15"/>
  <c r="E62" i="15"/>
  <c r="F62" i="15"/>
  <c r="G62" i="15"/>
  <c r="H62" i="15"/>
  <c r="D63" i="15"/>
  <c r="E63" i="15"/>
  <c r="F63" i="15"/>
  <c r="G63" i="15"/>
  <c r="H63" i="15"/>
  <c r="D64" i="15"/>
  <c r="E64" i="15"/>
  <c r="F64" i="15"/>
  <c r="G64" i="15"/>
  <c r="H64" i="15"/>
  <c r="D65" i="15"/>
  <c r="E65" i="15"/>
  <c r="F65" i="15"/>
  <c r="G65" i="15"/>
  <c r="H65" i="15"/>
  <c r="D66" i="15"/>
  <c r="E66" i="15"/>
  <c r="F66" i="15"/>
  <c r="G66" i="15"/>
  <c r="H66" i="15"/>
  <c r="D67" i="15"/>
  <c r="E67" i="15"/>
  <c r="F67" i="15"/>
  <c r="G67" i="15"/>
  <c r="H67" i="15"/>
  <c r="D68" i="15"/>
  <c r="E68" i="15"/>
  <c r="F68" i="15"/>
  <c r="G68" i="15"/>
  <c r="H68" i="15"/>
  <c r="D69" i="15"/>
  <c r="E69" i="15"/>
  <c r="F69" i="15"/>
  <c r="G69" i="15"/>
  <c r="H69" i="15"/>
  <c r="D70" i="15"/>
  <c r="E70" i="15"/>
  <c r="F70" i="15"/>
  <c r="G70" i="15"/>
  <c r="H70" i="15"/>
  <c r="D71" i="15"/>
  <c r="E71" i="15"/>
  <c r="F71" i="15"/>
  <c r="G71" i="15"/>
  <c r="H71" i="15"/>
  <c r="D72" i="15"/>
  <c r="E72" i="15"/>
  <c r="F72" i="15"/>
  <c r="G72" i="15"/>
  <c r="H72" i="15"/>
  <c r="D73" i="15"/>
  <c r="E73" i="15"/>
  <c r="F73" i="15"/>
  <c r="G73" i="15"/>
  <c r="H73" i="15"/>
  <c r="D74" i="15"/>
  <c r="E74" i="15"/>
  <c r="F74" i="15"/>
  <c r="G74" i="15"/>
  <c r="H74" i="15"/>
  <c r="D75" i="15"/>
  <c r="E75" i="15"/>
  <c r="F75" i="15"/>
  <c r="G75" i="15"/>
  <c r="H75" i="15"/>
  <c r="D76" i="15"/>
  <c r="E76" i="15"/>
  <c r="F76" i="15"/>
  <c r="G76" i="15"/>
  <c r="H76" i="15"/>
  <c r="D77" i="15"/>
  <c r="E77" i="15"/>
  <c r="F77" i="15"/>
  <c r="G77" i="15"/>
  <c r="H77" i="15"/>
  <c r="D78" i="15"/>
  <c r="E78" i="15"/>
  <c r="F78" i="15"/>
  <c r="G78" i="15"/>
  <c r="H78" i="15"/>
  <c r="D79" i="15"/>
  <c r="E79" i="15"/>
  <c r="F79" i="15"/>
  <c r="G79" i="15"/>
  <c r="H79" i="15"/>
  <c r="D80" i="15"/>
  <c r="E80" i="15"/>
  <c r="F80" i="15"/>
  <c r="G80" i="15"/>
  <c r="H80" i="15"/>
  <c r="D81" i="15"/>
  <c r="E81" i="15"/>
  <c r="F81" i="15"/>
  <c r="G81" i="15"/>
  <c r="H81" i="15"/>
  <c r="D82" i="15"/>
  <c r="E82" i="15"/>
  <c r="F82" i="15"/>
  <c r="G82" i="15"/>
  <c r="H82" i="15"/>
  <c r="D83" i="15"/>
  <c r="E83" i="15"/>
  <c r="F83" i="15"/>
  <c r="G83" i="15"/>
  <c r="H83" i="15"/>
  <c r="D84" i="15"/>
  <c r="E84" i="15"/>
  <c r="F84" i="15"/>
  <c r="G84" i="15"/>
  <c r="H84" i="15"/>
  <c r="D85" i="15"/>
  <c r="E85" i="15"/>
  <c r="F85" i="15"/>
  <c r="G85" i="15"/>
  <c r="H85" i="15"/>
  <c r="D86" i="15"/>
  <c r="E86" i="15"/>
  <c r="F86" i="15"/>
  <c r="G86" i="15"/>
  <c r="H86" i="15"/>
  <c r="D87" i="15"/>
  <c r="E87" i="15"/>
  <c r="F87" i="15"/>
  <c r="G87" i="15"/>
  <c r="H87" i="15"/>
  <c r="D88" i="15"/>
  <c r="E88" i="15"/>
  <c r="F88" i="15"/>
  <c r="G88" i="15"/>
  <c r="H88" i="15"/>
  <c r="D89" i="15"/>
  <c r="E89" i="15"/>
  <c r="F89" i="15"/>
  <c r="G89" i="15"/>
  <c r="H89" i="15"/>
  <c r="D90" i="15"/>
  <c r="E90" i="15"/>
  <c r="F90" i="15"/>
  <c r="G90" i="15"/>
  <c r="H90" i="15"/>
  <c r="D91" i="15"/>
  <c r="E91" i="15"/>
  <c r="F91" i="15"/>
  <c r="G91" i="15"/>
  <c r="H91" i="15"/>
  <c r="D92" i="15"/>
  <c r="E92" i="15"/>
  <c r="F92" i="15"/>
  <c r="G92" i="15"/>
  <c r="H92" i="15"/>
  <c r="D93" i="15"/>
  <c r="E93" i="15"/>
  <c r="F93" i="15"/>
  <c r="G93" i="15"/>
  <c r="H93" i="15"/>
  <c r="D94" i="15"/>
  <c r="E94" i="15"/>
  <c r="F94" i="15"/>
  <c r="G94" i="15"/>
  <c r="H94" i="15"/>
  <c r="D95" i="15"/>
  <c r="E95" i="15"/>
  <c r="F95" i="15"/>
  <c r="G95" i="15"/>
  <c r="H95" i="15"/>
  <c r="D96" i="15"/>
  <c r="E96" i="15"/>
  <c r="F96" i="15"/>
  <c r="G96" i="15"/>
  <c r="H96" i="15"/>
  <c r="D97" i="15"/>
  <c r="E97" i="15"/>
  <c r="F97" i="15"/>
  <c r="G97" i="15"/>
  <c r="H97" i="15"/>
  <c r="D98" i="15"/>
  <c r="E98" i="15"/>
  <c r="F98" i="15"/>
  <c r="G98" i="15"/>
  <c r="H98" i="15"/>
  <c r="D99" i="15"/>
  <c r="E99" i="15"/>
  <c r="F99" i="15"/>
  <c r="G99" i="15"/>
  <c r="H99" i="15"/>
  <c r="D100" i="15"/>
  <c r="E100" i="15"/>
  <c r="F100" i="15"/>
  <c r="G100" i="15"/>
  <c r="H100" i="15"/>
  <c r="D101" i="15"/>
  <c r="E101" i="15"/>
  <c r="F101" i="15"/>
  <c r="G101" i="15"/>
  <c r="H101" i="15"/>
  <c r="D102" i="15"/>
  <c r="E102" i="15"/>
  <c r="F102" i="15"/>
  <c r="G102" i="15"/>
  <c r="H102" i="15"/>
  <c r="D103" i="15"/>
  <c r="E103" i="15"/>
  <c r="F103" i="15"/>
  <c r="G103" i="15"/>
  <c r="H103" i="15"/>
  <c r="D104" i="15"/>
  <c r="E104" i="15"/>
  <c r="F104" i="15"/>
  <c r="G104" i="15"/>
  <c r="H104" i="15"/>
  <c r="D105" i="15"/>
  <c r="E105" i="15"/>
  <c r="F105" i="15"/>
  <c r="G105" i="15"/>
  <c r="H105" i="15"/>
  <c r="D106" i="15"/>
  <c r="E106" i="15"/>
  <c r="F106" i="15"/>
  <c r="G106" i="15"/>
  <c r="H106" i="15"/>
  <c r="D107" i="15"/>
  <c r="E107" i="15"/>
  <c r="F107" i="15"/>
  <c r="G107" i="15"/>
  <c r="H107" i="15"/>
  <c r="D108" i="15"/>
  <c r="E108" i="15"/>
  <c r="F108" i="15"/>
  <c r="G108" i="15"/>
  <c r="H108" i="15"/>
  <c r="D109" i="15"/>
  <c r="E109" i="15"/>
  <c r="F109" i="15"/>
  <c r="G109" i="15"/>
  <c r="H109" i="15"/>
  <c r="D110" i="15"/>
  <c r="E110" i="15"/>
  <c r="F110" i="15"/>
  <c r="G110" i="15"/>
  <c r="H110" i="15"/>
  <c r="D111" i="15"/>
  <c r="E111" i="15"/>
  <c r="F111" i="15"/>
  <c r="G111" i="15"/>
  <c r="H111" i="15"/>
  <c r="D112" i="15"/>
  <c r="E112" i="15"/>
  <c r="F112" i="15"/>
  <c r="G112" i="15"/>
  <c r="H112" i="15"/>
  <c r="D113" i="15"/>
  <c r="E113" i="15"/>
  <c r="F113" i="15"/>
  <c r="G113" i="15"/>
  <c r="H113" i="15"/>
  <c r="D114" i="15"/>
  <c r="E114" i="15"/>
  <c r="F114" i="15"/>
  <c r="G114" i="15"/>
  <c r="H114" i="15"/>
  <c r="D115" i="15"/>
  <c r="E115" i="15"/>
  <c r="F115" i="15"/>
  <c r="G115" i="15"/>
  <c r="H115" i="15"/>
  <c r="D116" i="15"/>
  <c r="E116" i="15"/>
  <c r="F116" i="15"/>
  <c r="G116" i="15"/>
  <c r="H116" i="15"/>
  <c r="D117" i="15"/>
  <c r="E117" i="15"/>
  <c r="F117" i="15"/>
  <c r="G117" i="15"/>
  <c r="H117" i="15"/>
  <c r="D118" i="15"/>
  <c r="E118" i="15"/>
  <c r="F118" i="15"/>
  <c r="G118" i="15"/>
  <c r="H118" i="15"/>
  <c r="D119" i="15"/>
  <c r="E119" i="15"/>
  <c r="F119" i="15"/>
  <c r="G119" i="15"/>
  <c r="H119" i="15"/>
  <c r="D120" i="15"/>
  <c r="E120" i="15"/>
  <c r="F120" i="15"/>
  <c r="G120" i="15"/>
  <c r="H120" i="15"/>
  <c r="D121" i="15"/>
  <c r="E121" i="15"/>
  <c r="F121" i="15"/>
  <c r="G121" i="15"/>
  <c r="H121" i="15"/>
  <c r="D122" i="15"/>
  <c r="E122" i="15"/>
  <c r="F122" i="15"/>
  <c r="G122" i="15"/>
  <c r="H122" i="15"/>
  <c r="D123" i="15"/>
  <c r="E123" i="15"/>
  <c r="F123" i="15"/>
  <c r="G123" i="15"/>
  <c r="H123" i="15"/>
  <c r="D124" i="15"/>
  <c r="E124" i="15"/>
  <c r="F124" i="15"/>
  <c r="G124" i="15"/>
  <c r="H124" i="15"/>
  <c r="D125" i="15"/>
  <c r="E125" i="15"/>
  <c r="F125" i="15"/>
  <c r="G125" i="15"/>
  <c r="H125" i="15"/>
  <c r="D126" i="15"/>
  <c r="E126" i="15"/>
  <c r="F126" i="15"/>
  <c r="G126" i="15"/>
  <c r="H126" i="15"/>
  <c r="D127" i="15"/>
  <c r="E127" i="15"/>
  <c r="F127" i="15"/>
  <c r="G127" i="15"/>
  <c r="H127" i="15"/>
  <c r="D128" i="15"/>
  <c r="E128" i="15"/>
  <c r="F128" i="15"/>
  <c r="G128" i="15"/>
  <c r="H128" i="15"/>
  <c r="D129" i="15"/>
  <c r="E129" i="15"/>
  <c r="F129" i="15"/>
  <c r="G129" i="15"/>
  <c r="H129" i="15"/>
  <c r="D130" i="15"/>
  <c r="E130" i="15"/>
  <c r="F130" i="15"/>
  <c r="G130" i="15"/>
  <c r="H130" i="15"/>
  <c r="D131" i="15"/>
  <c r="E131" i="15"/>
  <c r="F131" i="15"/>
  <c r="G131" i="15"/>
  <c r="H131" i="15"/>
  <c r="D132" i="15"/>
  <c r="E132" i="15"/>
  <c r="F132" i="15"/>
  <c r="G132" i="15"/>
  <c r="H132" i="15"/>
  <c r="D133" i="15"/>
  <c r="E133" i="15"/>
  <c r="F133" i="15"/>
  <c r="G133" i="15"/>
  <c r="H133" i="15"/>
  <c r="D134" i="15"/>
  <c r="E134" i="15"/>
  <c r="F134" i="15"/>
  <c r="G134" i="15"/>
  <c r="H134" i="15"/>
  <c r="D135" i="15"/>
  <c r="E135" i="15"/>
  <c r="F135" i="15"/>
  <c r="G135" i="15"/>
  <c r="H135" i="15"/>
  <c r="D136" i="15"/>
  <c r="E136" i="15"/>
  <c r="F136" i="15"/>
  <c r="G136" i="15"/>
  <c r="H136" i="15"/>
  <c r="D137" i="15"/>
  <c r="E137" i="15"/>
  <c r="F137" i="15"/>
  <c r="G137" i="15"/>
  <c r="H137" i="15"/>
  <c r="D138" i="15"/>
  <c r="E138" i="15"/>
  <c r="F138" i="15"/>
  <c r="G138" i="15"/>
  <c r="H138" i="15"/>
  <c r="D139" i="15"/>
  <c r="E139" i="15"/>
  <c r="F139" i="15"/>
  <c r="G139" i="15"/>
  <c r="H139" i="15"/>
  <c r="D140" i="15"/>
  <c r="E140" i="15"/>
  <c r="F140" i="15"/>
  <c r="G140" i="15"/>
  <c r="H140" i="15"/>
  <c r="D141" i="15"/>
  <c r="E141" i="15"/>
  <c r="F141" i="15"/>
  <c r="G141" i="15"/>
  <c r="H141" i="15"/>
  <c r="D142" i="15"/>
  <c r="E142" i="15"/>
  <c r="F142" i="15"/>
  <c r="G142" i="15"/>
  <c r="H142" i="15"/>
  <c r="D143" i="15"/>
  <c r="E143" i="15"/>
  <c r="F143" i="15"/>
  <c r="G143" i="15"/>
  <c r="H143" i="15"/>
  <c r="I137" i="15" l="1"/>
  <c r="I15" i="15"/>
  <c r="I7" i="15"/>
  <c r="I124" i="15"/>
  <c r="I119" i="15"/>
  <c r="I92" i="15"/>
  <c r="I84" i="15"/>
  <c r="I80" i="15"/>
  <c r="I46" i="15"/>
  <c r="I34" i="15"/>
  <c r="I26" i="15"/>
  <c r="I120" i="15"/>
  <c r="I96" i="15"/>
  <c r="I88" i="15"/>
  <c r="I141" i="15"/>
  <c r="I128" i="15"/>
  <c r="I136" i="15"/>
  <c r="I139" i="15"/>
  <c r="I131" i="15"/>
  <c r="I126" i="15"/>
  <c r="I94" i="15"/>
  <c r="I86" i="15"/>
  <c r="I70" i="15"/>
  <c r="I62" i="15"/>
  <c r="I49" i="15"/>
  <c r="I16" i="15"/>
  <c r="I8" i="15"/>
  <c r="I142" i="15"/>
  <c r="I134" i="15"/>
  <c r="I129" i="15"/>
  <c r="I121" i="15"/>
  <c r="I81" i="15"/>
  <c r="I78" i="15"/>
  <c r="I73" i="15"/>
  <c r="I65" i="15"/>
  <c r="I57" i="15"/>
  <c r="I3" i="15"/>
  <c r="I38" i="15"/>
  <c r="I30" i="15"/>
  <c r="I22" i="15"/>
  <c r="I140" i="15"/>
  <c r="I132" i="15"/>
  <c r="I127" i="15"/>
  <c r="I122" i="15"/>
  <c r="I117" i="15"/>
  <c r="I98" i="15"/>
  <c r="I90" i="15"/>
  <c r="I74" i="15"/>
  <c r="I66" i="15"/>
  <c r="I58" i="15"/>
  <c r="I53" i="15"/>
  <c r="I135" i="15"/>
  <c r="I138" i="15"/>
  <c r="I130" i="15"/>
  <c r="I125" i="15"/>
  <c r="I69" i="15"/>
  <c r="I61" i="15"/>
  <c r="I143" i="15"/>
  <c r="I42" i="15"/>
  <c r="I18" i="15"/>
  <c r="I133" i="15"/>
  <c r="I123" i="15"/>
  <c r="I118" i="15"/>
  <c r="AP143" i="22"/>
  <c r="B133" i="22"/>
  <c r="AM136" i="22"/>
  <c r="H142" i="22"/>
  <c r="H144" i="22"/>
  <c r="AM140" i="22"/>
  <c r="G136" i="22"/>
  <c r="G140" i="22"/>
  <c r="B143" i="22"/>
  <c r="AP139" i="22"/>
  <c r="AM138" i="22"/>
  <c r="AN135" i="22"/>
  <c r="G138" i="22"/>
  <c r="B135" i="22"/>
  <c r="AP135" i="22"/>
  <c r="AN143" i="22"/>
  <c r="AN141" i="22"/>
  <c r="AN139" i="22"/>
  <c r="AP133" i="22"/>
  <c r="AP131" i="22"/>
  <c r="AM144" i="22"/>
  <c r="AM143" i="22"/>
  <c r="AM142" i="22"/>
  <c r="AM141" i="22"/>
  <c r="AB140" i="22"/>
  <c r="AM139" i="22"/>
  <c r="AB138" i="22"/>
  <c r="AM137" i="22"/>
  <c r="AB136" i="22"/>
  <c r="AM135" i="22"/>
  <c r="AM134" i="22"/>
  <c r="AN133" i="22"/>
  <c r="AM132" i="22"/>
  <c r="AN131" i="22"/>
  <c r="AN137" i="22"/>
  <c r="AB144" i="22"/>
  <c r="AB143" i="22"/>
  <c r="AB142" i="22"/>
  <c r="F141" i="22"/>
  <c r="H140" i="22"/>
  <c r="F139" i="22"/>
  <c r="H138" i="22"/>
  <c r="F137" i="22"/>
  <c r="H136" i="22"/>
  <c r="AB135" i="22"/>
  <c r="AB134" i="22"/>
  <c r="AM133" i="22"/>
  <c r="AB132" i="22"/>
  <c r="AM131" i="22"/>
  <c r="F143" i="22"/>
  <c r="F131" i="22"/>
  <c r="G144" i="22"/>
  <c r="E143" i="22"/>
  <c r="G142" i="22"/>
  <c r="D141" i="22"/>
  <c r="F140" i="22"/>
  <c r="D139" i="22"/>
  <c r="F138" i="22"/>
  <c r="D137" i="22"/>
  <c r="F136" i="22"/>
  <c r="E135" i="22"/>
  <c r="G134" i="22"/>
  <c r="E133" i="22"/>
  <c r="G132" i="22"/>
  <c r="D131" i="22"/>
  <c r="E141" i="22"/>
  <c r="E137" i="22"/>
  <c r="F135" i="22"/>
  <c r="F133" i="22"/>
  <c r="H132" i="22"/>
  <c r="B144" i="22"/>
  <c r="D143" i="22"/>
  <c r="B142" i="22"/>
  <c r="C141" i="22"/>
  <c r="B140" i="22"/>
  <c r="C139" i="22"/>
  <c r="B138" i="22"/>
  <c r="C137" i="22"/>
  <c r="B136" i="22"/>
  <c r="D135" i="22"/>
  <c r="F134" i="22"/>
  <c r="D133" i="22"/>
  <c r="F132" i="22"/>
  <c r="C131" i="22"/>
  <c r="E139" i="22"/>
  <c r="H134" i="22"/>
  <c r="C143" i="22"/>
  <c r="B141" i="22"/>
  <c r="B139" i="22"/>
  <c r="B137" i="22"/>
  <c r="C135" i="22"/>
  <c r="B134" i="22"/>
  <c r="C133" i="22"/>
  <c r="B132" i="22"/>
  <c r="B131" i="22"/>
  <c r="AP141" i="22"/>
  <c r="AP137" i="22"/>
  <c r="F144" i="22"/>
  <c r="E142" i="22"/>
  <c r="AB141" i="22"/>
  <c r="AP144" i="22"/>
  <c r="D144" i="22"/>
  <c r="H143" i="22"/>
  <c r="AP142" i="22"/>
  <c r="D142" i="22"/>
  <c r="H141" i="22"/>
  <c r="AP140" i="22"/>
  <c r="D140" i="22"/>
  <c r="H139" i="22"/>
  <c r="AP138" i="22"/>
  <c r="D138" i="22"/>
  <c r="H137" i="22"/>
  <c r="AP136" i="22"/>
  <c r="D136" i="22"/>
  <c r="H135" i="22"/>
  <c r="AP134" i="22"/>
  <c r="D134" i="22"/>
  <c r="H133" i="22"/>
  <c r="AP132" i="22"/>
  <c r="D132" i="22"/>
  <c r="H131" i="22"/>
  <c r="E144" i="22"/>
  <c r="E132" i="22"/>
  <c r="AB131" i="22"/>
  <c r="AN144" i="22"/>
  <c r="AN142" i="22"/>
  <c r="C142" i="22"/>
  <c r="AN140" i="22"/>
  <c r="C140" i="22"/>
  <c r="G139" i="22"/>
  <c r="AN138" i="22"/>
  <c r="C138" i="22"/>
  <c r="G137" i="22"/>
  <c r="AN136" i="22"/>
  <c r="C136" i="22"/>
  <c r="AN134" i="22"/>
  <c r="C134" i="22"/>
  <c r="G133" i="22"/>
  <c r="AN132" i="22"/>
  <c r="G131" i="22"/>
  <c r="I99" i="15"/>
  <c r="I95" i="15"/>
  <c r="I91" i="15"/>
  <c r="I87" i="15"/>
  <c r="I83" i="15"/>
  <c r="I115" i="15"/>
  <c r="I111" i="15"/>
  <c r="I107" i="15"/>
  <c r="I103" i="15"/>
  <c r="I79" i="15"/>
  <c r="I100" i="15"/>
  <c r="I116" i="15"/>
  <c r="I112" i="15"/>
  <c r="I108" i="15"/>
  <c r="I104" i="15"/>
  <c r="I101" i="15"/>
  <c r="I97" i="15"/>
  <c r="I93" i="15"/>
  <c r="I89" i="15"/>
  <c r="I85" i="15"/>
  <c r="I113" i="15"/>
  <c r="I109" i="15"/>
  <c r="I105" i="15"/>
  <c r="I82" i="15"/>
  <c r="I114" i="15"/>
  <c r="I110" i="15"/>
  <c r="I106" i="15"/>
  <c r="I102" i="15"/>
  <c r="I76" i="15"/>
  <c r="I71" i="15"/>
  <c r="I63" i="15"/>
  <c r="I50" i="15"/>
  <c r="I56" i="15"/>
  <c r="I48" i="15"/>
  <c r="I77" i="15"/>
  <c r="I72" i="15"/>
  <c r="I64" i="15"/>
  <c r="I51" i="15"/>
  <c r="I75" i="15"/>
  <c r="I67" i="15"/>
  <c r="I59" i="15"/>
  <c r="I54" i="15"/>
  <c r="I52" i="15"/>
  <c r="I68" i="15"/>
  <c r="I60" i="15"/>
  <c r="I55" i="15"/>
  <c r="I47" i="15"/>
  <c r="I45" i="15"/>
  <c r="I41" i="15"/>
  <c r="I37" i="15"/>
  <c r="I33" i="15"/>
  <c r="I29" i="15"/>
  <c r="I25" i="15"/>
  <c r="I21" i="15"/>
  <c r="I17" i="15"/>
  <c r="I9" i="15"/>
  <c r="I12" i="15"/>
  <c r="I4" i="15"/>
  <c r="I10" i="15"/>
  <c r="I43" i="15"/>
  <c r="I39" i="15"/>
  <c r="I35" i="15"/>
  <c r="I31" i="15"/>
  <c r="I27" i="15"/>
  <c r="I23" i="15"/>
  <c r="I19" i="15"/>
  <c r="I13" i="15"/>
  <c r="I5" i="15"/>
  <c r="I44" i="15"/>
  <c r="I40" i="15"/>
  <c r="I36" i="15"/>
  <c r="I32" i="15"/>
  <c r="I28" i="15"/>
  <c r="I24" i="15"/>
  <c r="I20" i="15"/>
  <c r="I11" i="15"/>
  <c r="I14" i="15"/>
  <c r="I6" i="15"/>
  <c r="G19" i="1"/>
  <c r="F19" i="1"/>
  <c r="E19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E14" i="1"/>
  <c r="G13" i="1"/>
  <c r="F13" i="1"/>
  <c r="E13" i="1"/>
  <c r="G11" i="1"/>
  <c r="F11" i="1"/>
  <c r="G10" i="1"/>
  <c r="F10" i="1"/>
  <c r="G8" i="1"/>
  <c r="F8" i="1"/>
  <c r="G7" i="1"/>
  <c r="F7" i="1"/>
  <c r="E11" i="1"/>
  <c r="E10" i="1"/>
  <c r="E8" i="1"/>
  <c r="E7" i="1"/>
  <c r="B2" i="15"/>
  <c r="B2" i="25"/>
  <c r="B7" i="4" l="1"/>
  <c r="C3" i="15" l="1"/>
  <c r="L3" i="15"/>
  <c r="O4" i="15"/>
  <c r="J5" i="15"/>
  <c r="M6" i="15"/>
  <c r="P7" i="15"/>
  <c r="K8" i="15"/>
  <c r="N9" i="15"/>
  <c r="C11" i="15"/>
  <c r="L11" i="15"/>
  <c r="O12" i="15"/>
  <c r="J13" i="15"/>
  <c r="M14" i="15"/>
  <c r="P15" i="15"/>
  <c r="K16" i="15"/>
  <c r="N17" i="15"/>
  <c r="C19" i="15"/>
  <c r="L19" i="15"/>
  <c r="O20" i="15"/>
  <c r="J21" i="15"/>
  <c r="M22" i="15"/>
  <c r="P23" i="15"/>
  <c r="K24" i="15"/>
  <c r="N25" i="15"/>
  <c r="C27" i="15"/>
  <c r="L27" i="15"/>
  <c r="O28" i="15"/>
  <c r="J29" i="15"/>
  <c r="M30" i="15"/>
  <c r="P31" i="15"/>
  <c r="K32" i="15"/>
  <c r="N33" i="15"/>
  <c r="C35" i="15"/>
  <c r="L35" i="15"/>
  <c r="O36" i="15"/>
  <c r="J37" i="15"/>
  <c r="M38" i="15"/>
  <c r="P39" i="15"/>
  <c r="K40" i="15"/>
  <c r="N41" i="15"/>
  <c r="C43" i="15"/>
  <c r="L43" i="15"/>
  <c r="O44" i="15"/>
  <c r="J45" i="15"/>
  <c r="M46" i="15"/>
  <c r="P47" i="15"/>
  <c r="K48" i="15"/>
  <c r="N49" i="15"/>
  <c r="C51" i="15"/>
  <c r="L51" i="15"/>
  <c r="O52" i="15"/>
  <c r="J53" i="15"/>
  <c r="M54" i="15"/>
  <c r="P55" i="15"/>
  <c r="K56" i="15"/>
  <c r="N57" i="15"/>
  <c r="C59" i="15"/>
  <c r="L59" i="15"/>
  <c r="O60" i="15"/>
  <c r="J61" i="15"/>
  <c r="M62" i="15"/>
  <c r="P63" i="15"/>
  <c r="K64" i="15"/>
  <c r="N65" i="15"/>
  <c r="C67" i="15"/>
  <c r="M3" i="15"/>
  <c r="P4" i="15"/>
  <c r="K5" i="15"/>
  <c r="N6" i="15"/>
  <c r="C8" i="15"/>
  <c r="L8" i="15"/>
  <c r="O9" i="15"/>
  <c r="J10" i="15"/>
  <c r="M11" i="15"/>
  <c r="P12" i="15"/>
  <c r="K13" i="15"/>
  <c r="N14" i="15"/>
  <c r="C16" i="15"/>
  <c r="L16" i="15"/>
  <c r="O17" i="15"/>
  <c r="J18" i="15"/>
  <c r="M19" i="15"/>
  <c r="P20" i="15"/>
  <c r="K21" i="15"/>
  <c r="N22" i="15"/>
  <c r="C24" i="15"/>
  <c r="L24" i="15"/>
  <c r="O25" i="15"/>
  <c r="J26" i="15"/>
  <c r="M27" i="15"/>
  <c r="P28" i="15"/>
  <c r="K29" i="15"/>
  <c r="N30" i="15"/>
  <c r="C32" i="15"/>
  <c r="L32" i="15"/>
  <c r="O33" i="15"/>
  <c r="J34" i="15"/>
  <c r="M35" i="15"/>
  <c r="P36" i="15"/>
  <c r="K37" i="15"/>
  <c r="N38" i="15"/>
  <c r="C40" i="15"/>
  <c r="L40" i="15"/>
  <c r="O41" i="15"/>
  <c r="J42" i="15"/>
  <c r="M43" i="15"/>
  <c r="P44" i="15"/>
  <c r="K45" i="15"/>
  <c r="N46" i="15"/>
  <c r="C48" i="15"/>
  <c r="L48" i="15"/>
  <c r="O49" i="15"/>
  <c r="J50" i="15"/>
  <c r="M51" i="15"/>
  <c r="P52" i="15"/>
  <c r="K53" i="15"/>
  <c r="N54" i="15"/>
  <c r="C56" i="15"/>
  <c r="L56" i="15"/>
  <c r="O57" i="15"/>
  <c r="J58" i="15"/>
  <c r="M59" i="15"/>
  <c r="P60" i="15"/>
  <c r="K61" i="15"/>
  <c r="N62" i="15"/>
  <c r="C64" i="15"/>
  <c r="L64" i="15"/>
  <c r="O65" i="15"/>
  <c r="N3" i="15"/>
  <c r="C5" i="15"/>
  <c r="L5" i="15"/>
  <c r="O6" i="15"/>
  <c r="J7" i="15"/>
  <c r="M8" i="15"/>
  <c r="P9" i="15"/>
  <c r="K10" i="15"/>
  <c r="N11" i="15"/>
  <c r="C13" i="15"/>
  <c r="L13" i="15"/>
  <c r="O14" i="15"/>
  <c r="J15" i="15"/>
  <c r="M16" i="15"/>
  <c r="P17" i="15"/>
  <c r="K18" i="15"/>
  <c r="N19" i="15"/>
  <c r="C21" i="15"/>
  <c r="L21" i="15"/>
  <c r="O22" i="15"/>
  <c r="J23" i="15"/>
  <c r="M24" i="15"/>
  <c r="P25" i="15"/>
  <c r="K26" i="15"/>
  <c r="N27" i="15"/>
  <c r="C29" i="15"/>
  <c r="L29" i="15"/>
  <c r="O30" i="15"/>
  <c r="J31" i="15"/>
  <c r="M32" i="15"/>
  <c r="P33" i="15"/>
  <c r="K34" i="15"/>
  <c r="N35" i="15"/>
  <c r="C37" i="15"/>
  <c r="L37" i="15"/>
  <c r="O38" i="15"/>
  <c r="J39" i="15"/>
  <c r="M40" i="15"/>
  <c r="P41" i="15"/>
  <c r="K42" i="15"/>
  <c r="N43" i="15"/>
  <c r="C45" i="15"/>
  <c r="L45" i="15"/>
  <c r="O46" i="15"/>
  <c r="J47" i="15"/>
  <c r="M48" i="15"/>
  <c r="P49" i="15"/>
  <c r="K50" i="15"/>
  <c r="N51" i="15"/>
  <c r="C53" i="15"/>
  <c r="L53" i="15"/>
  <c r="O54" i="15"/>
  <c r="J55" i="15"/>
  <c r="M56" i="15"/>
  <c r="P57" i="15"/>
  <c r="K58" i="15"/>
  <c r="N59" i="15"/>
  <c r="C61" i="15"/>
  <c r="L61" i="15"/>
  <c r="O62" i="15"/>
  <c r="J63" i="15"/>
  <c r="M64" i="15"/>
  <c r="P65" i="15"/>
  <c r="K66" i="15"/>
  <c r="N67" i="15"/>
  <c r="C69" i="15"/>
  <c r="L69" i="15"/>
  <c r="O70" i="15"/>
  <c r="J71" i="15"/>
  <c r="M72" i="15"/>
  <c r="P73" i="15"/>
  <c r="K74" i="15"/>
  <c r="N75" i="15"/>
  <c r="C77" i="15"/>
  <c r="L77" i="15"/>
  <c r="O78" i="15"/>
  <c r="J79" i="15"/>
  <c r="L80" i="15"/>
  <c r="O81" i="15"/>
  <c r="J82" i="15"/>
  <c r="M83" i="15"/>
  <c r="P84" i="15"/>
  <c r="K85" i="15"/>
  <c r="N86" i="15"/>
  <c r="C88" i="15"/>
  <c r="O3" i="15"/>
  <c r="J4" i="15"/>
  <c r="M5" i="15"/>
  <c r="P6" i="15"/>
  <c r="K7" i="15"/>
  <c r="N8" i="15"/>
  <c r="C10" i="15"/>
  <c r="L10" i="15"/>
  <c r="O11" i="15"/>
  <c r="J12" i="15"/>
  <c r="M13" i="15"/>
  <c r="P14" i="15"/>
  <c r="K15" i="15"/>
  <c r="N16" i="15"/>
  <c r="C18" i="15"/>
  <c r="L18" i="15"/>
  <c r="O19" i="15"/>
  <c r="J20" i="15"/>
  <c r="M21" i="15"/>
  <c r="P22" i="15"/>
  <c r="K23" i="15"/>
  <c r="N24" i="15"/>
  <c r="C26" i="15"/>
  <c r="L26" i="15"/>
  <c r="O27" i="15"/>
  <c r="J28" i="15"/>
  <c r="M29" i="15"/>
  <c r="P30" i="15"/>
  <c r="K31" i="15"/>
  <c r="N32" i="15"/>
  <c r="C34" i="15"/>
  <c r="L34" i="15"/>
  <c r="O35" i="15"/>
  <c r="J36" i="15"/>
  <c r="M37" i="15"/>
  <c r="P38" i="15"/>
  <c r="K39" i="15"/>
  <c r="N40" i="15"/>
  <c r="C42" i="15"/>
  <c r="L42" i="15"/>
  <c r="O43" i="15"/>
  <c r="J44" i="15"/>
  <c r="M45" i="15"/>
  <c r="P46" i="15"/>
  <c r="K47" i="15"/>
  <c r="N48" i="15"/>
  <c r="C50" i="15"/>
  <c r="L50" i="15"/>
  <c r="O51" i="15"/>
  <c r="J52" i="15"/>
  <c r="M53" i="15"/>
  <c r="P54" i="15"/>
  <c r="K55" i="15"/>
  <c r="N56" i="15"/>
  <c r="C58" i="15"/>
  <c r="L58" i="15"/>
  <c r="O59" i="15"/>
  <c r="J60" i="15"/>
  <c r="M61" i="15"/>
  <c r="P3" i="15"/>
  <c r="K4" i="15"/>
  <c r="N5" i="15"/>
  <c r="C7" i="15"/>
  <c r="L7" i="15"/>
  <c r="O8" i="15"/>
  <c r="J9" i="15"/>
  <c r="M10" i="15"/>
  <c r="P11" i="15"/>
  <c r="K12" i="15"/>
  <c r="N13" i="15"/>
  <c r="C15" i="15"/>
  <c r="L15" i="15"/>
  <c r="O16" i="15"/>
  <c r="J17" i="15"/>
  <c r="M18" i="15"/>
  <c r="P19" i="15"/>
  <c r="K20" i="15"/>
  <c r="N21" i="15"/>
  <c r="C23" i="15"/>
  <c r="L23" i="15"/>
  <c r="O24" i="15"/>
  <c r="J25" i="15"/>
  <c r="M26" i="15"/>
  <c r="P27" i="15"/>
  <c r="K28" i="15"/>
  <c r="N29" i="15"/>
  <c r="C31" i="15"/>
  <c r="L31" i="15"/>
  <c r="O32" i="15"/>
  <c r="J33" i="15"/>
  <c r="M34" i="15"/>
  <c r="P35" i="15"/>
  <c r="K36" i="15"/>
  <c r="N37" i="15"/>
  <c r="C39" i="15"/>
  <c r="L39" i="15"/>
  <c r="O40" i="15"/>
  <c r="J41" i="15"/>
  <c r="M42" i="15"/>
  <c r="P43" i="15"/>
  <c r="K44" i="15"/>
  <c r="N45" i="15"/>
  <c r="C47" i="15"/>
  <c r="L47" i="15"/>
  <c r="O48" i="15"/>
  <c r="J49" i="15"/>
  <c r="M50" i="15"/>
  <c r="P51" i="15"/>
  <c r="K52" i="15"/>
  <c r="N53" i="15"/>
  <c r="C4" i="15"/>
  <c r="L4" i="15"/>
  <c r="O5" i="15"/>
  <c r="J6" i="15"/>
  <c r="M7" i="15"/>
  <c r="P8" i="15"/>
  <c r="K9" i="15"/>
  <c r="N10" i="15"/>
  <c r="C12" i="15"/>
  <c r="L12" i="15"/>
  <c r="O13" i="15"/>
  <c r="J14" i="15"/>
  <c r="M15" i="15"/>
  <c r="P16" i="15"/>
  <c r="K17" i="15"/>
  <c r="N18" i="15"/>
  <c r="C20" i="15"/>
  <c r="L20" i="15"/>
  <c r="O21" i="15"/>
  <c r="J22" i="15"/>
  <c r="M23" i="15"/>
  <c r="P24" i="15"/>
  <c r="K25" i="15"/>
  <c r="N26" i="15"/>
  <c r="C28" i="15"/>
  <c r="L28" i="15"/>
  <c r="O29" i="15"/>
  <c r="J30" i="15"/>
  <c r="M31" i="15"/>
  <c r="P32" i="15"/>
  <c r="K33" i="15"/>
  <c r="N34" i="15"/>
  <c r="C36" i="15"/>
  <c r="L36" i="15"/>
  <c r="O37" i="15"/>
  <c r="J38" i="15"/>
  <c r="M39" i="15"/>
  <c r="P40" i="15"/>
  <c r="K41" i="15"/>
  <c r="N42" i="15"/>
  <c r="C44" i="15"/>
  <c r="L44" i="15"/>
  <c r="O45" i="15"/>
  <c r="J46" i="15"/>
  <c r="M47" i="15"/>
  <c r="P48" i="15"/>
  <c r="K49" i="15"/>
  <c r="N50" i="15"/>
  <c r="C52" i="15"/>
  <c r="L52" i="15"/>
  <c r="O53" i="15"/>
  <c r="J54" i="15"/>
  <c r="M55" i="15"/>
  <c r="P56" i="15"/>
  <c r="K57" i="15"/>
  <c r="N58" i="15"/>
  <c r="C60" i="15"/>
  <c r="L60" i="15"/>
  <c r="O61" i="15"/>
  <c r="J62" i="15"/>
  <c r="M63" i="15"/>
  <c r="P64" i="15"/>
  <c r="K65" i="15"/>
  <c r="N66" i="15"/>
  <c r="C68" i="15"/>
  <c r="L68" i="15"/>
  <c r="O69" i="15"/>
  <c r="J70" i="15"/>
  <c r="M71" i="15"/>
  <c r="J3" i="15"/>
  <c r="M4" i="15"/>
  <c r="P5" i="15"/>
  <c r="K6" i="15"/>
  <c r="N7" i="15"/>
  <c r="C9" i="15"/>
  <c r="L9" i="15"/>
  <c r="O10" i="15"/>
  <c r="J11" i="15"/>
  <c r="M12" i="15"/>
  <c r="P13" i="15"/>
  <c r="K14" i="15"/>
  <c r="N15" i="15"/>
  <c r="C17" i="15"/>
  <c r="L17" i="15"/>
  <c r="O18" i="15"/>
  <c r="J19" i="15"/>
  <c r="M20" i="15"/>
  <c r="P21" i="15"/>
  <c r="K22" i="15"/>
  <c r="N23" i="15"/>
  <c r="C25" i="15"/>
  <c r="L25" i="15"/>
  <c r="O26" i="15"/>
  <c r="J27" i="15"/>
  <c r="M28" i="15"/>
  <c r="P29" i="15"/>
  <c r="K30" i="15"/>
  <c r="N31" i="15"/>
  <c r="C33" i="15"/>
  <c r="L33" i="15"/>
  <c r="O34" i="15"/>
  <c r="J35" i="15"/>
  <c r="M36" i="15"/>
  <c r="P37" i="15"/>
  <c r="K38" i="15"/>
  <c r="N39" i="15"/>
  <c r="C41" i="15"/>
  <c r="L41" i="15"/>
  <c r="O42" i="15"/>
  <c r="J43" i="15"/>
  <c r="M44" i="15"/>
  <c r="P45" i="15"/>
  <c r="K46" i="15"/>
  <c r="N47" i="15"/>
  <c r="C49" i="15"/>
  <c r="L49" i="15"/>
  <c r="O50" i="15"/>
  <c r="J51" i="15"/>
  <c r="M52" i="15"/>
  <c r="P53" i="15"/>
  <c r="K54" i="15"/>
  <c r="N55" i="15"/>
  <c r="C57" i="15"/>
  <c r="L57" i="15"/>
  <c r="O58" i="15"/>
  <c r="J59" i="15"/>
  <c r="M60" i="15"/>
  <c r="P61" i="15"/>
  <c r="K62" i="15"/>
  <c r="N63" i="15"/>
  <c r="C65" i="15"/>
  <c r="L65" i="15"/>
  <c r="O66" i="15"/>
  <c r="J67" i="15"/>
  <c r="M68" i="15"/>
  <c r="P69" i="15"/>
  <c r="K70" i="15"/>
  <c r="N71" i="15"/>
  <c r="C73" i="15"/>
  <c r="L73" i="15"/>
  <c r="O74" i="15"/>
  <c r="J75" i="15"/>
  <c r="K3" i="15"/>
  <c r="N4" i="15"/>
  <c r="C6" i="15"/>
  <c r="L6" i="15"/>
  <c r="O7" i="15"/>
  <c r="J8" i="15"/>
  <c r="M9" i="15"/>
  <c r="P10" i="15"/>
  <c r="K11" i="15"/>
  <c r="N12" i="15"/>
  <c r="C14" i="15"/>
  <c r="L14" i="15"/>
  <c r="O15" i="15"/>
  <c r="J16" i="15"/>
  <c r="M17" i="15"/>
  <c r="P18" i="15"/>
  <c r="K19" i="15"/>
  <c r="N20" i="15"/>
  <c r="C22" i="15"/>
  <c r="L22" i="15"/>
  <c r="O23" i="15"/>
  <c r="J24" i="15"/>
  <c r="M25" i="15"/>
  <c r="P26" i="15"/>
  <c r="K27" i="15"/>
  <c r="N28" i="15"/>
  <c r="C30" i="15"/>
  <c r="L30" i="15"/>
  <c r="O31" i="15"/>
  <c r="J32" i="15"/>
  <c r="M33" i="15"/>
  <c r="P34" i="15"/>
  <c r="K35" i="15"/>
  <c r="N36" i="15"/>
  <c r="C38" i="15"/>
  <c r="L38" i="15"/>
  <c r="O39" i="15"/>
  <c r="J40" i="15"/>
  <c r="M41" i="15"/>
  <c r="P42" i="15"/>
  <c r="K43" i="15"/>
  <c r="N44" i="15"/>
  <c r="C46" i="15"/>
  <c r="L46" i="15"/>
  <c r="O47" i="15"/>
  <c r="J48" i="15"/>
  <c r="M49" i="15"/>
  <c r="P50" i="15"/>
  <c r="K51" i="15"/>
  <c r="N52" i="15"/>
  <c r="C54" i="15"/>
  <c r="L54" i="15"/>
  <c r="O55" i="15"/>
  <c r="J56" i="15"/>
  <c r="M57" i="15"/>
  <c r="P58" i="15"/>
  <c r="K59" i="15"/>
  <c r="N60" i="15"/>
  <c r="C62" i="15"/>
  <c r="L62" i="15"/>
  <c r="O63" i="15"/>
  <c r="J64" i="15"/>
  <c r="M65" i="15"/>
  <c r="P66" i="15"/>
  <c r="K67" i="15"/>
  <c r="N68" i="15"/>
  <c r="C70" i="15"/>
  <c r="L70" i="15"/>
  <c r="O71" i="15"/>
  <c r="J72" i="15"/>
  <c r="M73" i="15"/>
  <c r="P74" i="15"/>
  <c r="K75" i="15"/>
  <c r="N76" i="15"/>
  <c r="C78" i="15"/>
  <c r="L78" i="15"/>
  <c r="O79" i="15"/>
  <c r="C81" i="15"/>
  <c r="L81" i="15"/>
  <c r="O56" i="15"/>
  <c r="K60" i="15"/>
  <c r="J66" i="15"/>
  <c r="L67" i="15"/>
  <c r="O72" i="15"/>
  <c r="K73" i="15"/>
  <c r="M76" i="15"/>
  <c r="J77" i="15"/>
  <c r="C79" i="15"/>
  <c r="M79" i="15"/>
  <c r="N81" i="15"/>
  <c r="K82" i="15"/>
  <c r="O83" i="15"/>
  <c r="J84" i="15"/>
  <c r="O85" i="15"/>
  <c r="J86" i="15"/>
  <c r="N87" i="15"/>
  <c r="J88" i="15"/>
  <c r="M89" i="15"/>
  <c r="P90" i="15"/>
  <c r="K91" i="15"/>
  <c r="N92" i="15"/>
  <c r="C94" i="15"/>
  <c r="L94" i="15"/>
  <c r="O95" i="15"/>
  <c r="J96" i="15"/>
  <c r="M97" i="15"/>
  <c r="P98" i="15"/>
  <c r="K99" i="15"/>
  <c r="N100" i="15"/>
  <c r="C102" i="15"/>
  <c r="L102" i="15"/>
  <c r="O103" i="15"/>
  <c r="J104" i="15"/>
  <c r="M105" i="15"/>
  <c r="P106" i="15"/>
  <c r="K107" i="15"/>
  <c r="N108" i="15"/>
  <c r="C110" i="15"/>
  <c r="L110" i="15"/>
  <c r="O111" i="15"/>
  <c r="J112" i="15"/>
  <c r="M113" i="15"/>
  <c r="P114" i="15"/>
  <c r="K115" i="15"/>
  <c r="N116" i="15"/>
  <c r="C118" i="15"/>
  <c r="O119" i="15"/>
  <c r="J120" i="15"/>
  <c r="M121" i="15"/>
  <c r="K123" i="15"/>
  <c r="C126" i="15"/>
  <c r="J128" i="15"/>
  <c r="M129" i="15"/>
  <c r="P130" i="15"/>
  <c r="K131" i="15"/>
  <c r="N132" i="15"/>
  <c r="L134" i="15"/>
  <c r="O135" i="15"/>
  <c r="J136" i="15"/>
  <c r="M137" i="15"/>
  <c r="P138" i="15"/>
  <c r="C142" i="15"/>
  <c r="K136" i="15"/>
  <c r="L139" i="15"/>
  <c r="J141" i="15"/>
  <c r="J132" i="15"/>
  <c r="K135" i="15"/>
  <c r="L138" i="15"/>
  <c r="M141" i="15"/>
  <c r="J65" i="15"/>
  <c r="L66" i="15"/>
  <c r="M67" i="15"/>
  <c r="J68" i="15"/>
  <c r="P72" i="15"/>
  <c r="N73" i="15"/>
  <c r="J74" i="15"/>
  <c r="O76" i="15"/>
  <c r="K77" i="15"/>
  <c r="N79" i="15"/>
  <c r="P81" i="15"/>
  <c r="L82" i="15"/>
  <c r="P83" i="15"/>
  <c r="K84" i="15"/>
  <c r="P85" i="15"/>
  <c r="K86" i="15"/>
  <c r="O87" i="15"/>
  <c r="K88" i="15"/>
  <c r="N89" i="15"/>
  <c r="C91" i="15"/>
  <c r="L91" i="15"/>
  <c r="O92" i="15"/>
  <c r="J93" i="15"/>
  <c r="M94" i="15"/>
  <c r="P95" i="15"/>
  <c r="K96" i="15"/>
  <c r="N97" i="15"/>
  <c r="C99" i="15"/>
  <c r="L99" i="15"/>
  <c r="O100" i="15"/>
  <c r="J101" i="15"/>
  <c r="M102" i="15"/>
  <c r="P103" i="15"/>
  <c r="K104" i="15"/>
  <c r="N105" i="15"/>
  <c r="C107" i="15"/>
  <c r="L107" i="15"/>
  <c r="O108" i="15"/>
  <c r="J109" i="15"/>
  <c r="M110" i="15"/>
  <c r="P111" i="15"/>
  <c r="K112" i="15"/>
  <c r="N113" i="15"/>
  <c r="C115" i="15"/>
  <c r="L115" i="15"/>
  <c r="O116" i="15"/>
  <c r="J117" i="15"/>
  <c r="M118" i="15"/>
  <c r="P119" i="15"/>
  <c r="K120" i="15"/>
  <c r="N121" i="15"/>
  <c r="C123" i="15"/>
  <c r="L123" i="15"/>
  <c r="O124" i="15"/>
  <c r="J125" i="15"/>
  <c r="M126" i="15"/>
  <c r="P127" i="15"/>
  <c r="K128" i="15"/>
  <c r="N129" i="15"/>
  <c r="C131" i="15"/>
  <c r="L131" i="15"/>
  <c r="O132" i="15"/>
  <c r="J133" i="15"/>
  <c r="N137" i="15"/>
  <c r="O140" i="15"/>
  <c r="P143" i="15"/>
  <c r="J140" i="15"/>
  <c r="K143" i="15"/>
  <c r="L55" i="15"/>
  <c r="P59" i="15"/>
  <c r="N64" i="15"/>
  <c r="C66" i="15"/>
  <c r="M66" i="15"/>
  <c r="O67" i="15"/>
  <c r="K68" i="15"/>
  <c r="J69" i="15"/>
  <c r="O73" i="15"/>
  <c r="L74" i="15"/>
  <c r="P76" i="15"/>
  <c r="M77" i="15"/>
  <c r="P79" i="15"/>
  <c r="J80" i="15"/>
  <c r="C82" i="15"/>
  <c r="M82" i="15"/>
  <c r="C84" i="15"/>
  <c r="L84" i="15"/>
  <c r="C86" i="15"/>
  <c r="L86" i="15"/>
  <c r="P87" i="15"/>
  <c r="L88" i="15"/>
  <c r="O89" i="15"/>
  <c r="J90" i="15"/>
  <c r="M91" i="15"/>
  <c r="P92" i="15"/>
  <c r="K93" i="15"/>
  <c r="N94" i="15"/>
  <c r="C96" i="15"/>
  <c r="L96" i="15"/>
  <c r="O97" i="15"/>
  <c r="J98" i="15"/>
  <c r="M99" i="15"/>
  <c r="P100" i="15"/>
  <c r="K101" i="15"/>
  <c r="N102" i="15"/>
  <c r="C104" i="15"/>
  <c r="L104" i="15"/>
  <c r="O105" i="15"/>
  <c r="J106" i="15"/>
  <c r="M107" i="15"/>
  <c r="P108" i="15"/>
  <c r="K109" i="15"/>
  <c r="N110" i="15"/>
  <c r="C112" i="15"/>
  <c r="L112" i="15"/>
  <c r="O113" i="15"/>
  <c r="J114" i="15"/>
  <c r="M115" i="15"/>
  <c r="P116" i="15"/>
  <c r="K117" i="15"/>
  <c r="N118" i="15"/>
  <c r="C120" i="15"/>
  <c r="L120" i="15"/>
  <c r="O121" i="15"/>
  <c r="J122" i="15"/>
  <c r="M123" i="15"/>
  <c r="P124" i="15"/>
  <c r="K125" i="15"/>
  <c r="N126" i="15"/>
  <c r="C128" i="15"/>
  <c r="L128" i="15"/>
  <c r="O129" i="15"/>
  <c r="J130" i="15"/>
  <c r="M131" i="15"/>
  <c r="P132" i="15"/>
  <c r="K133" i="15"/>
  <c r="N134" i="15"/>
  <c r="C136" i="15"/>
  <c r="L136" i="15"/>
  <c r="O137" i="15"/>
  <c r="J138" i="15"/>
  <c r="M139" i="15"/>
  <c r="P140" i="15"/>
  <c r="K141" i="15"/>
  <c r="N142" i="15"/>
  <c r="M136" i="15"/>
  <c r="P137" i="15"/>
  <c r="K138" i="15"/>
  <c r="N139" i="15"/>
  <c r="C141" i="15"/>
  <c r="L141" i="15"/>
  <c r="O142" i="15"/>
  <c r="J143" i="15"/>
  <c r="L130" i="15"/>
  <c r="P134" i="15"/>
  <c r="O139" i="15"/>
  <c r="K63" i="15"/>
  <c r="O64" i="15"/>
  <c r="P67" i="15"/>
  <c r="O68" i="15"/>
  <c r="K69" i="15"/>
  <c r="M70" i="15"/>
  <c r="C74" i="15"/>
  <c r="M74" i="15"/>
  <c r="L75" i="15"/>
  <c r="N77" i="15"/>
  <c r="J78" i="15"/>
  <c r="C80" i="15"/>
  <c r="K80" i="15"/>
  <c r="N82" i="15"/>
  <c r="M84" i="15"/>
  <c r="M86" i="15"/>
  <c r="M88" i="15"/>
  <c r="P89" i="15"/>
  <c r="K90" i="15"/>
  <c r="N91" i="15"/>
  <c r="C93" i="15"/>
  <c r="L93" i="15"/>
  <c r="O94" i="15"/>
  <c r="J95" i="15"/>
  <c r="M96" i="15"/>
  <c r="P97" i="15"/>
  <c r="K98" i="15"/>
  <c r="N99" i="15"/>
  <c r="C101" i="15"/>
  <c r="L101" i="15"/>
  <c r="O102" i="15"/>
  <c r="J103" i="15"/>
  <c r="M104" i="15"/>
  <c r="P105" i="15"/>
  <c r="K106" i="15"/>
  <c r="N107" i="15"/>
  <c r="C109" i="15"/>
  <c r="L109" i="15"/>
  <c r="O110" i="15"/>
  <c r="J111" i="15"/>
  <c r="M112" i="15"/>
  <c r="P113" i="15"/>
  <c r="K114" i="15"/>
  <c r="N115" i="15"/>
  <c r="C117" i="15"/>
  <c r="L117" i="15"/>
  <c r="O118" i="15"/>
  <c r="J119" i="15"/>
  <c r="M120" i="15"/>
  <c r="P121" i="15"/>
  <c r="K122" i="15"/>
  <c r="N123" i="15"/>
  <c r="C125" i="15"/>
  <c r="L125" i="15"/>
  <c r="O126" i="15"/>
  <c r="J127" i="15"/>
  <c r="M128" i="15"/>
  <c r="P129" i="15"/>
  <c r="K130" i="15"/>
  <c r="N131" i="15"/>
  <c r="C133" i="15"/>
  <c r="L133" i="15"/>
  <c r="O134" i="15"/>
  <c r="C55" i="15"/>
  <c r="M58" i="15"/>
  <c r="P62" i="15"/>
  <c r="L63" i="15"/>
  <c r="P68" i="15"/>
  <c r="M69" i="15"/>
  <c r="N70" i="15"/>
  <c r="K71" i="15"/>
  <c r="N74" i="15"/>
  <c r="M75" i="15"/>
  <c r="O77" i="15"/>
  <c r="K78" i="15"/>
  <c r="M80" i="15"/>
  <c r="O82" i="15"/>
  <c r="J83" i="15"/>
  <c r="N84" i="15"/>
  <c r="J85" i="15"/>
  <c r="O86" i="15"/>
  <c r="J87" i="15"/>
  <c r="N88" i="15"/>
  <c r="C90" i="15"/>
  <c r="L90" i="15"/>
  <c r="O91" i="15"/>
  <c r="J92" i="15"/>
  <c r="M93" i="15"/>
  <c r="P94" i="15"/>
  <c r="K95" i="15"/>
  <c r="N96" i="15"/>
  <c r="C98" i="15"/>
  <c r="L98" i="15"/>
  <c r="O99" i="15"/>
  <c r="J100" i="15"/>
  <c r="M101" i="15"/>
  <c r="P102" i="15"/>
  <c r="K103" i="15"/>
  <c r="N104" i="15"/>
  <c r="C106" i="15"/>
  <c r="L106" i="15"/>
  <c r="O107" i="15"/>
  <c r="J108" i="15"/>
  <c r="M109" i="15"/>
  <c r="P110" i="15"/>
  <c r="K111" i="15"/>
  <c r="N112" i="15"/>
  <c r="C114" i="15"/>
  <c r="L114" i="15"/>
  <c r="O115" i="15"/>
  <c r="J116" i="15"/>
  <c r="M117" i="15"/>
  <c r="P118" i="15"/>
  <c r="K119" i="15"/>
  <c r="N120" i="15"/>
  <c r="C122" i="15"/>
  <c r="L122" i="15"/>
  <c r="O123" i="15"/>
  <c r="J124" i="15"/>
  <c r="M125" i="15"/>
  <c r="P126" i="15"/>
  <c r="K127" i="15"/>
  <c r="N128" i="15"/>
  <c r="C130" i="15"/>
  <c r="O131" i="15"/>
  <c r="N136" i="15"/>
  <c r="P142" i="15"/>
  <c r="C63" i="15"/>
  <c r="N69" i="15"/>
  <c r="P70" i="15"/>
  <c r="L71" i="15"/>
  <c r="K72" i="15"/>
  <c r="C75" i="15"/>
  <c r="O75" i="15"/>
  <c r="J76" i="15"/>
  <c r="P77" i="15"/>
  <c r="M78" i="15"/>
  <c r="N80" i="15"/>
  <c r="J81" i="15"/>
  <c r="P82" i="15"/>
  <c r="K83" i="15"/>
  <c r="O84" i="15"/>
  <c r="L85" i="15"/>
  <c r="P86" i="15"/>
  <c r="K87" i="15"/>
  <c r="O88" i="15"/>
  <c r="J89" i="15"/>
  <c r="M90" i="15"/>
  <c r="P91" i="15"/>
  <c r="K92" i="15"/>
  <c r="N93" i="15"/>
  <c r="C95" i="15"/>
  <c r="L95" i="15"/>
  <c r="O96" i="15"/>
  <c r="J97" i="15"/>
  <c r="M98" i="15"/>
  <c r="P99" i="15"/>
  <c r="K100" i="15"/>
  <c r="N101" i="15"/>
  <c r="C103" i="15"/>
  <c r="L103" i="15"/>
  <c r="O104" i="15"/>
  <c r="J105" i="15"/>
  <c r="M106" i="15"/>
  <c r="P107" i="15"/>
  <c r="K108" i="15"/>
  <c r="N109" i="15"/>
  <c r="C111" i="15"/>
  <c r="L111" i="15"/>
  <c r="O112" i="15"/>
  <c r="J113" i="15"/>
  <c r="M114" i="15"/>
  <c r="P115" i="15"/>
  <c r="K116" i="15"/>
  <c r="N117" i="15"/>
  <c r="C119" i="15"/>
  <c r="L119" i="15"/>
  <c r="O120" i="15"/>
  <c r="J121" i="15"/>
  <c r="M122" i="15"/>
  <c r="P123" i="15"/>
  <c r="K124" i="15"/>
  <c r="N125" i="15"/>
  <c r="C127" i="15"/>
  <c r="L127" i="15"/>
  <c r="O128" i="15"/>
  <c r="J129" i="15"/>
  <c r="M130" i="15"/>
  <c r="P131" i="15"/>
  <c r="K132" i="15"/>
  <c r="N133" i="15"/>
  <c r="C135" i="15"/>
  <c r="L135" i="15"/>
  <c r="O136" i="15"/>
  <c r="J137" i="15"/>
  <c r="M138" i="15"/>
  <c r="P139" i="15"/>
  <c r="K140" i="15"/>
  <c r="N141" i="15"/>
  <c r="C143" i="15"/>
  <c r="L143" i="15"/>
  <c r="J57" i="15"/>
  <c r="N61" i="15"/>
  <c r="C71" i="15"/>
  <c r="P71" i="15"/>
  <c r="L72" i="15"/>
  <c r="P75" i="15"/>
  <c r="N78" i="15"/>
  <c r="K79" i="15"/>
  <c r="C72" i="15"/>
  <c r="N72" i="15"/>
  <c r="J73" i="15"/>
  <c r="C76" i="15"/>
  <c r="L76" i="15"/>
  <c r="P78" i="15"/>
  <c r="L79" i="15"/>
  <c r="P80" i="15"/>
  <c r="M81" i="15"/>
  <c r="N83" i="15"/>
  <c r="N85" i="15"/>
  <c r="M87" i="15"/>
  <c r="C89" i="15"/>
  <c r="L89" i="15"/>
  <c r="O90" i="15"/>
  <c r="J91" i="15"/>
  <c r="M92" i="15"/>
  <c r="P93" i="15"/>
  <c r="K94" i="15"/>
  <c r="N95" i="15"/>
  <c r="C97" i="15"/>
  <c r="L97" i="15"/>
  <c r="O98" i="15"/>
  <c r="J99" i="15"/>
  <c r="M100" i="15"/>
  <c r="P101" i="15"/>
  <c r="K102" i="15"/>
  <c r="N103" i="15"/>
  <c r="C105" i="15"/>
  <c r="L105" i="15"/>
  <c r="O106" i="15"/>
  <c r="J107" i="15"/>
  <c r="M108" i="15"/>
  <c r="P109" i="15"/>
  <c r="K110" i="15"/>
  <c r="N111" i="15"/>
  <c r="C113" i="15"/>
  <c r="L113" i="15"/>
  <c r="O114" i="15"/>
  <c r="J115" i="15"/>
  <c r="M116" i="15"/>
  <c r="P117" i="15"/>
  <c r="K118" i="15"/>
  <c r="N119" i="15"/>
  <c r="C121" i="15"/>
  <c r="L121" i="15"/>
  <c r="O122" i="15"/>
  <c r="J123" i="15"/>
  <c r="M124" i="15"/>
  <c r="P125" i="15"/>
  <c r="K126" i="15"/>
  <c r="N127" i="15"/>
  <c r="C129" i="15"/>
  <c r="L129" i="15"/>
  <c r="O130" i="15"/>
  <c r="J131" i="15"/>
  <c r="M132" i="15"/>
  <c r="P133" i="15"/>
  <c r="K134" i="15"/>
  <c r="N135" i="15"/>
  <c r="C137" i="15"/>
  <c r="L137" i="15"/>
  <c r="O138" i="15"/>
  <c r="J139" i="15"/>
  <c r="M140" i="15"/>
  <c r="P141" i="15"/>
  <c r="K142" i="15"/>
  <c r="N143" i="15"/>
  <c r="L118" i="15"/>
  <c r="P122" i="15"/>
  <c r="N124" i="15"/>
  <c r="L126" i="15"/>
  <c r="O127" i="15"/>
  <c r="C134" i="15"/>
  <c r="K139" i="15"/>
  <c r="N140" i="15"/>
  <c r="L142" i="15"/>
  <c r="O143" i="15"/>
  <c r="M134" i="15"/>
  <c r="P135" i="15"/>
  <c r="C139" i="15"/>
  <c r="M142" i="15"/>
  <c r="M133" i="15"/>
  <c r="C138" i="15"/>
  <c r="O80" i="15"/>
  <c r="C85" i="15"/>
  <c r="P88" i="15"/>
  <c r="L92" i="15"/>
  <c r="P96" i="15"/>
  <c r="L100" i="15"/>
  <c r="P104" i="15"/>
  <c r="L108" i="15"/>
  <c r="P112" i="15"/>
  <c r="L116" i="15"/>
  <c r="P120" i="15"/>
  <c r="L124" i="15"/>
  <c r="P128" i="15"/>
  <c r="L132" i="15"/>
  <c r="J135" i="15"/>
  <c r="M143" i="15"/>
  <c r="J102" i="15"/>
  <c r="N122" i="15"/>
  <c r="J126" i="15"/>
  <c r="K97" i="15"/>
  <c r="O117" i="15"/>
  <c r="O133" i="15"/>
  <c r="K137" i="15"/>
  <c r="P136" i="15"/>
  <c r="L140" i="15"/>
  <c r="C100" i="15"/>
  <c r="C124" i="15"/>
  <c r="J94" i="15"/>
  <c r="J110" i="15"/>
  <c r="K105" i="15"/>
  <c r="K129" i="15"/>
  <c r="K76" i="15"/>
  <c r="L83" i="15"/>
  <c r="L87" i="15"/>
  <c r="C92" i="15"/>
  <c r="M95" i="15"/>
  <c r="M103" i="15"/>
  <c r="C108" i="15"/>
  <c r="M111" i="15"/>
  <c r="C116" i="15"/>
  <c r="M119" i="15"/>
  <c r="M127" i="15"/>
  <c r="C132" i="15"/>
  <c r="N106" i="15"/>
  <c r="N114" i="15"/>
  <c r="N130" i="15"/>
  <c r="K89" i="15"/>
  <c r="O101" i="15"/>
  <c r="O125" i="15"/>
  <c r="O141" i="15"/>
  <c r="M135" i="15"/>
  <c r="C140" i="15"/>
  <c r="J118" i="15"/>
  <c r="J134" i="15"/>
  <c r="O109" i="15"/>
  <c r="K121" i="15"/>
  <c r="C83" i="15"/>
  <c r="C87" i="15"/>
  <c r="N90" i="15"/>
  <c r="N98" i="15"/>
  <c r="N138" i="15"/>
  <c r="J142" i="15"/>
  <c r="K81" i="15"/>
  <c r="M85" i="15"/>
  <c r="O93" i="15"/>
  <c r="K113" i="15"/>
  <c r="F20" i="1"/>
  <c r="G20" i="1"/>
  <c r="E20" i="1"/>
  <c r="D9" i="25"/>
  <c r="D17" i="25"/>
  <c r="D2" i="25"/>
  <c r="D11" i="25"/>
  <c r="D4" i="25"/>
  <c r="D20" i="25"/>
  <c r="D13" i="25"/>
  <c r="D6" i="25"/>
  <c r="D22" i="25"/>
  <c r="D15" i="25"/>
  <c r="D8" i="25"/>
  <c r="D24" i="25"/>
  <c r="D10" i="25"/>
  <c r="D18" i="25"/>
  <c r="D3" i="25"/>
  <c r="D19" i="25"/>
  <c r="D12" i="25"/>
  <c r="D5" i="25"/>
  <c r="D21" i="25"/>
  <c r="D14" i="25"/>
  <c r="D7" i="25"/>
  <c r="D23" i="25"/>
  <c r="D16" i="25"/>
  <c r="AG26" i="26"/>
  <c r="Q115" i="15" l="1"/>
  <c r="R115" i="15" s="1"/>
  <c r="A115" i="15" s="1"/>
  <c r="Q107" i="15"/>
  <c r="R107" i="15" s="1"/>
  <c r="A107" i="15" s="1"/>
  <c r="Q76" i="15"/>
  <c r="R76" i="15" s="1"/>
  <c r="A76" i="15" s="1"/>
  <c r="Q124" i="15"/>
  <c r="R124" i="15" s="1"/>
  <c r="A124" i="15" s="1"/>
  <c r="Q108" i="15"/>
  <c r="R108" i="15" s="1"/>
  <c r="A108" i="15" s="1"/>
  <c r="Q100" i="15"/>
  <c r="R100" i="15" s="1"/>
  <c r="A100" i="15" s="1"/>
  <c r="Q92" i="15"/>
  <c r="R92" i="15" s="1"/>
  <c r="A92" i="15" s="1"/>
  <c r="Q86" i="15"/>
  <c r="R86" i="15" s="1"/>
  <c r="A86" i="15" s="1"/>
  <c r="Q77" i="15"/>
  <c r="R77" i="15" s="1"/>
  <c r="A77" i="15" s="1"/>
  <c r="Q82" i="15"/>
  <c r="R82" i="15" s="1"/>
  <c r="A82" i="15" s="1"/>
  <c r="Q123" i="15"/>
  <c r="R123" i="15" s="1"/>
  <c r="A123" i="15" s="1"/>
  <c r="Q99" i="15"/>
  <c r="R99" i="15" s="1"/>
  <c r="A99" i="15" s="1"/>
  <c r="Q139" i="15"/>
  <c r="R139" i="15" s="1"/>
  <c r="A139" i="15" s="1"/>
  <c r="Q91" i="15"/>
  <c r="R91" i="15" s="1"/>
  <c r="A91" i="15" s="1"/>
  <c r="Q50" i="15"/>
  <c r="R50" i="15" s="1"/>
  <c r="A50" i="15" s="1"/>
  <c r="Q102" i="15"/>
  <c r="R102" i="15" s="1"/>
  <c r="A102" i="15" s="1"/>
  <c r="Q83" i="15"/>
  <c r="R83" i="15" s="1"/>
  <c r="A83" i="15" s="1"/>
  <c r="Q65" i="15"/>
  <c r="R65" i="15" s="1"/>
  <c r="A65" i="15" s="1"/>
  <c r="Q72" i="15"/>
  <c r="R72" i="15" s="1"/>
  <c r="A72" i="15" s="1"/>
  <c r="Q64" i="15"/>
  <c r="R64" i="15" s="1"/>
  <c r="A64" i="15" s="1"/>
  <c r="Q56" i="15"/>
  <c r="R56" i="15" s="1"/>
  <c r="A56" i="15" s="1"/>
  <c r="Q48" i="15"/>
  <c r="R48" i="15" s="1"/>
  <c r="A48" i="15" s="1"/>
  <c r="Q40" i="15"/>
  <c r="R40" i="15" s="1"/>
  <c r="A40" i="15" s="1"/>
  <c r="Q32" i="15"/>
  <c r="R32" i="15" s="1"/>
  <c r="A32" i="15" s="1"/>
  <c r="Q24" i="15"/>
  <c r="R24" i="15" s="1"/>
  <c r="A24" i="15" s="1"/>
  <c r="Q16" i="15"/>
  <c r="R16" i="15" s="1"/>
  <c r="A16" i="15" s="1"/>
  <c r="Q8" i="15"/>
  <c r="R8" i="15" s="1"/>
  <c r="A8" i="15" s="1"/>
  <c r="Q70" i="15"/>
  <c r="R70" i="15" s="1"/>
  <c r="A70" i="15" s="1"/>
  <c r="Q62" i="15"/>
  <c r="R62" i="15" s="1"/>
  <c r="A62" i="15" s="1"/>
  <c r="Q54" i="15"/>
  <c r="R54" i="15" s="1"/>
  <c r="A54" i="15" s="1"/>
  <c r="Q38" i="15"/>
  <c r="R38" i="15" s="1"/>
  <c r="A38" i="15" s="1"/>
  <c r="Q30" i="15"/>
  <c r="R30" i="15" s="1"/>
  <c r="A30" i="15" s="1"/>
  <c r="Q22" i="15"/>
  <c r="R22" i="15" s="1"/>
  <c r="A22" i="15" s="1"/>
  <c r="Q14" i="15"/>
  <c r="R14" i="15" s="1"/>
  <c r="A14" i="15" s="1"/>
  <c r="Q6" i="15"/>
  <c r="R6" i="15" s="1"/>
  <c r="A6" i="15" s="1"/>
  <c r="Q41" i="15"/>
  <c r="R41" i="15" s="1"/>
  <c r="A41" i="15" s="1"/>
  <c r="Q33" i="15"/>
  <c r="R33" i="15" s="1"/>
  <c r="A33" i="15" s="1"/>
  <c r="Q25" i="15"/>
  <c r="R25" i="15" s="1"/>
  <c r="A25" i="15" s="1"/>
  <c r="Q17" i="15"/>
  <c r="R17" i="15" s="1"/>
  <c r="A17" i="15" s="1"/>
  <c r="Q9" i="15"/>
  <c r="R9" i="15" s="1"/>
  <c r="A9" i="15" s="1"/>
  <c r="Q60" i="15"/>
  <c r="R60" i="15" s="1"/>
  <c r="A60" i="15" s="1"/>
  <c r="Q52" i="15"/>
  <c r="R52" i="15" s="1"/>
  <c r="A52" i="15" s="1"/>
  <c r="Q44" i="15"/>
  <c r="R44" i="15" s="1"/>
  <c r="A44" i="15" s="1"/>
  <c r="Q36" i="15"/>
  <c r="R36" i="15" s="1"/>
  <c r="A36" i="15" s="1"/>
  <c r="Q28" i="15"/>
  <c r="R28" i="15" s="1"/>
  <c r="A28" i="15" s="1"/>
  <c r="Q20" i="15"/>
  <c r="R20" i="15" s="1"/>
  <c r="A20" i="15" s="1"/>
  <c r="Q12" i="15"/>
  <c r="R12" i="15" s="1"/>
  <c r="A12" i="15" s="1"/>
  <c r="Q4" i="15"/>
  <c r="R4" i="15" s="1"/>
  <c r="A4" i="15" s="1"/>
  <c r="Q143" i="15"/>
  <c r="R143" i="15" s="1"/>
  <c r="A143" i="15" s="1"/>
  <c r="Q84" i="15"/>
  <c r="R84" i="15" s="1"/>
  <c r="A84" i="15" s="1"/>
  <c r="Q135" i="15"/>
  <c r="R135" i="15" s="1"/>
  <c r="A135" i="15" s="1"/>
  <c r="Q73" i="15"/>
  <c r="R73" i="15" s="1"/>
  <c r="A73" i="15" s="1"/>
  <c r="Q133" i="15"/>
  <c r="R133" i="15" s="1"/>
  <c r="A133" i="15" s="1"/>
  <c r="Q125" i="15"/>
  <c r="R125" i="15" s="1"/>
  <c r="A125" i="15" s="1"/>
  <c r="Q117" i="15"/>
  <c r="R117" i="15" s="1"/>
  <c r="A117" i="15" s="1"/>
  <c r="Q109" i="15"/>
  <c r="R109" i="15" s="1"/>
  <c r="A109" i="15" s="1"/>
  <c r="Q101" i="15"/>
  <c r="R101" i="15" s="1"/>
  <c r="A101" i="15" s="1"/>
  <c r="Q93" i="15"/>
  <c r="R93" i="15" s="1"/>
  <c r="A93" i="15" s="1"/>
  <c r="Q74" i="15"/>
  <c r="R74" i="15" s="1"/>
  <c r="A74" i="15" s="1"/>
  <c r="Q128" i="15"/>
  <c r="R128" i="15" s="1"/>
  <c r="A128" i="15" s="1"/>
  <c r="Q79" i="15"/>
  <c r="R79" i="15" s="1"/>
  <c r="A79" i="15" s="1"/>
  <c r="Q71" i="15"/>
  <c r="R71" i="15" s="1"/>
  <c r="A71" i="15" s="1"/>
  <c r="Q63" i="15"/>
  <c r="R63" i="15" s="1"/>
  <c r="A63" i="15" s="1"/>
  <c r="Q55" i="15"/>
  <c r="R55" i="15" s="1"/>
  <c r="A55" i="15" s="1"/>
  <c r="Q47" i="15"/>
  <c r="R47" i="15" s="1"/>
  <c r="A47" i="15" s="1"/>
  <c r="Q39" i="15"/>
  <c r="R39" i="15" s="1"/>
  <c r="A39" i="15" s="1"/>
  <c r="Q31" i="15"/>
  <c r="R31" i="15" s="1"/>
  <c r="A31" i="15" s="1"/>
  <c r="Q23" i="15"/>
  <c r="R23" i="15" s="1"/>
  <c r="A23" i="15" s="1"/>
  <c r="Q15" i="15"/>
  <c r="R15" i="15" s="1"/>
  <c r="A15" i="15" s="1"/>
  <c r="Q7" i="15"/>
  <c r="R7" i="15" s="1"/>
  <c r="A7" i="15" s="1"/>
  <c r="Q116" i="15"/>
  <c r="R116" i="15" s="1"/>
  <c r="A116" i="15" s="1"/>
  <c r="Q129" i="15"/>
  <c r="R129" i="15" s="1"/>
  <c r="A129" i="15" s="1"/>
  <c r="Q97" i="15"/>
  <c r="R97" i="15" s="1"/>
  <c r="A97" i="15" s="1"/>
  <c r="Q46" i="15"/>
  <c r="R46" i="15" s="1"/>
  <c r="A46" i="15" s="1"/>
  <c r="Q61" i="15"/>
  <c r="R61" i="15" s="1"/>
  <c r="A61" i="15" s="1"/>
  <c r="Q53" i="15"/>
  <c r="R53" i="15" s="1"/>
  <c r="A53" i="15" s="1"/>
  <c r="Q45" i="15"/>
  <c r="R45" i="15" s="1"/>
  <c r="A45" i="15" s="1"/>
  <c r="Q37" i="15"/>
  <c r="R37" i="15" s="1"/>
  <c r="A37" i="15" s="1"/>
  <c r="Q29" i="15"/>
  <c r="R29" i="15" s="1"/>
  <c r="A29" i="15" s="1"/>
  <c r="Q21" i="15"/>
  <c r="R21" i="15" s="1"/>
  <c r="A21" i="15" s="1"/>
  <c r="Q13" i="15"/>
  <c r="R13" i="15" s="1"/>
  <c r="A13" i="15" s="1"/>
  <c r="Q5" i="15"/>
  <c r="R5" i="15" s="1"/>
  <c r="A5" i="15" s="1"/>
  <c r="Q134" i="15"/>
  <c r="R134" i="15" s="1"/>
  <c r="A134" i="15" s="1"/>
  <c r="Q121" i="15"/>
  <c r="R121" i="15" s="1"/>
  <c r="A121" i="15" s="1"/>
  <c r="Q89" i="15"/>
  <c r="R89" i="15" s="1"/>
  <c r="A89" i="15" s="1"/>
  <c r="Q78" i="15"/>
  <c r="R78" i="15" s="1"/>
  <c r="A78" i="15" s="1"/>
  <c r="Q136" i="15"/>
  <c r="R136" i="15" s="1"/>
  <c r="A136" i="15" s="1"/>
  <c r="Q118" i="15"/>
  <c r="R118" i="15" s="1"/>
  <c r="A118" i="15" s="1"/>
  <c r="Q110" i="15"/>
  <c r="R110" i="15" s="1"/>
  <c r="A110" i="15" s="1"/>
  <c r="Q81" i="15"/>
  <c r="R81" i="15" s="1"/>
  <c r="A81" i="15" s="1"/>
  <c r="Q57" i="15"/>
  <c r="R57" i="15" s="1"/>
  <c r="A57" i="15" s="1"/>
  <c r="Q87" i="15"/>
  <c r="R87" i="15" s="1"/>
  <c r="A87" i="15" s="1"/>
  <c r="Q132" i="15"/>
  <c r="R132" i="15" s="1"/>
  <c r="A132" i="15" s="1"/>
  <c r="Q66" i="15"/>
  <c r="R66" i="15" s="1"/>
  <c r="A66" i="15" s="1"/>
  <c r="Q142" i="15"/>
  <c r="R142" i="15" s="1"/>
  <c r="A142" i="15" s="1"/>
  <c r="Q137" i="15"/>
  <c r="R137" i="15" s="1"/>
  <c r="A137" i="15" s="1"/>
  <c r="Q113" i="15"/>
  <c r="R113" i="15" s="1"/>
  <c r="A113" i="15" s="1"/>
  <c r="Q94" i="15"/>
  <c r="R94" i="15" s="1"/>
  <c r="A94" i="15" s="1"/>
  <c r="Q131" i="15"/>
  <c r="R131" i="15" s="1"/>
  <c r="A131" i="15" s="1"/>
  <c r="Q80" i="15"/>
  <c r="R80" i="15" s="1"/>
  <c r="A80" i="15" s="1"/>
  <c r="Q138" i="15"/>
  <c r="R138" i="15" s="1"/>
  <c r="A138" i="15" s="1"/>
  <c r="Q130" i="15"/>
  <c r="R130" i="15" s="1"/>
  <c r="A130" i="15" s="1"/>
  <c r="Q122" i="15"/>
  <c r="R122" i="15" s="1"/>
  <c r="A122" i="15" s="1"/>
  <c r="Q114" i="15"/>
  <c r="R114" i="15" s="1"/>
  <c r="A114" i="15" s="1"/>
  <c r="Q106" i="15"/>
  <c r="R106" i="15" s="1"/>
  <c r="A106" i="15" s="1"/>
  <c r="Q98" i="15"/>
  <c r="R98" i="15" s="1"/>
  <c r="A98" i="15" s="1"/>
  <c r="Q90" i="15"/>
  <c r="R90" i="15" s="1"/>
  <c r="A90" i="15" s="1"/>
  <c r="Q69" i="15"/>
  <c r="R69" i="15" s="1"/>
  <c r="A69" i="15" s="1"/>
  <c r="Q68" i="15"/>
  <c r="R68" i="15" s="1"/>
  <c r="A68" i="15" s="1"/>
  <c r="Q141" i="15"/>
  <c r="R141" i="15" s="1"/>
  <c r="A141" i="15" s="1"/>
  <c r="Q112" i="15"/>
  <c r="R112" i="15" s="1"/>
  <c r="A112" i="15" s="1"/>
  <c r="Q104" i="15"/>
  <c r="R104" i="15" s="1"/>
  <c r="A104" i="15" s="1"/>
  <c r="Q96" i="15"/>
  <c r="R96" i="15" s="1"/>
  <c r="A96" i="15" s="1"/>
  <c r="Q88" i="15"/>
  <c r="R88" i="15" s="1"/>
  <c r="A88" i="15" s="1"/>
  <c r="Q49" i="15"/>
  <c r="R49" i="15" s="1"/>
  <c r="A49" i="15" s="1"/>
  <c r="Q105" i="15"/>
  <c r="R105" i="15" s="1"/>
  <c r="A105" i="15" s="1"/>
  <c r="Q126" i="15"/>
  <c r="R126" i="15" s="1"/>
  <c r="A126" i="15" s="1"/>
  <c r="Q85" i="15"/>
  <c r="R85" i="15" s="1"/>
  <c r="A85" i="15" s="1"/>
  <c r="Q127" i="15"/>
  <c r="R127" i="15" s="1"/>
  <c r="A127" i="15" s="1"/>
  <c r="Q119" i="15"/>
  <c r="R119" i="15" s="1"/>
  <c r="A119" i="15" s="1"/>
  <c r="Q111" i="15"/>
  <c r="R111" i="15" s="1"/>
  <c r="A111" i="15" s="1"/>
  <c r="Q103" i="15"/>
  <c r="R103" i="15" s="1"/>
  <c r="A103" i="15" s="1"/>
  <c r="Q95" i="15"/>
  <c r="R95" i="15" s="1"/>
  <c r="A95" i="15" s="1"/>
  <c r="Q140" i="15"/>
  <c r="R140" i="15" s="1"/>
  <c r="A140" i="15" s="1"/>
  <c r="Q120" i="15"/>
  <c r="R120" i="15" s="1"/>
  <c r="A120" i="15" s="1"/>
  <c r="Q75" i="15"/>
  <c r="R75" i="15" s="1"/>
  <c r="A75" i="15" s="1"/>
  <c r="Q67" i="15"/>
  <c r="R67" i="15" s="1"/>
  <c r="A67" i="15" s="1"/>
  <c r="Q59" i="15"/>
  <c r="R59" i="15" s="1"/>
  <c r="A59" i="15" s="1"/>
  <c r="Q51" i="15"/>
  <c r="R51" i="15" s="1"/>
  <c r="A51" i="15" s="1"/>
  <c r="Q43" i="15"/>
  <c r="R43" i="15" s="1"/>
  <c r="A43" i="15" s="1"/>
  <c r="Q35" i="15"/>
  <c r="R35" i="15" s="1"/>
  <c r="A35" i="15" s="1"/>
  <c r="Q27" i="15"/>
  <c r="R27" i="15" s="1"/>
  <c r="A27" i="15" s="1"/>
  <c r="Q19" i="15"/>
  <c r="R19" i="15" s="1"/>
  <c r="A19" i="15" s="1"/>
  <c r="Q11" i="15"/>
  <c r="R11" i="15" s="1"/>
  <c r="A11" i="15" s="1"/>
  <c r="Q3" i="15"/>
  <c r="R3" i="15" s="1"/>
  <c r="A3" i="15" s="1"/>
  <c r="Q58" i="15"/>
  <c r="R58" i="15" s="1"/>
  <c r="A58" i="15" s="1"/>
  <c r="Q42" i="15"/>
  <c r="R42" i="15" s="1"/>
  <c r="A42" i="15" s="1"/>
  <c r="Q34" i="15"/>
  <c r="R34" i="15" s="1"/>
  <c r="A34" i="15" s="1"/>
  <c r="Q26" i="15"/>
  <c r="R26" i="15" s="1"/>
  <c r="A26" i="15" s="1"/>
  <c r="Q18" i="15"/>
  <c r="R18" i="15" s="1"/>
  <c r="A18" i="15" s="1"/>
  <c r="Q10" i="15"/>
  <c r="R10" i="15" s="1"/>
  <c r="A10" i="15" s="1"/>
  <c r="R24" i="25" l="1"/>
  <c r="Q24" i="25"/>
  <c r="P24" i="25"/>
  <c r="O24" i="25"/>
  <c r="N24" i="25"/>
  <c r="R16" i="25"/>
  <c r="Q16" i="25"/>
  <c r="P16" i="25"/>
  <c r="O16" i="25"/>
  <c r="N16" i="25"/>
  <c r="R8" i="25"/>
  <c r="Q8" i="25"/>
  <c r="P8" i="25"/>
  <c r="O8" i="25"/>
  <c r="N8" i="25"/>
  <c r="A25" i="26" l="1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D2" i="26" s="1"/>
  <c r="AO3" i="26"/>
  <c r="B7" i="26" l="1"/>
  <c r="AE7" i="26"/>
  <c r="C15" i="26"/>
  <c r="AE15" i="26"/>
  <c r="C23" i="26"/>
  <c r="AE23" i="26"/>
  <c r="B8" i="26"/>
  <c r="AE8" i="26"/>
  <c r="B16" i="26"/>
  <c r="AE16" i="26"/>
  <c r="C24" i="26"/>
  <c r="AE24" i="26"/>
  <c r="F9" i="26"/>
  <c r="AE9" i="26"/>
  <c r="B17" i="26"/>
  <c r="AE17" i="26"/>
  <c r="C25" i="26"/>
  <c r="AE25" i="26"/>
  <c r="D2" i="26"/>
  <c r="AE2" i="26"/>
  <c r="D10" i="26"/>
  <c r="AE10" i="26"/>
  <c r="C18" i="26"/>
  <c r="AE18" i="26"/>
  <c r="B3" i="26"/>
  <c r="AE3" i="26"/>
  <c r="B11" i="26"/>
  <c r="AE11" i="26"/>
  <c r="C19" i="26"/>
  <c r="AE19" i="26"/>
  <c r="B4" i="26"/>
  <c r="AE4" i="26"/>
  <c r="B12" i="26"/>
  <c r="AE12" i="26"/>
  <c r="C20" i="26"/>
  <c r="AE20" i="26"/>
  <c r="F5" i="26"/>
  <c r="AE5" i="26"/>
  <c r="B13" i="26"/>
  <c r="AE13" i="26"/>
  <c r="C21" i="26"/>
  <c r="AE21" i="26"/>
  <c r="D6" i="26"/>
  <c r="AE6" i="26"/>
  <c r="E14" i="26"/>
  <c r="AE14" i="26"/>
  <c r="C22" i="26"/>
  <c r="AE22" i="26"/>
  <c r="Y2" i="26"/>
  <c r="AB2" i="26"/>
  <c r="AA24" i="26"/>
  <c r="AA22" i="26"/>
  <c r="AF18" i="26"/>
  <c r="AF16" i="26"/>
  <c r="AF14" i="26"/>
  <c r="AA12" i="26"/>
  <c r="Y9" i="26"/>
  <c r="AA6" i="26"/>
  <c r="Y24" i="26"/>
  <c r="Y22" i="26"/>
  <c r="AA18" i="26"/>
  <c r="AA16" i="26"/>
  <c r="AA14" i="26"/>
  <c r="AF10" i="26"/>
  <c r="AF8" i="26"/>
  <c r="Y6" i="26"/>
  <c r="X25" i="26"/>
  <c r="W24" i="26"/>
  <c r="W22" i="26"/>
  <c r="Y18" i="26"/>
  <c r="Z16" i="26"/>
  <c r="Y14" i="26"/>
  <c r="AA10" i="26"/>
  <c r="W6" i="26"/>
  <c r="W25" i="26"/>
  <c r="T24" i="26"/>
  <c r="T22" i="26"/>
  <c r="W18" i="26"/>
  <c r="Y16" i="26"/>
  <c r="W14" i="26"/>
  <c r="Y10" i="26"/>
  <c r="AA8" i="26"/>
  <c r="U6" i="26"/>
  <c r="T18" i="26"/>
  <c r="W16" i="26"/>
  <c r="T14" i="26"/>
  <c r="W10" i="26"/>
  <c r="Y8" i="26"/>
  <c r="T6" i="26"/>
  <c r="AA23" i="26"/>
  <c r="X21" i="26"/>
  <c r="T16" i="26"/>
  <c r="T10" i="26"/>
  <c r="W8" i="26"/>
  <c r="Z5" i="26"/>
  <c r="Z23" i="26"/>
  <c r="W21" i="26"/>
  <c r="X17" i="26"/>
  <c r="AF15" i="26"/>
  <c r="X13" i="26"/>
  <c r="T8" i="26"/>
  <c r="AF4" i="26"/>
  <c r="AF22" i="26"/>
  <c r="AA20" i="26"/>
  <c r="W17" i="26"/>
  <c r="AA15" i="26"/>
  <c r="W13" i="26"/>
  <c r="Z9" i="26"/>
  <c r="U7" i="26"/>
  <c r="T4" i="26"/>
  <c r="AF19" i="26"/>
  <c r="Z20" i="26"/>
  <c r="Z12" i="26"/>
  <c r="AA11" i="26"/>
  <c r="T7" i="26"/>
  <c r="W3" i="26"/>
  <c r="AF25" i="26"/>
  <c r="U25" i="26"/>
  <c r="Y23" i="26"/>
  <c r="U21" i="26"/>
  <c r="Y20" i="26"/>
  <c r="Z19" i="26"/>
  <c r="U17" i="26"/>
  <c r="Z15" i="26"/>
  <c r="U13" i="26"/>
  <c r="Y12" i="26"/>
  <c r="Z11" i="26"/>
  <c r="X9" i="26"/>
  <c r="AF7" i="26"/>
  <c r="X5" i="26"/>
  <c r="AA4" i="26"/>
  <c r="AF2" i="26"/>
  <c r="U3" i="26"/>
  <c r="T25" i="26"/>
  <c r="Z24" i="26"/>
  <c r="X23" i="26"/>
  <c r="Z22" i="26"/>
  <c r="AF21" i="26"/>
  <c r="T21" i="26"/>
  <c r="X20" i="26"/>
  <c r="Y19" i="26"/>
  <c r="Z18" i="26"/>
  <c r="AF17" i="26"/>
  <c r="T17" i="26"/>
  <c r="X16" i="26"/>
  <c r="Y15" i="26"/>
  <c r="Z14" i="26"/>
  <c r="AF13" i="26"/>
  <c r="T13" i="26"/>
  <c r="AB13" i="26" s="1"/>
  <c r="X12" i="26"/>
  <c r="Y11" i="26"/>
  <c r="Z10" i="26"/>
  <c r="W9" i="26"/>
  <c r="Z8" i="26"/>
  <c r="AA7" i="26"/>
  <c r="AF6" i="26"/>
  <c r="W5" i="26"/>
  <c r="Z4" i="26"/>
  <c r="Y3" i="26"/>
  <c r="AF3" i="26"/>
  <c r="T3" i="26"/>
  <c r="AF23" i="26"/>
  <c r="W23" i="26"/>
  <c r="W20" i="26"/>
  <c r="X19" i="26"/>
  <c r="X15" i="26"/>
  <c r="W12" i="26"/>
  <c r="X11" i="26"/>
  <c r="AF9" i="26"/>
  <c r="U9" i="26"/>
  <c r="Z7" i="26"/>
  <c r="U5" i="26"/>
  <c r="Y4" i="26"/>
  <c r="AA25" i="26"/>
  <c r="X24" i="26"/>
  <c r="U23" i="26"/>
  <c r="X22" i="26"/>
  <c r="AA21" i="26"/>
  <c r="U20" i="26"/>
  <c r="W19" i="26"/>
  <c r="X18" i="26"/>
  <c r="AA17" i="26"/>
  <c r="U16" i="26"/>
  <c r="W15" i="26"/>
  <c r="X14" i="26"/>
  <c r="AA13" i="26"/>
  <c r="U12" i="26"/>
  <c r="W11" i="26"/>
  <c r="X10" i="26"/>
  <c r="T9" i="26"/>
  <c r="X8" i="26"/>
  <c r="Y7" i="26"/>
  <c r="Z6" i="26"/>
  <c r="AF5" i="26"/>
  <c r="T5" i="26"/>
  <c r="X4" i="26"/>
  <c r="AF11" i="26"/>
  <c r="AA19" i="26"/>
  <c r="AA3" i="26"/>
  <c r="Z25" i="26"/>
  <c r="T23" i="26"/>
  <c r="Z21" i="26"/>
  <c r="AF20" i="26"/>
  <c r="T20" i="26"/>
  <c r="U19" i="26"/>
  <c r="Z17" i="26"/>
  <c r="U15" i="26"/>
  <c r="Z13" i="26"/>
  <c r="AF12" i="26"/>
  <c r="T12" i="26"/>
  <c r="U11" i="26"/>
  <c r="X7" i="26"/>
  <c r="W4" i="26"/>
  <c r="W2" i="26"/>
  <c r="Z3" i="26"/>
  <c r="Y25" i="26"/>
  <c r="AF24" i="26"/>
  <c r="U24" i="26"/>
  <c r="U22" i="26"/>
  <c r="Y21" i="26"/>
  <c r="T19" i="26"/>
  <c r="U18" i="26"/>
  <c r="Y17" i="26"/>
  <c r="T15" i="26"/>
  <c r="U14" i="26"/>
  <c r="Y13" i="26"/>
  <c r="T11" i="26"/>
  <c r="U10" i="26"/>
  <c r="AA9" i="26"/>
  <c r="U8" i="26"/>
  <c r="W7" i="26"/>
  <c r="X6" i="26"/>
  <c r="AA5" i="26"/>
  <c r="U4" i="26"/>
  <c r="X3" i="26"/>
  <c r="Y5" i="26"/>
  <c r="T2" i="26"/>
  <c r="X2" i="26"/>
  <c r="AA2" i="26"/>
  <c r="U2" i="26"/>
  <c r="Z2" i="26"/>
  <c r="AC2" i="26"/>
  <c r="S2" i="26"/>
  <c r="B23" i="26"/>
  <c r="F20" i="26"/>
  <c r="B20" i="26"/>
  <c r="C16" i="26"/>
  <c r="D15" i="26"/>
  <c r="C10" i="26"/>
  <c r="E8" i="26"/>
  <c r="E4" i="26"/>
  <c r="F22" i="26"/>
  <c r="D14" i="26"/>
  <c r="F24" i="26"/>
  <c r="B24" i="26"/>
  <c r="F18" i="26"/>
  <c r="E12" i="26"/>
  <c r="B22" i="26"/>
  <c r="B15" i="26"/>
  <c r="C7" i="26"/>
  <c r="B21" i="26"/>
  <c r="F14" i="26"/>
  <c r="E6" i="26"/>
  <c r="C6" i="26"/>
  <c r="B14" i="26"/>
  <c r="F23" i="26"/>
  <c r="B18" i="26"/>
  <c r="E10" i="26"/>
  <c r="F13" i="26"/>
  <c r="E9" i="26"/>
  <c r="E5" i="26"/>
  <c r="C14" i="26"/>
  <c r="E13" i="26"/>
  <c r="F12" i="26"/>
  <c r="B10" i="26"/>
  <c r="D9" i="26"/>
  <c r="F8" i="26"/>
  <c r="B6" i="26"/>
  <c r="D5" i="26"/>
  <c r="F4" i="26"/>
  <c r="B25" i="26"/>
  <c r="V25" i="26" s="1"/>
  <c r="D13" i="26"/>
  <c r="C9" i="26"/>
  <c r="E25" i="26"/>
  <c r="E24" i="26"/>
  <c r="E23" i="26"/>
  <c r="E22" i="26"/>
  <c r="E21" i="26"/>
  <c r="E20" i="26"/>
  <c r="E19" i="26"/>
  <c r="E18" i="26"/>
  <c r="E17" i="26"/>
  <c r="F16" i="26"/>
  <c r="C13" i="26"/>
  <c r="D12" i="26"/>
  <c r="F11" i="26"/>
  <c r="B9" i="26"/>
  <c r="D8" i="26"/>
  <c r="F7" i="26"/>
  <c r="B5" i="26"/>
  <c r="D4" i="26"/>
  <c r="F3" i="26"/>
  <c r="B19" i="26"/>
  <c r="D25" i="26"/>
  <c r="D24" i="26"/>
  <c r="D23" i="26"/>
  <c r="D22" i="26"/>
  <c r="D21" i="26"/>
  <c r="D20" i="26"/>
  <c r="D19" i="26"/>
  <c r="D18" i="26"/>
  <c r="D17" i="26"/>
  <c r="E16" i="26"/>
  <c r="F15" i="26"/>
  <c r="C12" i="26"/>
  <c r="E11" i="26"/>
  <c r="C8" i="26"/>
  <c r="E7" i="26"/>
  <c r="C4" i="26"/>
  <c r="E3" i="26"/>
  <c r="F25" i="26"/>
  <c r="F21" i="26"/>
  <c r="F19" i="26"/>
  <c r="F17" i="26"/>
  <c r="C5" i="26"/>
  <c r="C17" i="26"/>
  <c r="D16" i="26"/>
  <c r="E15" i="26"/>
  <c r="D11" i="26"/>
  <c r="F10" i="26"/>
  <c r="D7" i="26"/>
  <c r="F6" i="26"/>
  <c r="D3" i="26"/>
  <c r="C11" i="26"/>
  <c r="C3" i="26"/>
  <c r="E2" i="26"/>
  <c r="C2" i="26"/>
  <c r="B2" i="26"/>
  <c r="F2" i="26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M86" i="22" s="1"/>
  <c r="A87" i="22"/>
  <c r="AM87" i="22" s="1"/>
  <c r="A88" i="22"/>
  <c r="AM88" i="22" s="1"/>
  <c r="A89" i="22"/>
  <c r="AM89" i="22" s="1"/>
  <c r="A90" i="22"/>
  <c r="AM90" i="22" s="1"/>
  <c r="A91" i="22"/>
  <c r="AM91" i="22" s="1"/>
  <c r="A92" i="22"/>
  <c r="AM92" i="22" s="1"/>
  <c r="A93" i="22"/>
  <c r="AM93" i="22" s="1"/>
  <c r="A94" i="22"/>
  <c r="AM94" i="22" s="1"/>
  <c r="A95" i="22"/>
  <c r="AM95" i="22" s="1"/>
  <c r="A96" i="22"/>
  <c r="AM96" i="22" s="1"/>
  <c r="A97" i="22"/>
  <c r="AM97" i="22" s="1"/>
  <c r="A98" i="22"/>
  <c r="AM98" i="22" s="1"/>
  <c r="A99" i="22"/>
  <c r="AM99" i="22" s="1"/>
  <c r="A100" i="22"/>
  <c r="AM100" i="22" s="1"/>
  <c r="A101" i="22"/>
  <c r="AM101" i="22" s="1"/>
  <c r="A102" i="22"/>
  <c r="AM102" i="22" s="1"/>
  <c r="A103" i="22"/>
  <c r="AM103" i="22" s="1"/>
  <c r="A104" i="22"/>
  <c r="AM104" i="22" s="1"/>
  <c r="A105" i="22"/>
  <c r="AM105" i="22" s="1"/>
  <c r="A106" i="22"/>
  <c r="AM106" i="22" s="1"/>
  <c r="A107" i="22"/>
  <c r="AM107" i="22" s="1"/>
  <c r="A108" i="22"/>
  <c r="AM108" i="22" s="1"/>
  <c r="A109" i="22"/>
  <c r="AM109" i="22" s="1"/>
  <c r="A110" i="22"/>
  <c r="AM110" i="22" s="1"/>
  <c r="A111" i="22"/>
  <c r="AM111" i="22" s="1"/>
  <c r="A112" i="22"/>
  <c r="AM112" i="22" s="1"/>
  <c r="A113" i="22"/>
  <c r="AM113" i="22" s="1"/>
  <c r="A114" i="22"/>
  <c r="AM114" i="22" s="1"/>
  <c r="A115" i="22"/>
  <c r="AM115" i="22" s="1"/>
  <c r="A116" i="22"/>
  <c r="AM116" i="22" s="1"/>
  <c r="A117" i="22"/>
  <c r="AM117" i="22" s="1"/>
  <c r="A118" i="22"/>
  <c r="AM118" i="22" s="1"/>
  <c r="A119" i="22"/>
  <c r="AM119" i="22" s="1"/>
  <c r="A120" i="22"/>
  <c r="AM120" i="22" s="1"/>
  <c r="A121" i="22"/>
  <c r="AM121" i="22" s="1"/>
  <c r="A122" i="22"/>
  <c r="AM122" i="22" s="1"/>
  <c r="A123" i="22"/>
  <c r="AM123" i="22" s="1"/>
  <c r="A124" i="22"/>
  <c r="AM124" i="22" s="1"/>
  <c r="A125" i="22"/>
  <c r="AM125" i="22" s="1"/>
  <c r="A126" i="22"/>
  <c r="AM126" i="22" s="1"/>
  <c r="A127" i="22"/>
  <c r="AM127" i="22" s="1"/>
  <c r="A128" i="22"/>
  <c r="AM128" i="22" s="1"/>
  <c r="A129" i="22"/>
  <c r="AM129" i="22" s="1"/>
  <c r="A130" i="22"/>
  <c r="AM130" i="22" s="1"/>
  <c r="A2" i="22"/>
  <c r="AM2" i="22" s="1"/>
  <c r="V19" i="26" l="1"/>
  <c r="V23" i="26"/>
  <c r="V21" i="26"/>
  <c r="V7" i="26"/>
  <c r="AB121" i="22"/>
  <c r="AP121" i="22"/>
  <c r="AB104" i="22"/>
  <c r="AP104" i="22"/>
  <c r="AB88" i="22"/>
  <c r="AP88" i="22"/>
  <c r="AB126" i="22"/>
  <c r="AP126" i="22"/>
  <c r="AB118" i="22"/>
  <c r="AP118" i="22"/>
  <c r="AB110" i="22"/>
  <c r="AP110" i="22"/>
  <c r="AB102" i="22"/>
  <c r="AP102" i="22"/>
  <c r="AB94" i="22"/>
  <c r="AP94" i="22"/>
  <c r="AB86" i="22"/>
  <c r="AP86" i="22"/>
  <c r="AB122" i="22"/>
  <c r="AP122" i="22"/>
  <c r="AB90" i="22"/>
  <c r="AP90" i="22"/>
  <c r="AB105" i="22"/>
  <c r="AP105" i="22"/>
  <c r="AB112" i="22"/>
  <c r="AP112" i="22"/>
  <c r="AB96" i="22"/>
  <c r="AP96" i="22"/>
  <c r="AB127" i="22"/>
  <c r="AP127" i="22"/>
  <c r="AB125" i="22"/>
  <c r="AP125" i="22"/>
  <c r="AB117" i="22"/>
  <c r="AP117" i="22"/>
  <c r="AB109" i="22"/>
  <c r="AP109" i="22"/>
  <c r="AB101" i="22"/>
  <c r="AP101" i="22"/>
  <c r="AB93" i="22"/>
  <c r="AP93" i="22"/>
  <c r="AB124" i="22"/>
  <c r="AP124" i="22"/>
  <c r="AB108" i="22"/>
  <c r="AP108" i="22"/>
  <c r="AB92" i="22"/>
  <c r="AP92" i="22"/>
  <c r="AB106" i="22"/>
  <c r="AP106" i="22"/>
  <c r="AB116" i="22"/>
  <c r="AP116" i="22"/>
  <c r="AB100" i="22"/>
  <c r="AP100" i="22"/>
  <c r="AB123" i="22"/>
  <c r="AP123" i="22"/>
  <c r="AB115" i="22"/>
  <c r="AP115" i="22"/>
  <c r="AB107" i="22"/>
  <c r="AP107" i="22"/>
  <c r="AB99" i="22"/>
  <c r="AP99" i="22"/>
  <c r="AB91" i="22"/>
  <c r="AP91" i="22"/>
  <c r="AB130" i="22"/>
  <c r="AP130" i="22"/>
  <c r="AB89" i="22"/>
  <c r="AP89" i="22"/>
  <c r="AB98" i="22"/>
  <c r="AP98" i="22"/>
  <c r="AB129" i="22"/>
  <c r="AP129" i="22"/>
  <c r="AB97" i="22"/>
  <c r="AP97" i="22"/>
  <c r="AB128" i="22"/>
  <c r="AP128" i="22"/>
  <c r="AB114" i="22"/>
  <c r="AP114" i="22"/>
  <c r="AB113" i="22"/>
  <c r="AP113" i="22"/>
  <c r="AB120" i="22"/>
  <c r="AP120" i="22"/>
  <c r="AB119" i="22"/>
  <c r="AP119" i="22"/>
  <c r="AB111" i="22"/>
  <c r="AP111" i="22"/>
  <c r="AB103" i="22"/>
  <c r="AP103" i="22"/>
  <c r="AB95" i="22"/>
  <c r="AP95" i="22"/>
  <c r="AB87" i="22"/>
  <c r="AP87" i="22"/>
  <c r="V24" i="26"/>
  <c r="V20" i="26"/>
  <c r="V22" i="26"/>
  <c r="V9" i="26"/>
  <c r="V10" i="26"/>
  <c r="V5" i="26"/>
  <c r="V6" i="26"/>
  <c r="V15" i="26"/>
  <c r="V8" i="26"/>
  <c r="V18" i="26"/>
  <c r="V11" i="26"/>
  <c r="V14" i="26"/>
  <c r="V12" i="26"/>
  <c r="V3" i="26"/>
  <c r="V16" i="26"/>
  <c r="V13" i="26"/>
  <c r="V4" i="26"/>
  <c r="V17" i="26"/>
  <c r="AB24" i="26"/>
  <c r="AB9" i="26"/>
  <c r="AN2" i="22"/>
  <c r="AN125" i="22"/>
  <c r="AN93" i="22"/>
  <c r="AN77" i="22"/>
  <c r="AN53" i="22"/>
  <c r="AN29" i="22"/>
  <c r="AN13" i="22"/>
  <c r="AN116" i="22"/>
  <c r="AN84" i="22"/>
  <c r="AN76" i="22"/>
  <c r="AN52" i="22"/>
  <c r="AN36" i="22"/>
  <c r="AN20" i="22"/>
  <c r="AN123" i="22"/>
  <c r="AN115" i="22"/>
  <c r="AN107" i="22"/>
  <c r="AN99" i="22"/>
  <c r="AN91" i="22"/>
  <c r="AN83" i="22"/>
  <c r="AN75" i="22"/>
  <c r="AN67" i="22"/>
  <c r="AN59" i="22"/>
  <c r="AN51" i="22"/>
  <c r="AN43" i="22"/>
  <c r="AN35" i="22"/>
  <c r="AN27" i="22"/>
  <c r="AN19" i="22"/>
  <c r="AN11" i="22"/>
  <c r="AN3" i="22"/>
  <c r="AN129" i="22"/>
  <c r="AN117" i="22"/>
  <c r="AN101" i="22"/>
  <c r="AN85" i="22"/>
  <c r="AN61" i="22"/>
  <c r="AN37" i="22"/>
  <c r="AN5" i="22"/>
  <c r="AN124" i="22"/>
  <c r="AN108" i="22"/>
  <c r="AN92" i="22"/>
  <c r="AN68" i="22"/>
  <c r="AN60" i="22"/>
  <c r="AN44" i="22"/>
  <c r="AN28" i="22"/>
  <c r="AN12" i="22"/>
  <c r="AN130" i="22"/>
  <c r="AN122" i="22"/>
  <c r="AN114" i="22"/>
  <c r="AN106" i="22"/>
  <c r="AN98" i="22"/>
  <c r="AN90" i="22"/>
  <c r="AN82" i="22"/>
  <c r="AN74" i="22"/>
  <c r="AN66" i="22"/>
  <c r="AN58" i="22"/>
  <c r="AN50" i="22"/>
  <c r="AN42" i="22"/>
  <c r="AN34" i="22"/>
  <c r="AN26" i="22"/>
  <c r="AN18" i="22"/>
  <c r="AN10" i="22"/>
  <c r="AN121" i="22"/>
  <c r="AN105" i="22"/>
  <c r="AN81" i="22"/>
  <c r="AN57" i="22"/>
  <c r="AN33" i="22"/>
  <c r="AN17" i="22"/>
  <c r="AN104" i="22"/>
  <c r="AN64" i="22"/>
  <c r="AN8" i="22"/>
  <c r="AN89" i="22"/>
  <c r="AN65" i="22"/>
  <c r="AN49" i="22"/>
  <c r="AN9" i="22"/>
  <c r="AN120" i="22"/>
  <c r="AN96" i="22"/>
  <c r="AN80" i="22"/>
  <c r="AN56" i="22"/>
  <c r="AN40" i="22"/>
  <c r="AN16" i="22"/>
  <c r="AN127" i="22"/>
  <c r="AN119" i="22"/>
  <c r="AN111" i="22"/>
  <c r="AN103" i="22"/>
  <c r="AN95" i="22"/>
  <c r="AN87" i="22"/>
  <c r="AN79" i="22"/>
  <c r="AN71" i="22"/>
  <c r="AN63" i="22"/>
  <c r="AN55" i="22"/>
  <c r="AN47" i="22"/>
  <c r="AN39" i="22"/>
  <c r="AN31" i="22"/>
  <c r="AN23" i="22"/>
  <c r="AN15" i="22"/>
  <c r="AN7" i="22"/>
  <c r="AN97" i="22"/>
  <c r="AN73" i="22"/>
  <c r="AN41" i="22"/>
  <c r="AN25" i="22"/>
  <c r="AN128" i="22"/>
  <c r="AN112" i="22"/>
  <c r="AN88" i="22"/>
  <c r="AN72" i="22"/>
  <c r="AN48" i="22"/>
  <c r="AN32" i="22"/>
  <c r="AN24" i="22"/>
  <c r="AN126" i="22"/>
  <c r="AN118" i="22"/>
  <c r="AN110" i="22"/>
  <c r="AN102" i="22"/>
  <c r="AN94" i="22"/>
  <c r="AN86" i="22"/>
  <c r="AN78" i="22"/>
  <c r="AN70" i="22"/>
  <c r="AN62" i="22"/>
  <c r="AN54" i="22"/>
  <c r="AN46" i="22"/>
  <c r="AN38" i="22"/>
  <c r="AN30" i="22"/>
  <c r="AN22" i="22"/>
  <c r="AN14" i="22"/>
  <c r="AN6" i="22"/>
  <c r="AN113" i="22"/>
  <c r="AN109" i="22"/>
  <c r="AN69" i="22"/>
  <c r="AN45" i="22"/>
  <c r="AN21" i="22"/>
  <c r="AN100" i="22"/>
  <c r="AN4" i="22"/>
  <c r="AB23" i="26"/>
  <c r="AB3" i="26"/>
  <c r="AB20" i="26"/>
  <c r="AB12" i="26"/>
  <c r="AB10" i="26"/>
  <c r="AB14" i="26"/>
  <c r="AB5" i="26"/>
  <c r="AB21" i="26"/>
  <c r="AB25" i="26"/>
  <c r="AB16" i="26"/>
  <c r="AB4" i="26"/>
  <c r="AB17" i="26"/>
  <c r="AB22" i="26"/>
  <c r="AB11" i="26"/>
  <c r="AB8" i="26"/>
  <c r="AB19" i="26"/>
  <c r="AB15" i="26"/>
  <c r="AB18" i="26"/>
  <c r="AB7" i="26"/>
  <c r="AB6" i="26"/>
  <c r="C2" i="15" l="1"/>
  <c r="AK2" i="26"/>
  <c r="Q15" i="25"/>
  <c r="Q17" i="25" s="1"/>
  <c r="X7" i="15"/>
  <c r="AJ2" i="26"/>
  <c r="R23" i="25"/>
  <c r="R25" i="25" s="1"/>
  <c r="O15" i="25"/>
  <c r="O17" i="25" s="1"/>
  <c r="O23" i="25"/>
  <c r="O26" i="25" s="1"/>
  <c r="R15" i="25"/>
  <c r="R17" i="25" s="1"/>
  <c r="Q23" i="25"/>
  <c r="Q25" i="25" s="1"/>
  <c r="N15" i="25"/>
  <c r="N17" i="25" s="1"/>
  <c r="AN2" i="26"/>
  <c r="W7" i="15"/>
  <c r="P23" i="25"/>
  <c r="P26" i="25" s="1"/>
  <c r="P7" i="25"/>
  <c r="P15" i="25"/>
  <c r="P17" i="25" s="1"/>
  <c r="O7" i="25"/>
  <c r="AM2" i="26"/>
  <c r="N23" i="25"/>
  <c r="N26" i="25" s="1"/>
  <c r="N7" i="25"/>
  <c r="AL2" i="26"/>
  <c r="AW2" i="22"/>
  <c r="AU2" i="22"/>
  <c r="AT2" i="22"/>
  <c r="AV2" i="22"/>
  <c r="AS2" i="22"/>
  <c r="AY2" i="22"/>
  <c r="AX2" i="22"/>
  <c r="AI2" i="26"/>
  <c r="C4" i="25"/>
  <c r="C21" i="25"/>
  <c r="C6" i="25"/>
  <c r="C23" i="25"/>
  <c r="C8" i="25"/>
  <c r="C16" i="25"/>
  <c r="C24" i="25"/>
  <c r="C9" i="25"/>
  <c r="C17" i="25"/>
  <c r="C10" i="25"/>
  <c r="C18" i="25"/>
  <c r="C20" i="25"/>
  <c r="C13" i="25"/>
  <c r="C14" i="25"/>
  <c r="C15" i="25"/>
  <c r="C3" i="25"/>
  <c r="C11" i="25"/>
  <c r="C19" i="25"/>
  <c r="C12" i="25"/>
  <c r="C5" i="25"/>
  <c r="C22" i="25"/>
  <c r="C7" i="25"/>
  <c r="G21" i="25"/>
  <c r="G13" i="25"/>
  <c r="G5" i="25"/>
  <c r="H2" i="25"/>
  <c r="H9" i="25"/>
  <c r="H23" i="25"/>
  <c r="H7" i="25"/>
  <c r="G20" i="25"/>
  <c r="G12" i="25"/>
  <c r="G4" i="25"/>
  <c r="H5" i="25"/>
  <c r="G11" i="25"/>
  <c r="G3" i="25"/>
  <c r="F24" i="25"/>
  <c r="H19" i="25"/>
  <c r="H3" i="25"/>
  <c r="G18" i="25"/>
  <c r="G10" i="25"/>
  <c r="H21" i="25"/>
  <c r="G19" i="25"/>
  <c r="F20" i="25"/>
  <c r="H17" i="25"/>
  <c r="G2" i="25"/>
  <c r="G17" i="25"/>
  <c r="G9" i="25"/>
  <c r="F17" i="25"/>
  <c r="H15" i="25"/>
  <c r="G24" i="25"/>
  <c r="G16" i="25"/>
  <c r="G8" i="25"/>
  <c r="F12" i="25"/>
  <c r="H13" i="25"/>
  <c r="G23" i="25"/>
  <c r="G15" i="25"/>
  <c r="G7" i="25"/>
  <c r="F7" i="25"/>
  <c r="H11" i="25"/>
  <c r="G22" i="25"/>
  <c r="G14" i="25"/>
  <c r="G6" i="25"/>
  <c r="F23" i="25"/>
  <c r="F3" i="25"/>
  <c r="H18" i="25"/>
  <c r="H10" i="25"/>
  <c r="F19" i="25"/>
  <c r="H24" i="25"/>
  <c r="H16" i="25"/>
  <c r="H8" i="25"/>
  <c r="F13" i="25"/>
  <c r="H22" i="25"/>
  <c r="H14" i="25"/>
  <c r="H6" i="25"/>
  <c r="F8" i="25"/>
  <c r="H20" i="25"/>
  <c r="H12" i="25"/>
  <c r="H4" i="25"/>
  <c r="F21" i="25"/>
  <c r="F11" i="25"/>
  <c r="F9" i="25"/>
  <c r="F16" i="25"/>
  <c r="F5" i="25"/>
  <c r="F2" i="25"/>
  <c r="F15" i="25"/>
  <c r="F4" i="25"/>
  <c r="F18" i="25"/>
  <c r="F10" i="25"/>
  <c r="F22" i="25"/>
  <c r="F14" i="25"/>
  <c r="F6" i="25"/>
  <c r="E19" i="25"/>
  <c r="E3" i="25"/>
  <c r="E2" i="25"/>
  <c r="E17" i="25"/>
  <c r="E9" i="25"/>
  <c r="E10" i="25"/>
  <c r="E24" i="25"/>
  <c r="E16" i="25"/>
  <c r="E8" i="25"/>
  <c r="E11" i="25"/>
  <c r="E18" i="25"/>
  <c r="E7" i="25"/>
  <c r="E22" i="25"/>
  <c r="E14" i="25"/>
  <c r="E6" i="25"/>
  <c r="E15" i="25"/>
  <c r="E21" i="25"/>
  <c r="E13" i="25"/>
  <c r="E5" i="25"/>
  <c r="E23" i="25"/>
  <c r="E20" i="25"/>
  <c r="E12" i="25"/>
  <c r="E4" i="25"/>
  <c r="C2" i="25"/>
  <c r="O25" i="25" l="1"/>
  <c r="O140" i="22"/>
  <c r="O132" i="22"/>
  <c r="O134" i="22"/>
  <c r="O138" i="22"/>
  <c r="O136" i="22"/>
  <c r="O142" i="22"/>
  <c r="O144" i="22"/>
  <c r="O141" i="22"/>
  <c r="O131" i="22"/>
  <c r="O133" i="22"/>
  <c r="O139" i="22"/>
  <c r="O135" i="22"/>
  <c r="O143" i="22"/>
  <c r="O137" i="22"/>
  <c r="L135" i="22"/>
  <c r="L133" i="22"/>
  <c r="L137" i="22"/>
  <c r="L139" i="22"/>
  <c r="L141" i="22"/>
  <c r="L143" i="22"/>
  <c r="L134" i="22"/>
  <c r="L136" i="22"/>
  <c r="L131" i="22"/>
  <c r="L140" i="22"/>
  <c r="L138" i="22"/>
  <c r="L142" i="22"/>
  <c r="L132" i="22"/>
  <c r="L144" i="22"/>
  <c r="J135" i="22"/>
  <c r="J144" i="22"/>
  <c r="J133" i="22"/>
  <c r="J141" i="22"/>
  <c r="J132" i="22"/>
  <c r="J139" i="22"/>
  <c r="J131" i="22"/>
  <c r="J143" i="22"/>
  <c r="J137" i="22"/>
  <c r="J140" i="22"/>
  <c r="J136" i="22"/>
  <c r="J134" i="22"/>
  <c r="J142" i="22"/>
  <c r="J138" i="22"/>
  <c r="I131" i="22"/>
  <c r="I141" i="22"/>
  <c r="I135" i="22"/>
  <c r="I139" i="22"/>
  <c r="I140" i="22"/>
  <c r="I137" i="22"/>
  <c r="I144" i="22"/>
  <c r="I143" i="22"/>
  <c r="I134" i="22"/>
  <c r="I142" i="22"/>
  <c r="I133" i="22"/>
  <c r="I136" i="22"/>
  <c r="I132" i="22"/>
  <c r="I138" i="22"/>
  <c r="M143" i="22"/>
  <c r="M132" i="22"/>
  <c r="M136" i="22"/>
  <c r="M134" i="22"/>
  <c r="M135" i="22"/>
  <c r="M139" i="22"/>
  <c r="M141" i="22"/>
  <c r="M140" i="22"/>
  <c r="M137" i="22"/>
  <c r="M133" i="22"/>
  <c r="M142" i="22"/>
  <c r="M131" i="22"/>
  <c r="M138" i="22"/>
  <c r="M144" i="22"/>
  <c r="K137" i="22"/>
  <c r="K143" i="22"/>
  <c r="K135" i="22"/>
  <c r="K133" i="22"/>
  <c r="K141" i="22"/>
  <c r="K131" i="22"/>
  <c r="K139" i="22"/>
  <c r="K138" i="22"/>
  <c r="K144" i="22"/>
  <c r="K134" i="22"/>
  <c r="K136" i="22"/>
  <c r="K142" i="22"/>
  <c r="K132" i="22"/>
  <c r="K140" i="22"/>
  <c r="N136" i="22"/>
  <c r="N144" i="22"/>
  <c r="N134" i="22"/>
  <c r="N138" i="22"/>
  <c r="N142" i="22"/>
  <c r="N132" i="22"/>
  <c r="N140" i="22"/>
  <c r="N135" i="22"/>
  <c r="N143" i="22"/>
  <c r="N141" i="22"/>
  <c r="N131" i="22"/>
  <c r="N137" i="22"/>
  <c r="N133" i="22"/>
  <c r="N139" i="22"/>
  <c r="Q26" i="25"/>
  <c r="N25" i="25"/>
  <c r="R26" i="25"/>
  <c r="P25" i="25"/>
  <c r="I2" i="26"/>
  <c r="I14" i="26"/>
  <c r="I10" i="26"/>
  <c r="I15" i="26"/>
  <c r="I6" i="26"/>
  <c r="I7" i="26"/>
  <c r="I11" i="26"/>
  <c r="I5" i="26"/>
  <c r="I22" i="26"/>
  <c r="I23" i="26"/>
  <c r="I24" i="26"/>
  <c r="I17" i="26"/>
  <c r="I16" i="26"/>
  <c r="I3" i="26"/>
  <c r="I9" i="26"/>
  <c r="I12" i="26"/>
  <c r="I8" i="26"/>
  <c r="I25" i="26"/>
  <c r="I13" i="26"/>
  <c r="I4" i="26"/>
  <c r="I18" i="26"/>
  <c r="I19" i="26"/>
  <c r="I20" i="26"/>
  <c r="I21" i="26"/>
  <c r="G7" i="26"/>
  <c r="G11" i="26"/>
  <c r="G13" i="26"/>
  <c r="G15" i="26"/>
  <c r="G24" i="26"/>
  <c r="G4" i="26"/>
  <c r="G23" i="26"/>
  <c r="G12" i="26"/>
  <c r="G16" i="26"/>
  <c r="G20" i="26"/>
  <c r="G21" i="26"/>
  <c r="G14" i="26"/>
  <c r="G22" i="26"/>
  <c r="G18" i="26"/>
  <c r="G8" i="26"/>
  <c r="G17" i="26"/>
  <c r="G3" i="26"/>
  <c r="G5" i="26"/>
  <c r="G6" i="26"/>
  <c r="G25" i="26"/>
  <c r="G9" i="26"/>
  <c r="G19" i="26"/>
  <c r="G10" i="26"/>
  <c r="K24" i="26"/>
  <c r="K22" i="26"/>
  <c r="K18" i="26"/>
  <c r="K20" i="26"/>
  <c r="K23" i="26"/>
  <c r="K14" i="26"/>
  <c r="K9" i="26"/>
  <c r="K5" i="26"/>
  <c r="K19" i="26"/>
  <c r="K10" i="26"/>
  <c r="K16" i="26"/>
  <c r="K21" i="26"/>
  <c r="K25" i="26"/>
  <c r="K15" i="26"/>
  <c r="K7" i="26"/>
  <c r="K13" i="26"/>
  <c r="K3" i="26"/>
  <c r="K6" i="26"/>
  <c r="K11" i="26"/>
  <c r="K17" i="26"/>
  <c r="K2" i="26"/>
  <c r="K12" i="26"/>
  <c r="K4" i="26"/>
  <c r="K8" i="26"/>
  <c r="J8" i="26"/>
  <c r="J6" i="26"/>
  <c r="J12" i="26"/>
  <c r="J4" i="26"/>
  <c r="J10" i="26"/>
  <c r="J14" i="26"/>
  <c r="J22" i="26"/>
  <c r="J23" i="26"/>
  <c r="J15" i="26"/>
  <c r="J2" i="26"/>
  <c r="J24" i="26"/>
  <c r="J17" i="26"/>
  <c r="J16" i="26"/>
  <c r="J3" i="26"/>
  <c r="J5" i="26"/>
  <c r="J25" i="26"/>
  <c r="J7" i="26"/>
  <c r="J13" i="26"/>
  <c r="J18" i="26"/>
  <c r="J11" i="26"/>
  <c r="J9" i="26"/>
  <c r="J19" i="26"/>
  <c r="J20" i="26"/>
  <c r="J21" i="26"/>
  <c r="H25" i="26"/>
  <c r="H23" i="26"/>
  <c r="H6" i="26"/>
  <c r="H19" i="26"/>
  <c r="H21" i="26"/>
  <c r="H7" i="26"/>
  <c r="H18" i="26"/>
  <c r="H16" i="26"/>
  <c r="H15" i="26"/>
  <c r="H20" i="26"/>
  <c r="H10" i="26"/>
  <c r="H24" i="26"/>
  <c r="H22" i="26"/>
  <c r="H3" i="26"/>
  <c r="H14" i="26"/>
  <c r="H12" i="26"/>
  <c r="H11" i="26"/>
  <c r="H17" i="26"/>
  <c r="H4" i="26"/>
  <c r="H5" i="26"/>
  <c r="H9" i="26"/>
  <c r="H8" i="26"/>
  <c r="H13" i="26"/>
  <c r="H2" i="26"/>
  <c r="G2" i="26"/>
  <c r="M18" i="25"/>
  <c r="Q7" i="25"/>
  <c r="Q9" i="25" s="1"/>
  <c r="P9" i="25"/>
  <c r="O9" i="25"/>
  <c r="R7" i="25"/>
  <c r="R9" i="25" s="1"/>
  <c r="N9" i="25"/>
  <c r="AR2" i="22"/>
  <c r="Y23" i="15"/>
  <c r="Y15" i="15"/>
  <c r="Y7" i="15"/>
  <c r="P2" i="15"/>
  <c r="X23" i="15"/>
  <c r="X15" i="15"/>
  <c r="O2" i="15"/>
  <c r="W23" i="15"/>
  <c r="W15" i="15"/>
  <c r="N2" i="15"/>
  <c r="V23" i="15"/>
  <c r="V15" i="15"/>
  <c r="V7" i="15"/>
  <c r="M2" i="15"/>
  <c r="L2" i="15"/>
  <c r="AB23" i="15"/>
  <c r="AB15" i="15"/>
  <c r="AB7" i="15"/>
  <c r="K2" i="15"/>
  <c r="AA23" i="15"/>
  <c r="AA15" i="15"/>
  <c r="AA7" i="15"/>
  <c r="J2" i="15"/>
  <c r="Z23" i="15"/>
  <c r="Z15" i="15"/>
  <c r="Z7" i="15"/>
  <c r="AB24" i="15"/>
  <c r="AA24" i="15"/>
  <c r="Z24" i="15"/>
  <c r="Y24" i="15"/>
  <c r="X24" i="15"/>
  <c r="W24" i="15"/>
  <c r="V24" i="15"/>
  <c r="AB16" i="15"/>
  <c r="AA16" i="15"/>
  <c r="Z16" i="15"/>
  <c r="Y16" i="15"/>
  <c r="X16" i="15"/>
  <c r="W16" i="15"/>
  <c r="V16" i="15"/>
  <c r="L2" i="26" l="1"/>
  <c r="Q2" i="26" s="1"/>
  <c r="L5" i="26"/>
  <c r="P5" i="26" s="1"/>
  <c r="L20" i="26"/>
  <c r="Q20" i="26" s="1"/>
  <c r="L11" i="26"/>
  <c r="O11" i="26" s="1"/>
  <c r="L3" i="26"/>
  <c r="M3" i="26" s="1"/>
  <c r="L16" i="26"/>
  <c r="M16" i="26" s="1"/>
  <c r="L7" i="26"/>
  <c r="P7" i="26" s="1"/>
  <c r="L17" i="26"/>
  <c r="M17" i="26" s="1"/>
  <c r="L12" i="26"/>
  <c r="Q12" i="26" s="1"/>
  <c r="L10" i="26"/>
  <c r="P10" i="26" s="1"/>
  <c r="L8" i="26"/>
  <c r="Q8" i="26" s="1"/>
  <c r="L23" i="26"/>
  <c r="P23" i="26" s="1"/>
  <c r="L19" i="26"/>
  <c r="M19" i="26" s="1"/>
  <c r="L18" i="26"/>
  <c r="O18" i="26" s="1"/>
  <c r="L4" i="26"/>
  <c r="O4" i="26" s="1"/>
  <c r="L9" i="26"/>
  <c r="M9" i="26" s="1"/>
  <c r="L22" i="26"/>
  <c r="Q22" i="26" s="1"/>
  <c r="L24" i="26"/>
  <c r="M24" i="26" s="1"/>
  <c r="L25" i="26"/>
  <c r="P25" i="26" s="1"/>
  <c r="L14" i="26"/>
  <c r="P14" i="26" s="1"/>
  <c r="L15" i="26"/>
  <c r="M15" i="26" s="1"/>
  <c r="L6" i="26"/>
  <c r="N6" i="26" s="1"/>
  <c r="L21" i="26"/>
  <c r="N21" i="26" s="1"/>
  <c r="L13" i="26"/>
  <c r="M13" i="26" s="1"/>
  <c r="P134" i="22"/>
  <c r="T134" i="22" s="1"/>
  <c r="P131" i="22"/>
  <c r="Q131" i="22" s="1"/>
  <c r="P143" i="22"/>
  <c r="U143" i="22" s="1"/>
  <c r="P144" i="22"/>
  <c r="P138" i="22"/>
  <c r="P137" i="22"/>
  <c r="P140" i="22"/>
  <c r="P139" i="22"/>
  <c r="P133" i="22"/>
  <c r="P135" i="22"/>
  <c r="P132" i="22"/>
  <c r="P136" i="22"/>
  <c r="P142" i="22"/>
  <c r="P141" i="22"/>
  <c r="S23" i="25"/>
  <c r="M26" i="25"/>
  <c r="M10" i="25"/>
  <c r="R10" i="25"/>
  <c r="O10" i="25"/>
  <c r="N10" i="25"/>
  <c r="P10" i="25"/>
  <c r="Q10" i="25"/>
  <c r="N18" i="25"/>
  <c r="O18" i="25"/>
  <c r="Q18" i="25"/>
  <c r="R18" i="25"/>
  <c r="P18" i="25"/>
  <c r="I21" i="25"/>
  <c r="I23" i="25"/>
  <c r="I24" i="25"/>
  <c r="I9" i="25"/>
  <c r="I10" i="25"/>
  <c r="I15" i="25"/>
  <c r="I11" i="25"/>
  <c r="I16" i="25"/>
  <c r="I3" i="25"/>
  <c r="I18" i="25"/>
  <c r="I22" i="25"/>
  <c r="I19" i="25"/>
  <c r="I14" i="25"/>
  <c r="I13" i="25"/>
  <c r="I6" i="25"/>
  <c r="I5" i="25"/>
  <c r="I7" i="25"/>
  <c r="I4" i="25"/>
  <c r="I17" i="25"/>
  <c r="I8" i="25"/>
  <c r="I2" i="25"/>
  <c r="I12" i="25"/>
  <c r="I20" i="25"/>
  <c r="AB18" i="15"/>
  <c r="V18" i="15"/>
  <c r="W18" i="15"/>
  <c r="X18" i="15"/>
  <c r="Y18" i="15"/>
  <c r="Z18" i="15"/>
  <c r="AA18" i="15"/>
  <c r="V26" i="15"/>
  <c r="W25" i="15"/>
  <c r="X25" i="15"/>
  <c r="Y26" i="15"/>
  <c r="Z26" i="15"/>
  <c r="AA26" i="15"/>
  <c r="AB26" i="15"/>
  <c r="AB25" i="15"/>
  <c r="Z25" i="15"/>
  <c r="X26" i="15"/>
  <c r="W26" i="15"/>
  <c r="AB17" i="15"/>
  <c r="X17" i="15"/>
  <c r="Y25" i="15"/>
  <c r="AA25" i="15"/>
  <c r="V25" i="15"/>
  <c r="V17" i="15"/>
  <c r="W17" i="15"/>
  <c r="Y17" i="15"/>
  <c r="Z17" i="15"/>
  <c r="AA17" i="15"/>
  <c r="Q11" i="26" l="1"/>
  <c r="M11" i="26"/>
  <c r="P11" i="26"/>
  <c r="O23" i="26"/>
  <c r="N23" i="26"/>
  <c r="M23" i="26"/>
  <c r="N11" i="26"/>
  <c r="M8" i="26"/>
  <c r="M10" i="26"/>
  <c r="N20" i="26"/>
  <c r="M20" i="26"/>
  <c r="Q25" i="26"/>
  <c r="M14" i="26"/>
  <c r="N16" i="26"/>
  <c r="O14" i="26"/>
  <c r="P20" i="26"/>
  <c r="N8" i="26"/>
  <c r="O8" i="26"/>
  <c r="N25" i="26"/>
  <c r="P8" i="26"/>
  <c r="O20" i="26"/>
  <c r="M25" i="26"/>
  <c r="M5" i="26"/>
  <c r="Q16" i="26"/>
  <c r="P16" i="26"/>
  <c r="N5" i="26"/>
  <c r="O24" i="26"/>
  <c r="O5" i="26"/>
  <c r="O16" i="26"/>
  <c r="Q5" i="26"/>
  <c r="P24" i="26"/>
  <c r="O10" i="26"/>
  <c r="O15" i="26"/>
  <c r="O25" i="26"/>
  <c r="Q23" i="26"/>
  <c r="M6" i="26"/>
  <c r="N9" i="26"/>
  <c r="N10" i="26"/>
  <c r="N15" i="26"/>
  <c r="N24" i="26"/>
  <c r="Q10" i="26"/>
  <c r="Q24" i="26"/>
  <c r="M7" i="26"/>
  <c r="P15" i="26"/>
  <c r="Q4" i="26"/>
  <c r="N4" i="26"/>
  <c r="N7" i="26"/>
  <c r="O7" i="26"/>
  <c r="O13" i="26"/>
  <c r="N14" i="26"/>
  <c r="M18" i="26"/>
  <c r="Q7" i="26"/>
  <c r="Q6" i="26"/>
  <c r="Q14" i="26"/>
  <c r="N19" i="26"/>
  <c r="P6" i="26"/>
  <c r="Q19" i="26"/>
  <c r="P13" i="26"/>
  <c r="Q15" i="26"/>
  <c r="O19" i="26"/>
  <c r="O21" i="26"/>
  <c r="Q21" i="26"/>
  <c r="M22" i="26"/>
  <c r="P19" i="26"/>
  <c r="P21" i="26"/>
  <c r="P4" i="26"/>
  <c r="P12" i="26"/>
  <c r="N18" i="26"/>
  <c r="M12" i="26"/>
  <c r="O6" i="26"/>
  <c r="Q18" i="26"/>
  <c r="O17" i="26"/>
  <c r="P22" i="26"/>
  <c r="P18" i="26"/>
  <c r="N13" i="26"/>
  <c r="M21" i="26"/>
  <c r="O9" i="26"/>
  <c r="M4" i="26"/>
  <c r="N17" i="26"/>
  <c r="P9" i="26"/>
  <c r="P17" i="26"/>
  <c r="Q13" i="26"/>
  <c r="N22" i="26"/>
  <c r="Q9" i="26"/>
  <c r="O12" i="26"/>
  <c r="Q17" i="26"/>
  <c r="O22" i="26"/>
  <c r="N12" i="26"/>
  <c r="T143" i="22"/>
  <c r="W131" i="22"/>
  <c r="V131" i="22"/>
  <c r="R143" i="22"/>
  <c r="W143" i="22"/>
  <c r="S143" i="22"/>
  <c r="Q143" i="22"/>
  <c r="V143" i="22"/>
  <c r="U131" i="22"/>
  <c r="T131" i="22"/>
  <c r="S131" i="22"/>
  <c r="R131" i="22"/>
  <c r="S134" i="22"/>
  <c r="R134" i="22"/>
  <c r="Q134" i="22"/>
  <c r="U134" i="22"/>
  <c r="W134" i="22"/>
  <c r="V134" i="22"/>
  <c r="W140" i="22"/>
  <c r="Q140" i="22"/>
  <c r="R140" i="22"/>
  <c r="S140" i="22"/>
  <c r="T140" i="22"/>
  <c r="U140" i="22"/>
  <c r="V140" i="22"/>
  <c r="Q137" i="22"/>
  <c r="R137" i="22"/>
  <c r="S137" i="22"/>
  <c r="U137" i="22"/>
  <c r="V137" i="22"/>
  <c r="W137" i="22"/>
  <c r="T137" i="22"/>
  <c r="U141" i="22"/>
  <c r="V141" i="22"/>
  <c r="W141" i="22"/>
  <c r="Q141" i="22"/>
  <c r="S141" i="22"/>
  <c r="T141" i="22"/>
  <c r="R141" i="22"/>
  <c r="U138" i="22"/>
  <c r="W138" i="22"/>
  <c r="Q138" i="22"/>
  <c r="R138" i="22"/>
  <c r="S138" i="22"/>
  <c r="T138" i="22"/>
  <c r="V138" i="22"/>
  <c r="Q133" i="22"/>
  <c r="T133" i="22"/>
  <c r="U133" i="22"/>
  <c r="V133" i="22"/>
  <c r="W133" i="22"/>
  <c r="R133" i="22"/>
  <c r="S133" i="22"/>
  <c r="Q139" i="22"/>
  <c r="S139" i="22"/>
  <c r="T139" i="22"/>
  <c r="U139" i="22"/>
  <c r="V139" i="22"/>
  <c r="W139" i="22"/>
  <c r="R139" i="22"/>
  <c r="W144" i="22"/>
  <c r="Q144" i="22"/>
  <c r="R144" i="22"/>
  <c r="S144" i="22"/>
  <c r="U144" i="22"/>
  <c r="T144" i="22"/>
  <c r="V144" i="22"/>
  <c r="U136" i="22"/>
  <c r="Q136" i="22"/>
  <c r="R136" i="22"/>
  <c r="S136" i="22"/>
  <c r="W136" i="22"/>
  <c r="T136" i="22"/>
  <c r="V136" i="22"/>
  <c r="V132" i="22"/>
  <c r="Q132" i="22"/>
  <c r="R132" i="22"/>
  <c r="S132" i="22"/>
  <c r="U132" i="22"/>
  <c r="W132" i="22"/>
  <c r="T132" i="22"/>
  <c r="V142" i="22"/>
  <c r="W142" i="22"/>
  <c r="Q142" i="22"/>
  <c r="R142" i="22"/>
  <c r="S142" i="22"/>
  <c r="U142" i="22"/>
  <c r="T142" i="22"/>
  <c r="T135" i="22"/>
  <c r="U135" i="22"/>
  <c r="V135" i="22"/>
  <c r="W135" i="22"/>
  <c r="Q135" i="22"/>
  <c r="R135" i="22"/>
  <c r="S135" i="22"/>
  <c r="S15" i="25"/>
  <c r="N3" i="26"/>
  <c r="P3" i="26"/>
  <c r="O3" i="26"/>
  <c r="Q3" i="26"/>
  <c r="S7" i="25"/>
  <c r="P2" i="26"/>
  <c r="O2" i="26"/>
  <c r="N2" i="26"/>
  <c r="M2" i="26"/>
  <c r="J20" i="25"/>
  <c r="A20" i="25" s="1"/>
  <c r="J12" i="25"/>
  <c r="A12" i="25" s="1"/>
  <c r="J13" i="25"/>
  <c r="A13" i="25" s="1"/>
  <c r="J15" i="25"/>
  <c r="A15" i="25" s="1"/>
  <c r="J11" i="25"/>
  <c r="A11" i="25" s="1"/>
  <c r="J2" i="25"/>
  <c r="A2" i="25" s="1"/>
  <c r="J14" i="25"/>
  <c r="A14" i="25" s="1"/>
  <c r="J10" i="25"/>
  <c r="A10" i="25" s="1"/>
  <c r="J6" i="25"/>
  <c r="A6" i="25" s="1"/>
  <c r="J8" i="25"/>
  <c r="A8" i="25" s="1"/>
  <c r="J19" i="25"/>
  <c r="A19" i="25" s="1"/>
  <c r="J9" i="25"/>
  <c r="A9" i="25" s="1"/>
  <c r="J17" i="25"/>
  <c r="A17" i="25" s="1"/>
  <c r="J22" i="25"/>
  <c r="A22" i="25" s="1"/>
  <c r="J24" i="25"/>
  <c r="A24" i="25" s="1"/>
  <c r="J16" i="25"/>
  <c r="A16" i="25" s="1"/>
  <c r="J4" i="25"/>
  <c r="A4" i="25" s="1"/>
  <c r="J18" i="25"/>
  <c r="A18" i="25" s="1"/>
  <c r="J23" i="25"/>
  <c r="A23" i="25" s="1"/>
  <c r="J5" i="25"/>
  <c r="A5" i="25" s="1"/>
  <c r="J7" i="25"/>
  <c r="A7" i="25" s="1"/>
  <c r="J3" i="25"/>
  <c r="A3" i="25" s="1"/>
  <c r="J21" i="25"/>
  <c r="A21" i="25" s="1"/>
  <c r="AC15" i="15"/>
  <c r="AC23" i="15"/>
  <c r="G12" i="1" s="1"/>
  <c r="U26" i="15"/>
  <c r="U18" i="15"/>
  <c r="V8" i="15"/>
  <c r="V10" i="15" s="1"/>
  <c r="H2" i="15"/>
  <c r="G2" i="15"/>
  <c r="F2" i="15"/>
  <c r="E2" i="15"/>
  <c r="D2" i="15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R11" i="26" l="1"/>
  <c r="S11" i="26" s="1"/>
  <c r="AC11" i="26" s="1"/>
  <c r="AD11" i="26" s="1"/>
  <c r="AG11" i="26" s="1"/>
  <c r="R23" i="26"/>
  <c r="S23" i="26" s="1"/>
  <c r="AC23" i="26" s="1"/>
  <c r="AD23" i="26" s="1"/>
  <c r="AG23" i="26" s="1"/>
  <c r="R20" i="26"/>
  <c r="S20" i="26" s="1"/>
  <c r="AC20" i="26" s="1"/>
  <c r="AD20" i="26" s="1"/>
  <c r="AG20" i="26" s="1"/>
  <c r="R25" i="26"/>
  <c r="S25" i="26" s="1"/>
  <c r="AC25" i="26" s="1"/>
  <c r="AD25" i="26" s="1"/>
  <c r="AG25" i="26" s="1"/>
  <c r="R14" i="26"/>
  <c r="S14" i="26" s="1"/>
  <c r="AC14" i="26" s="1"/>
  <c r="AD14" i="26" s="1"/>
  <c r="AG14" i="26" s="1"/>
  <c r="R8" i="26"/>
  <c r="S8" i="26" s="1"/>
  <c r="AC8" i="26" s="1"/>
  <c r="AD8" i="26" s="1"/>
  <c r="AG8" i="26" s="1"/>
  <c r="R5" i="26"/>
  <c r="S5" i="26" s="1"/>
  <c r="AC5" i="26" s="1"/>
  <c r="AD5" i="26" s="1"/>
  <c r="AG5" i="26" s="1"/>
  <c r="R6" i="26"/>
  <c r="S6" i="26" s="1"/>
  <c r="AC6" i="26" s="1"/>
  <c r="AD6" i="26" s="1"/>
  <c r="AG6" i="26" s="1"/>
  <c r="R16" i="26"/>
  <c r="S16" i="26" s="1"/>
  <c r="AC16" i="26" s="1"/>
  <c r="AD16" i="26" s="1"/>
  <c r="AG16" i="26" s="1"/>
  <c r="R10" i="26"/>
  <c r="S10" i="26" s="1"/>
  <c r="AC10" i="26" s="1"/>
  <c r="AD10" i="26" s="1"/>
  <c r="AG10" i="26" s="1"/>
  <c r="R24" i="26"/>
  <c r="S24" i="26" s="1"/>
  <c r="AC24" i="26" s="1"/>
  <c r="AD24" i="26" s="1"/>
  <c r="AG24" i="26" s="1"/>
  <c r="R4" i="26"/>
  <c r="S4" i="26" s="1"/>
  <c r="AC4" i="26" s="1"/>
  <c r="AD4" i="26" s="1"/>
  <c r="AG4" i="26" s="1"/>
  <c r="R18" i="26"/>
  <c r="S18" i="26" s="1"/>
  <c r="AC18" i="26" s="1"/>
  <c r="AD18" i="26" s="1"/>
  <c r="AG18" i="26" s="1"/>
  <c r="R7" i="26"/>
  <c r="S7" i="26" s="1"/>
  <c r="AC7" i="26" s="1"/>
  <c r="AD7" i="26" s="1"/>
  <c r="AG7" i="26" s="1"/>
  <c r="R15" i="26"/>
  <c r="S15" i="26" s="1"/>
  <c r="AC15" i="26" s="1"/>
  <c r="AD15" i="26" s="1"/>
  <c r="AG15" i="26" s="1"/>
  <c r="R22" i="26"/>
  <c r="S22" i="26" s="1"/>
  <c r="AC22" i="26" s="1"/>
  <c r="AD22" i="26" s="1"/>
  <c r="AG22" i="26" s="1"/>
  <c r="R12" i="26"/>
  <c r="S12" i="26" s="1"/>
  <c r="AC12" i="26" s="1"/>
  <c r="AD12" i="26" s="1"/>
  <c r="AG12" i="26" s="1"/>
  <c r="R9" i="26"/>
  <c r="S9" i="26" s="1"/>
  <c r="AC9" i="26" s="1"/>
  <c r="AD9" i="26" s="1"/>
  <c r="AG9" i="26" s="1"/>
  <c r="R19" i="26"/>
  <c r="S19" i="26" s="1"/>
  <c r="AC19" i="26" s="1"/>
  <c r="AD19" i="26" s="1"/>
  <c r="AG19" i="26" s="1"/>
  <c r="R21" i="26"/>
  <c r="S21" i="26" s="1"/>
  <c r="AC21" i="26" s="1"/>
  <c r="AD21" i="26" s="1"/>
  <c r="AG21" i="26" s="1"/>
  <c r="R17" i="26"/>
  <c r="S17" i="26" s="1"/>
  <c r="AC17" i="26" s="1"/>
  <c r="AD17" i="26" s="1"/>
  <c r="AG17" i="26" s="1"/>
  <c r="R13" i="26"/>
  <c r="S13" i="26" s="1"/>
  <c r="AC13" i="26" s="1"/>
  <c r="AD13" i="26" s="1"/>
  <c r="AG13" i="26" s="1"/>
  <c r="X143" i="22"/>
  <c r="X131" i="22"/>
  <c r="X134" i="22"/>
  <c r="X142" i="22"/>
  <c r="X133" i="22"/>
  <c r="X138" i="22"/>
  <c r="X136" i="22"/>
  <c r="X132" i="22"/>
  <c r="X137" i="22"/>
  <c r="X135" i="22"/>
  <c r="X144" i="22"/>
  <c r="X139" i="22"/>
  <c r="X141" i="22"/>
  <c r="X140" i="22"/>
  <c r="F12" i="1"/>
  <c r="C5" i="4"/>
  <c r="G21" i="1" s="1"/>
  <c r="C4" i="4"/>
  <c r="F21" i="1" s="1"/>
  <c r="R3" i="26"/>
  <c r="S3" i="26" s="1"/>
  <c r="AC3" i="26" s="1"/>
  <c r="AD3" i="26" s="1"/>
  <c r="R2" i="26"/>
  <c r="V9" i="15"/>
  <c r="F126" i="22"/>
  <c r="E126" i="22"/>
  <c r="F124" i="22"/>
  <c r="H123" i="22"/>
  <c r="G123" i="22"/>
  <c r="D123" i="22"/>
  <c r="I125" i="22"/>
  <c r="I117" i="22"/>
  <c r="I130" i="22"/>
  <c r="I121" i="22"/>
  <c r="I129" i="22"/>
  <c r="I120" i="22"/>
  <c r="I122" i="22"/>
  <c r="I128" i="22"/>
  <c r="F120" i="22"/>
  <c r="E122" i="22"/>
  <c r="H119" i="22"/>
  <c r="G119" i="22"/>
  <c r="F128" i="22"/>
  <c r="H127" i="22"/>
  <c r="D119" i="22"/>
  <c r="F130" i="22"/>
  <c r="G127" i="22"/>
  <c r="C119" i="22"/>
  <c r="D127" i="22"/>
  <c r="C123" i="22"/>
  <c r="F118" i="22"/>
  <c r="E130" i="22"/>
  <c r="C127" i="22"/>
  <c r="F122" i="22"/>
  <c r="E118" i="22"/>
  <c r="D125" i="22"/>
  <c r="D121" i="22"/>
  <c r="C117" i="22"/>
  <c r="D130" i="22"/>
  <c r="H128" i="22"/>
  <c r="F127" i="22"/>
  <c r="D126" i="22"/>
  <c r="H124" i="22"/>
  <c r="F123" i="22"/>
  <c r="D122" i="22"/>
  <c r="H120" i="22"/>
  <c r="F119" i="22"/>
  <c r="D118" i="22"/>
  <c r="D129" i="22"/>
  <c r="D117" i="22"/>
  <c r="C129" i="22"/>
  <c r="C125" i="22"/>
  <c r="C121" i="22"/>
  <c r="C130" i="22"/>
  <c r="G128" i="22"/>
  <c r="E127" i="22"/>
  <c r="C126" i="22"/>
  <c r="G124" i="22"/>
  <c r="E123" i="22"/>
  <c r="C122" i="22"/>
  <c r="G120" i="22"/>
  <c r="E119" i="22"/>
  <c r="C118" i="22"/>
  <c r="H129" i="22"/>
  <c r="H125" i="22"/>
  <c r="G129" i="22"/>
  <c r="E128" i="22"/>
  <c r="G121" i="22"/>
  <c r="G117" i="22"/>
  <c r="H130" i="22"/>
  <c r="F129" i="22"/>
  <c r="D128" i="22"/>
  <c r="H126" i="22"/>
  <c r="F125" i="22"/>
  <c r="D124" i="22"/>
  <c r="H122" i="22"/>
  <c r="F121" i="22"/>
  <c r="D120" i="22"/>
  <c r="H118" i="22"/>
  <c r="F117" i="22"/>
  <c r="H121" i="22"/>
  <c r="H117" i="22"/>
  <c r="G125" i="22"/>
  <c r="E124" i="22"/>
  <c r="E120" i="22"/>
  <c r="G130" i="22"/>
  <c r="E129" i="22"/>
  <c r="C128" i="22"/>
  <c r="G126" i="22"/>
  <c r="E125" i="22"/>
  <c r="C124" i="22"/>
  <c r="G122" i="22"/>
  <c r="E121" i="22"/>
  <c r="C120" i="22"/>
  <c r="G118" i="22"/>
  <c r="E117" i="22"/>
  <c r="I127" i="22"/>
  <c r="I119" i="22"/>
  <c r="I126" i="22"/>
  <c r="I118" i="22"/>
  <c r="I124" i="22"/>
  <c r="I123" i="22"/>
  <c r="Q2" i="15"/>
  <c r="AG3" i="26" l="1"/>
  <c r="O118" i="22" l="1"/>
  <c r="O122" i="22"/>
  <c r="O126" i="22"/>
  <c r="O117" i="22"/>
  <c r="O121" i="22"/>
  <c r="O125" i="22"/>
  <c r="O129" i="22"/>
  <c r="O120" i="22"/>
  <c r="O124" i="22"/>
  <c r="O128" i="22"/>
  <c r="O119" i="22"/>
  <c r="O123" i="22"/>
  <c r="O127" i="22"/>
  <c r="O130" i="22"/>
  <c r="J118" i="22"/>
  <c r="J122" i="22"/>
  <c r="J126" i="22"/>
  <c r="J130" i="22"/>
  <c r="J117" i="22"/>
  <c r="J120" i="22"/>
  <c r="J124" i="22"/>
  <c r="J128" i="22"/>
  <c r="J123" i="22"/>
  <c r="J129" i="22"/>
  <c r="J119" i="22"/>
  <c r="J125" i="22"/>
  <c r="J121" i="22"/>
  <c r="J127" i="22"/>
  <c r="K120" i="22"/>
  <c r="K128" i="22"/>
  <c r="K119" i="22"/>
  <c r="K123" i="22"/>
  <c r="K127" i="22"/>
  <c r="K118" i="22"/>
  <c r="K122" i="22"/>
  <c r="K126" i="22"/>
  <c r="K130" i="22"/>
  <c r="K117" i="22"/>
  <c r="K121" i="22"/>
  <c r="K125" i="22"/>
  <c r="K129" i="22"/>
  <c r="K124" i="22"/>
  <c r="L119" i="22"/>
  <c r="L123" i="22"/>
  <c r="L127" i="22"/>
  <c r="L118" i="22"/>
  <c r="L117" i="22"/>
  <c r="L121" i="22"/>
  <c r="L125" i="22"/>
  <c r="L129" i="22"/>
  <c r="L122" i="22"/>
  <c r="L128" i="22"/>
  <c r="L124" i="22"/>
  <c r="L130" i="22"/>
  <c r="L120" i="22"/>
  <c r="L126" i="22"/>
  <c r="M117" i="22"/>
  <c r="M121" i="22"/>
  <c r="M120" i="22"/>
  <c r="M124" i="22"/>
  <c r="M128" i="22"/>
  <c r="M119" i="22"/>
  <c r="M123" i="22"/>
  <c r="M127" i="22"/>
  <c r="M118" i="22"/>
  <c r="M122" i="22"/>
  <c r="M126" i="22"/>
  <c r="M130" i="22"/>
  <c r="M129" i="22"/>
  <c r="M125" i="22"/>
  <c r="N120" i="22"/>
  <c r="N124" i="22"/>
  <c r="N128" i="22"/>
  <c r="N119" i="22"/>
  <c r="N118" i="22"/>
  <c r="N122" i="22"/>
  <c r="N126" i="22"/>
  <c r="N130" i="22"/>
  <c r="N127" i="22"/>
  <c r="N123" i="22"/>
  <c r="N117" i="22"/>
  <c r="N129" i="22"/>
  <c r="N125" i="22"/>
  <c r="N121" i="22"/>
  <c r="P127" i="22" l="1"/>
  <c r="T127" i="22" s="1"/>
  <c r="P120" i="22"/>
  <c r="P121" i="22"/>
  <c r="P118" i="22"/>
  <c r="P117" i="22"/>
  <c r="P125" i="22"/>
  <c r="P123" i="22"/>
  <c r="P119" i="22"/>
  <c r="P130" i="22"/>
  <c r="P122" i="22"/>
  <c r="P129" i="22"/>
  <c r="P128" i="22"/>
  <c r="P126" i="22"/>
  <c r="P124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I86" i="22" s="1"/>
  <c r="B87" i="22"/>
  <c r="I87" i="22" s="1"/>
  <c r="B88" i="22"/>
  <c r="I88" i="22" s="1"/>
  <c r="B89" i="22"/>
  <c r="I89" i="22" s="1"/>
  <c r="B90" i="22"/>
  <c r="I90" i="22" s="1"/>
  <c r="B91" i="22"/>
  <c r="I91" i="22" s="1"/>
  <c r="B92" i="22"/>
  <c r="I92" i="22" s="1"/>
  <c r="B93" i="22"/>
  <c r="I93" i="22" s="1"/>
  <c r="B94" i="22"/>
  <c r="I94" i="22" s="1"/>
  <c r="B95" i="22"/>
  <c r="I95" i="22" s="1"/>
  <c r="B96" i="22"/>
  <c r="I96" i="22" s="1"/>
  <c r="B97" i="22"/>
  <c r="I97" i="22" s="1"/>
  <c r="B98" i="22"/>
  <c r="I98" i="22" s="1"/>
  <c r="B99" i="22"/>
  <c r="I99" i="22" s="1"/>
  <c r="B100" i="22"/>
  <c r="I100" i="22" s="1"/>
  <c r="B101" i="22"/>
  <c r="I101" i="22" s="1"/>
  <c r="B102" i="22"/>
  <c r="I102" i="22" s="1"/>
  <c r="B103" i="22"/>
  <c r="I103" i="22" s="1"/>
  <c r="B104" i="22"/>
  <c r="I104" i="22" s="1"/>
  <c r="B105" i="22"/>
  <c r="I105" i="22" s="1"/>
  <c r="B106" i="22"/>
  <c r="I106" i="22" s="1"/>
  <c r="B107" i="22"/>
  <c r="I107" i="22" s="1"/>
  <c r="B108" i="22"/>
  <c r="I108" i="22" s="1"/>
  <c r="B109" i="22"/>
  <c r="I109" i="22" s="1"/>
  <c r="B110" i="22"/>
  <c r="I110" i="22" s="1"/>
  <c r="B111" i="22"/>
  <c r="I111" i="22" s="1"/>
  <c r="B112" i="22"/>
  <c r="I112" i="22" s="1"/>
  <c r="B113" i="22"/>
  <c r="I113" i="22" s="1"/>
  <c r="B114" i="22"/>
  <c r="I114" i="22" s="1"/>
  <c r="B115" i="22"/>
  <c r="I115" i="22" s="1"/>
  <c r="B116" i="22"/>
  <c r="I116" i="22" s="1"/>
  <c r="AZ3" i="22"/>
  <c r="I85" i="22" l="1"/>
  <c r="I84" i="22"/>
  <c r="I76" i="22"/>
  <c r="I83" i="22"/>
  <c r="I75" i="22"/>
  <c r="I82" i="22"/>
  <c r="I74" i="22"/>
  <c r="I81" i="22"/>
  <c r="I73" i="22"/>
  <c r="I80" i="22"/>
  <c r="I79" i="22"/>
  <c r="I78" i="22"/>
  <c r="I77" i="22"/>
  <c r="I12" i="22"/>
  <c r="I68" i="22"/>
  <c r="I60" i="22"/>
  <c r="I52" i="22"/>
  <c r="I44" i="22"/>
  <c r="I36" i="22"/>
  <c r="I28" i="22"/>
  <c r="I20" i="22"/>
  <c r="I4" i="22"/>
  <c r="I67" i="22"/>
  <c r="I59" i="22"/>
  <c r="I51" i="22"/>
  <c r="I43" i="22"/>
  <c r="I35" i="22"/>
  <c r="I27" i="22"/>
  <c r="I19" i="22"/>
  <c r="I11" i="22"/>
  <c r="I3" i="22"/>
  <c r="I66" i="22"/>
  <c r="I58" i="22"/>
  <c r="I50" i="22"/>
  <c r="I42" i="22"/>
  <c r="I34" i="22"/>
  <c r="I26" i="22"/>
  <c r="I18" i="22"/>
  <c r="I10" i="22"/>
  <c r="I65" i="22"/>
  <c r="I57" i="22"/>
  <c r="I49" i="22"/>
  <c r="I41" i="22"/>
  <c r="I33" i="22"/>
  <c r="I25" i="22"/>
  <c r="I17" i="22"/>
  <c r="I9" i="22"/>
  <c r="I72" i="22"/>
  <c r="I64" i="22"/>
  <c r="I56" i="22"/>
  <c r="I48" i="22"/>
  <c r="I40" i="22"/>
  <c r="I32" i="22"/>
  <c r="I24" i="22"/>
  <c r="I16" i="22"/>
  <c r="I8" i="22"/>
  <c r="I71" i="22"/>
  <c r="I63" i="22"/>
  <c r="I55" i="22"/>
  <c r="I47" i="22"/>
  <c r="I39" i="22"/>
  <c r="I31" i="22"/>
  <c r="I23" i="22"/>
  <c r="I15" i="22"/>
  <c r="I7" i="22"/>
  <c r="I70" i="22"/>
  <c r="I62" i="22"/>
  <c r="I54" i="22"/>
  <c r="I46" i="22"/>
  <c r="I38" i="22"/>
  <c r="I30" i="22"/>
  <c r="I22" i="22"/>
  <c r="I14" i="22"/>
  <c r="I6" i="22"/>
  <c r="I69" i="22"/>
  <c r="I61" i="22"/>
  <c r="I53" i="22"/>
  <c r="I45" i="22"/>
  <c r="I37" i="22"/>
  <c r="I29" i="22"/>
  <c r="I21" i="22"/>
  <c r="I13" i="22"/>
  <c r="I5" i="22"/>
  <c r="U127" i="22"/>
  <c r="S127" i="22"/>
  <c r="R127" i="22"/>
  <c r="V127" i="22"/>
  <c r="W127" i="22"/>
  <c r="Q127" i="22"/>
  <c r="T130" i="22"/>
  <c r="V130" i="22"/>
  <c r="Q130" i="22"/>
  <c r="W130" i="22"/>
  <c r="R130" i="22"/>
  <c r="S130" i="22"/>
  <c r="U130" i="22"/>
  <c r="V119" i="22"/>
  <c r="R119" i="22"/>
  <c r="S119" i="22"/>
  <c r="T119" i="22"/>
  <c r="U119" i="22"/>
  <c r="Q119" i="22"/>
  <c r="W119" i="22"/>
  <c r="V123" i="22"/>
  <c r="Q123" i="22"/>
  <c r="S123" i="22"/>
  <c r="R123" i="22"/>
  <c r="T123" i="22"/>
  <c r="U123" i="22"/>
  <c r="W123" i="22"/>
  <c r="R124" i="22"/>
  <c r="S124" i="22"/>
  <c r="T124" i="22"/>
  <c r="Q124" i="22"/>
  <c r="U124" i="22"/>
  <c r="V124" i="22"/>
  <c r="W124" i="22"/>
  <c r="R125" i="22"/>
  <c r="T125" i="22"/>
  <c r="U125" i="22"/>
  <c r="W125" i="22"/>
  <c r="Q125" i="22"/>
  <c r="V125" i="22"/>
  <c r="S125" i="22"/>
  <c r="Q120" i="22"/>
  <c r="R120" i="22"/>
  <c r="S120" i="22"/>
  <c r="U120" i="22"/>
  <c r="T120" i="22"/>
  <c r="V120" i="22"/>
  <c r="W120" i="22"/>
  <c r="T126" i="22"/>
  <c r="V126" i="22"/>
  <c r="W126" i="22"/>
  <c r="R126" i="22"/>
  <c r="Q126" i="22"/>
  <c r="S126" i="22"/>
  <c r="U126" i="22"/>
  <c r="R117" i="22"/>
  <c r="T117" i="22"/>
  <c r="U117" i="22"/>
  <c r="W117" i="22"/>
  <c r="V117" i="22"/>
  <c r="Q117" i="22"/>
  <c r="S117" i="22"/>
  <c r="T122" i="22"/>
  <c r="V122" i="22"/>
  <c r="Q122" i="22"/>
  <c r="W122" i="22"/>
  <c r="R122" i="22"/>
  <c r="S122" i="22"/>
  <c r="U122" i="22"/>
  <c r="Q128" i="22"/>
  <c r="R128" i="22"/>
  <c r="S128" i="22"/>
  <c r="U128" i="22"/>
  <c r="T128" i="22"/>
  <c r="V128" i="22"/>
  <c r="W128" i="22"/>
  <c r="T118" i="22"/>
  <c r="V118" i="22"/>
  <c r="W118" i="22"/>
  <c r="R118" i="22"/>
  <c r="Q118" i="22"/>
  <c r="S118" i="22"/>
  <c r="U118" i="22"/>
  <c r="R129" i="22"/>
  <c r="T129" i="22"/>
  <c r="U129" i="22"/>
  <c r="V129" i="22"/>
  <c r="W129" i="22"/>
  <c r="S129" i="22"/>
  <c r="Q129" i="22"/>
  <c r="R121" i="22"/>
  <c r="T121" i="22"/>
  <c r="U121" i="22"/>
  <c r="W121" i="22"/>
  <c r="V121" i="22"/>
  <c r="Q121" i="22"/>
  <c r="S121" i="22"/>
  <c r="AL2" i="22"/>
  <c r="B2" i="22"/>
  <c r="I2" i="22" s="1"/>
  <c r="AK2" i="22"/>
  <c r="AA2" i="22"/>
  <c r="AA112" i="22"/>
  <c r="AA104" i="22"/>
  <c r="AA96" i="22"/>
  <c r="AA88" i="22"/>
  <c r="AA80" i="22"/>
  <c r="AA72" i="22"/>
  <c r="AA64" i="22"/>
  <c r="AA56" i="22"/>
  <c r="AA48" i="22"/>
  <c r="AA40" i="22"/>
  <c r="AA32" i="22"/>
  <c r="AA24" i="22"/>
  <c r="AA16" i="22"/>
  <c r="AA8" i="22"/>
  <c r="AA103" i="22"/>
  <c r="AA95" i="22"/>
  <c r="AA87" i="22"/>
  <c r="AA79" i="22"/>
  <c r="AA71" i="22"/>
  <c r="AA63" i="22"/>
  <c r="AA55" i="22"/>
  <c r="AA47" i="22"/>
  <c r="AA39" i="22"/>
  <c r="AA31" i="22"/>
  <c r="AA23" i="22"/>
  <c r="AA15" i="22"/>
  <c r="AA7" i="22"/>
  <c r="AA102" i="22"/>
  <c r="AA94" i="22"/>
  <c r="AA86" i="22"/>
  <c r="AA78" i="22"/>
  <c r="AA70" i="22"/>
  <c r="AA62" i="22"/>
  <c r="AA54" i="22"/>
  <c r="AA46" i="22"/>
  <c r="AA38" i="22"/>
  <c r="AA30" i="22"/>
  <c r="AA22" i="22"/>
  <c r="AA14" i="22"/>
  <c r="AA6" i="22"/>
  <c r="AA110" i="22"/>
  <c r="AA109" i="22"/>
  <c r="AA101" i="22"/>
  <c r="AA93" i="22"/>
  <c r="AA85" i="22"/>
  <c r="AA77" i="22"/>
  <c r="AA69" i="22"/>
  <c r="AA61" i="22"/>
  <c r="AA53" i="22"/>
  <c r="AA45" i="22"/>
  <c r="AA37" i="22"/>
  <c r="AA29" i="22"/>
  <c r="AA21" i="22"/>
  <c r="AA13" i="22"/>
  <c r="AA5" i="22"/>
  <c r="AA111" i="22"/>
  <c r="AA116" i="22"/>
  <c r="AA108" i="22"/>
  <c r="AA100" i="22"/>
  <c r="AA92" i="22"/>
  <c r="AA84" i="22"/>
  <c r="AA76" i="22"/>
  <c r="AA68" i="22"/>
  <c r="AA60" i="22"/>
  <c r="AA52" i="22"/>
  <c r="AA44" i="22"/>
  <c r="AA36" i="22"/>
  <c r="AA28" i="22"/>
  <c r="AA20" i="22"/>
  <c r="AA12" i="22"/>
  <c r="AA4" i="22"/>
  <c r="AA115" i="22"/>
  <c r="AA107" i="22"/>
  <c r="AA99" i="22"/>
  <c r="AA91" i="22"/>
  <c r="AA83" i="22"/>
  <c r="AA75" i="22"/>
  <c r="AA67" i="22"/>
  <c r="AA59" i="22"/>
  <c r="AA51" i="22"/>
  <c r="AA43" i="22"/>
  <c r="AA35" i="22"/>
  <c r="AA27" i="22"/>
  <c r="AA19" i="22"/>
  <c r="AA11" i="22"/>
  <c r="AA3" i="22"/>
  <c r="AA114" i="22"/>
  <c r="AA106" i="22"/>
  <c r="AA98" i="22"/>
  <c r="AA90" i="22"/>
  <c r="AA82" i="22"/>
  <c r="AA74" i="22"/>
  <c r="AA66" i="22"/>
  <c r="AA58" i="22"/>
  <c r="AA50" i="22"/>
  <c r="AA42" i="22"/>
  <c r="AA34" i="22"/>
  <c r="AA26" i="22"/>
  <c r="AA18" i="22"/>
  <c r="AA10" i="22"/>
  <c r="AA113" i="22"/>
  <c r="AA105" i="22"/>
  <c r="AA97" i="22"/>
  <c r="AA89" i="22"/>
  <c r="AA81" i="22"/>
  <c r="AA73" i="22"/>
  <c r="AA65" i="22"/>
  <c r="AA57" i="22"/>
  <c r="AA49" i="22"/>
  <c r="AA41" i="22"/>
  <c r="AA33" i="22"/>
  <c r="AA25" i="22"/>
  <c r="AA17" i="22"/>
  <c r="AA9" i="22"/>
  <c r="AG81" i="22"/>
  <c r="AH81" i="22"/>
  <c r="AG17" i="22"/>
  <c r="AH17" i="22"/>
  <c r="AG41" i="22"/>
  <c r="AH41" i="22"/>
  <c r="AH112" i="22"/>
  <c r="AG112" i="22"/>
  <c r="AG73" i="22"/>
  <c r="AH73" i="22"/>
  <c r="AG57" i="22"/>
  <c r="AH57" i="22"/>
  <c r="AG33" i="22"/>
  <c r="AH33" i="22"/>
  <c r="AH104" i="22"/>
  <c r="AG104" i="22"/>
  <c r="AH96" i="22"/>
  <c r="AG96" i="22"/>
  <c r="AH88" i="22"/>
  <c r="AG88" i="22"/>
  <c r="AH80" i="22"/>
  <c r="AG80" i="22"/>
  <c r="AH72" i="22"/>
  <c r="AG72" i="22"/>
  <c r="AH64" i="22"/>
  <c r="AG64" i="22"/>
  <c r="AH56" i="22"/>
  <c r="AG56" i="22"/>
  <c r="AH48" i="22"/>
  <c r="AG48" i="22"/>
  <c r="AH40" i="22"/>
  <c r="AG40" i="22"/>
  <c r="AH32" i="22"/>
  <c r="AG32" i="22"/>
  <c r="AH24" i="22"/>
  <c r="AG24" i="22"/>
  <c r="AH16" i="22"/>
  <c r="AG16" i="22"/>
  <c r="AH8" i="22"/>
  <c r="AG8" i="22"/>
  <c r="AG111" i="22"/>
  <c r="AH111" i="22"/>
  <c r="AG103" i="22"/>
  <c r="AH103" i="22"/>
  <c r="AG95" i="22"/>
  <c r="AH95" i="22"/>
  <c r="AG87" i="22"/>
  <c r="AH87" i="22"/>
  <c r="AG79" i="22"/>
  <c r="AH79" i="22"/>
  <c r="AG71" i="22"/>
  <c r="AH71" i="22"/>
  <c r="AG63" i="22"/>
  <c r="AH63" i="22"/>
  <c r="AG55" i="22"/>
  <c r="AH55" i="22"/>
  <c r="AG47" i="22"/>
  <c r="AH47" i="22"/>
  <c r="AG39" i="22"/>
  <c r="AH39" i="22"/>
  <c r="AG31" i="22"/>
  <c r="AH31" i="22"/>
  <c r="AG23" i="22"/>
  <c r="AH23" i="22"/>
  <c r="AG15" i="22"/>
  <c r="AH15" i="22"/>
  <c r="AG7" i="22"/>
  <c r="AH7" i="22"/>
  <c r="AG97" i="22"/>
  <c r="AH97" i="22"/>
  <c r="AG49" i="22"/>
  <c r="AH49" i="22"/>
  <c r="AG25" i="22"/>
  <c r="AH25" i="22"/>
  <c r="AG9" i="22"/>
  <c r="AH9" i="22"/>
  <c r="AH110" i="22"/>
  <c r="AG110" i="22"/>
  <c r="AH102" i="22"/>
  <c r="AG102" i="22"/>
  <c r="AH94" i="22"/>
  <c r="AG94" i="22"/>
  <c r="AH86" i="22"/>
  <c r="AG86" i="22"/>
  <c r="AH78" i="22"/>
  <c r="AG78" i="22"/>
  <c r="AH70" i="22"/>
  <c r="AG70" i="22"/>
  <c r="AH62" i="22"/>
  <c r="AG62" i="22"/>
  <c r="AH54" i="22"/>
  <c r="AG54" i="22"/>
  <c r="AH46" i="22"/>
  <c r="AG46" i="22"/>
  <c r="AH38" i="22"/>
  <c r="AG38" i="22"/>
  <c r="AH30" i="22"/>
  <c r="AG30" i="22"/>
  <c r="AH22" i="22"/>
  <c r="AG22" i="22"/>
  <c r="AH14" i="22"/>
  <c r="AG14" i="22"/>
  <c r="AH6" i="22"/>
  <c r="AG6" i="22"/>
  <c r="AG93" i="22"/>
  <c r="AH93" i="22"/>
  <c r="AG5" i="22"/>
  <c r="AH5" i="22"/>
  <c r="AG89" i="22"/>
  <c r="AH89" i="22"/>
  <c r="AJ2" i="22"/>
  <c r="AG2" i="22"/>
  <c r="AH2" i="22"/>
  <c r="AG77" i="22"/>
  <c r="AH77" i="22"/>
  <c r="AG29" i="22"/>
  <c r="AH29" i="22"/>
  <c r="AG116" i="22"/>
  <c r="AH116" i="22"/>
  <c r="AG108" i="22"/>
  <c r="AH108" i="22"/>
  <c r="AG100" i="22"/>
  <c r="AH100" i="22"/>
  <c r="AG92" i="22"/>
  <c r="AH92" i="22"/>
  <c r="AH84" i="22"/>
  <c r="AG84" i="22"/>
  <c r="AH76" i="22"/>
  <c r="AG76" i="22"/>
  <c r="AH68" i="22"/>
  <c r="AG68" i="22"/>
  <c r="AH60" i="22"/>
  <c r="AG60" i="22"/>
  <c r="AH52" i="22"/>
  <c r="AG52" i="22"/>
  <c r="AH44" i="22"/>
  <c r="AG44" i="22"/>
  <c r="AH36" i="22"/>
  <c r="AG36" i="22"/>
  <c r="AH28" i="22"/>
  <c r="AG28" i="22"/>
  <c r="AH20" i="22"/>
  <c r="AG20" i="22"/>
  <c r="AH12" i="22"/>
  <c r="AG12" i="22"/>
  <c r="AH4" i="22"/>
  <c r="AG4" i="22"/>
  <c r="AG105" i="22"/>
  <c r="AH105" i="22"/>
  <c r="AG65" i="22"/>
  <c r="AH65" i="22"/>
  <c r="AG101" i="22"/>
  <c r="AH101" i="22"/>
  <c r="AG85" i="22"/>
  <c r="AH85" i="22"/>
  <c r="AG61" i="22"/>
  <c r="AH61" i="22"/>
  <c r="AG37" i="22"/>
  <c r="AH37" i="22"/>
  <c r="AG21" i="22"/>
  <c r="AH21" i="22"/>
  <c r="AG115" i="22"/>
  <c r="AH115" i="22"/>
  <c r="AG107" i="22"/>
  <c r="AH107" i="22"/>
  <c r="AG99" i="22"/>
  <c r="AH99" i="22"/>
  <c r="AG91" i="22"/>
  <c r="AH91" i="22"/>
  <c r="AG83" i="22"/>
  <c r="AH83" i="22"/>
  <c r="AG75" i="22"/>
  <c r="AH75" i="22"/>
  <c r="AG67" i="22"/>
  <c r="AH67" i="22"/>
  <c r="AG59" i="22"/>
  <c r="AH59" i="22"/>
  <c r="AG51" i="22"/>
  <c r="AH51" i="22"/>
  <c r="AG43" i="22"/>
  <c r="AH43" i="22"/>
  <c r="AG35" i="22"/>
  <c r="AH35" i="22"/>
  <c r="AG27" i="22"/>
  <c r="AH27" i="22"/>
  <c r="AG19" i="22"/>
  <c r="AH19" i="22"/>
  <c r="AG11" i="22"/>
  <c r="AH11" i="22"/>
  <c r="AG3" i="22"/>
  <c r="AH3" i="22"/>
  <c r="AG113" i="22"/>
  <c r="AH113" i="22"/>
  <c r="AG109" i="22"/>
  <c r="AH109" i="22"/>
  <c r="AG69" i="22"/>
  <c r="AH69" i="22"/>
  <c r="AG53" i="22"/>
  <c r="AH53" i="22"/>
  <c r="AG45" i="22"/>
  <c r="AH45" i="22"/>
  <c r="AG13" i="22"/>
  <c r="AH13" i="22"/>
  <c r="AG114" i="22"/>
  <c r="AH114" i="22"/>
  <c r="AH106" i="22"/>
  <c r="AG106" i="22"/>
  <c r="AG98" i="22"/>
  <c r="AH98" i="22"/>
  <c r="AG90" i="22"/>
  <c r="AH90" i="22"/>
  <c r="AG82" i="22"/>
  <c r="AH82" i="22"/>
  <c r="AH74" i="22"/>
  <c r="AG74" i="22"/>
  <c r="AG66" i="22"/>
  <c r="AH66" i="22"/>
  <c r="AG58" i="22"/>
  <c r="AH58" i="22"/>
  <c r="AH50" i="22"/>
  <c r="AG50" i="22"/>
  <c r="AH42" i="22"/>
  <c r="AG42" i="22"/>
  <c r="AH34" i="22"/>
  <c r="AG34" i="22"/>
  <c r="AH26" i="22"/>
  <c r="AG26" i="22"/>
  <c r="AH18" i="22"/>
  <c r="AG18" i="22"/>
  <c r="AH10" i="22"/>
  <c r="AG10" i="22"/>
  <c r="AO2" i="22"/>
  <c r="AO80" i="22"/>
  <c r="AO72" i="22"/>
  <c r="AO64" i="22"/>
  <c r="AO56" i="22"/>
  <c r="AO48" i="22"/>
  <c r="AO40" i="22"/>
  <c r="AO32" i="22"/>
  <c r="AO24" i="22"/>
  <c r="AO16" i="22"/>
  <c r="AO8" i="22"/>
  <c r="AO79" i="22"/>
  <c r="AO71" i="22"/>
  <c r="AO63" i="22"/>
  <c r="AO55" i="22"/>
  <c r="AO47" i="22"/>
  <c r="AO39" i="22"/>
  <c r="AO31" i="22"/>
  <c r="AO23" i="22"/>
  <c r="AO15" i="22"/>
  <c r="AO7" i="22"/>
  <c r="AO88" i="22"/>
  <c r="AO110" i="22"/>
  <c r="AO70" i="22"/>
  <c r="AO62" i="22"/>
  <c r="AO54" i="22"/>
  <c r="AO46" i="22"/>
  <c r="AO38" i="22"/>
  <c r="AO30" i="22"/>
  <c r="AO22" i="22"/>
  <c r="AO14" i="22"/>
  <c r="AO6" i="22"/>
  <c r="AO96" i="22"/>
  <c r="AO102" i="22"/>
  <c r="AO101" i="22"/>
  <c r="AO93" i="22"/>
  <c r="AO85" i="22"/>
  <c r="AO77" i="22"/>
  <c r="AO69" i="22"/>
  <c r="AO61" i="22"/>
  <c r="AO53" i="22"/>
  <c r="AO45" i="22"/>
  <c r="AO37" i="22"/>
  <c r="AO29" i="22"/>
  <c r="AO21" i="22"/>
  <c r="AO13" i="22"/>
  <c r="AO5" i="22"/>
  <c r="AO111" i="22"/>
  <c r="AO109" i="22"/>
  <c r="AO108" i="22"/>
  <c r="AO76" i="22"/>
  <c r="AO60" i="22"/>
  <c r="AO52" i="22"/>
  <c r="AO44" i="22"/>
  <c r="AO36" i="22"/>
  <c r="AO28" i="22"/>
  <c r="AO20" i="22"/>
  <c r="AO12" i="22"/>
  <c r="AO4" i="22"/>
  <c r="AO104" i="22"/>
  <c r="AO87" i="22"/>
  <c r="AO78" i="22"/>
  <c r="AO100" i="22"/>
  <c r="AO68" i="22"/>
  <c r="AO107" i="22"/>
  <c r="AO91" i="22"/>
  <c r="AO75" i="22"/>
  <c r="AO67" i="22"/>
  <c r="AO59" i="22"/>
  <c r="AO51" i="22"/>
  <c r="AO43" i="22"/>
  <c r="AO35" i="22"/>
  <c r="AO27" i="22"/>
  <c r="AO19" i="22"/>
  <c r="AO11" i="22"/>
  <c r="AO3" i="22"/>
  <c r="AO112" i="22"/>
  <c r="AO95" i="22"/>
  <c r="AO86" i="22"/>
  <c r="AO116" i="22"/>
  <c r="AO84" i="22"/>
  <c r="AO115" i="22"/>
  <c r="AO99" i="22"/>
  <c r="AO83" i="22"/>
  <c r="AO114" i="22"/>
  <c r="AO106" i="22"/>
  <c r="AO98" i="22"/>
  <c r="AO90" i="22"/>
  <c r="AO82" i="22"/>
  <c r="AO74" i="22"/>
  <c r="AO66" i="22"/>
  <c r="AO58" i="22"/>
  <c r="AO50" i="22"/>
  <c r="AO42" i="22"/>
  <c r="AO34" i="22"/>
  <c r="AO26" i="22"/>
  <c r="AO18" i="22"/>
  <c r="AO10" i="22"/>
  <c r="AO103" i="22"/>
  <c r="AO94" i="22"/>
  <c r="AO92" i="22"/>
  <c r="AO113" i="22"/>
  <c r="AO105" i="22"/>
  <c r="AO97" i="22"/>
  <c r="AO89" i="22"/>
  <c r="AO81" i="22"/>
  <c r="AO73" i="22"/>
  <c r="AO65" i="22"/>
  <c r="AO57" i="22"/>
  <c r="AO49" i="22"/>
  <c r="AO41" i="22"/>
  <c r="AO33" i="22"/>
  <c r="AO25" i="22"/>
  <c r="AO17" i="22"/>
  <c r="AO9" i="22"/>
  <c r="AI112" i="22"/>
  <c r="AI104" i="22"/>
  <c r="AI96" i="22"/>
  <c r="AI88" i="22"/>
  <c r="AI80" i="22"/>
  <c r="AI72" i="22"/>
  <c r="AI64" i="22"/>
  <c r="AI56" i="22"/>
  <c r="AI48" i="22"/>
  <c r="AI40" i="22"/>
  <c r="AI32" i="22"/>
  <c r="AI24" i="22"/>
  <c r="AI16" i="22"/>
  <c r="AI8" i="22"/>
  <c r="AI111" i="22"/>
  <c r="AI103" i="22"/>
  <c r="AI95" i="22"/>
  <c r="AI87" i="22"/>
  <c r="AI79" i="22"/>
  <c r="AI71" i="22"/>
  <c r="AI63" i="22"/>
  <c r="AI55" i="22"/>
  <c r="AI47" i="22"/>
  <c r="AI39" i="22"/>
  <c r="AI31" i="22"/>
  <c r="AI23" i="22"/>
  <c r="AI15" i="22"/>
  <c r="AI7" i="22"/>
  <c r="AI110" i="22"/>
  <c r="AI102" i="22"/>
  <c r="AI94" i="22"/>
  <c r="AI86" i="22"/>
  <c r="AI78" i="22"/>
  <c r="AI70" i="22"/>
  <c r="AI62" i="22"/>
  <c r="AI54" i="22"/>
  <c r="AI46" i="22"/>
  <c r="AI38" i="22"/>
  <c r="AI30" i="22"/>
  <c r="AI22" i="22"/>
  <c r="AI14" i="22"/>
  <c r="AI6" i="22"/>
  <c r="AI2" i="22"/>
  <c r="AI109" i="22"/>
  <c r="AI101" i="22"/>
  <c r="AI93" i="22"/>
  <c r="AI85" i="22"/>
  <c r="AI77" i="22"/>
  <c r="AI69" i="22"/>
  <c r="AI61" i="22"/>
  <c r="AI53" i="22"/>
  <c r="AI45" i="22"/>
  <c r="AI37" i="22"/>
  <c r="AI29" i="22"/>
  <c r="AI21" i="22"/>
  <c r="AI13" i="22"/>
  <c r="AI5" i="22"/>
  <c r="AI116" i="22"/>
  <c r="AI108" i="22"/>
  <c r="AI100" i="22"/>
  <c r="AI92" i="22"/>
  <c r="AI84" i="22"/>
  <c r="AI76" i="22"/>
  <c r="AI68" i="22"/>
  <c r="AI60" i="22"/>
  <c r="AI52" i="22"/>
  <c r="AI44" i="22"/>
  <c r="AI36" i="22"/>
  <c r="AI28" i="22"/>
  <c r="AI20" i="22"/>
  <c r="AI12" i="22"/>
  <c r="AI4" i="22"/>
  <c r="AI115" i="22"/>
  <c r="AI107" i="22"/>
  <c r="AI99" i="22"/>
  <c r="AI91" i="22"/>
  <c r="AI83" i="22"/>
  <c r="AI75" i="22"/>
  <c r="AI67" i="22"/>
  <c r="AI59" i="22"/>
  <c r="AI51" i="22"/>
  <c r="AI43" i="22"/>
  <c r="AI35" i="22"/>
  <c r="AI27" i="22"/>
  <c r="AI19" i="22"/>
  <c r="AI11" i="22"/>
  <c r="AI3" i="22"/>
  <c r="AI114" i="22"/>
  <c r="AI106" i="22"/>
  <c r="AI98" i="22"/>
  <c r="AI90" i="22"/>
  <c r="AI82" i="22"/>
  <c r="AI74" i="22"/>
  <c r="AI66" i="22"/>
  <c r="AI58" i="22"/>
  <c r="AI50" i="22"/>
  <c r="AI42" i="22"/>
  <c r="AI34" i="22"/>
  <c r="AI26" i="22"/>
  <c r="AI18" i="22"/>
  <c r="AI10" i="22"/>
  <c r="AI113" i="22"/>
  <c r="AI105" i="22"/>
  <c r="AI97" i="22"/>
  <c r="AI89" i="22"/>
  <c r="AI81" i="22"/>
  <c r="AI73" i="22"/>
  <c r="AI65" i="22"/>
  <c r="AI57" i="22"/>
  <c r="AI49" i="22"/>
  <c r="AI41" i="22"/>
  <c r="AI33" i="22"/>
  <c r="AI25" i="22"/>
  <c r="AI17" i="22"/>
  <c r="AI9" i="22"/>
  <c r="AF112" i="22"/>
  <c r="AE112" i="22"/>
  <c r="AF104" i="22"/>
  <c r="AE104" i="22"/>
  <c r="AF96" i="22"/>
  <c r="AE96" i="22"/>
  <c r="AF88" i="22"/>
  <c r="AE88" i="22"/>
  <c r="AF80" i="22"/>
  <c r="AE80" i="22"/>
  <c r="AF72" i="22"/>
  <c r="AE72" i="22"/>
  <c r="AF64" i="22"/>
  <c r="AE64" i="22"/>
  <c r="AF56" i="22"/>
  <c r="AE56" i="22"/>
  <c r="AF48" i="22"/>
  <c r="AE48" i="22"/>
  <c r="AF40" i="22"/>
  <c r="AE40" i="22"/>
  <c r="AF32" i="22"/>
  <c r="AE32" i="22"/>
  <c r="AF24" i="22"/>
  <c r="AE24" i="22"/>
  <c r="AF16" i="22"/>
  <c r="AE16" i="22"/>
  <c r="AF8" i="22"/>
  <c r="AE8" i="22"/>
  <c r="AF111" i="22"/>
  <c r="AE111" i="22"/>
  <c r="AF103" i="22"/>
  <c r="AE103" i="22"/>
  <c r="AF95" i="22"/>
  <c r="AE95" i="22"/>
  <c r="AF87" i="22"/>
  <c r="AE87" i="22"/>
  <c r="AF79" i="22"/>
  <c r="AE79" i="22"/>
  <c r="AF71" i="22"/>
  <c r="AE71" i="22"/>
  <c r="AF63" i="22"/>
  <c r="AE63" i="22"/>
  <c r="AF55" i="22"/>
  <c r="AE55" i="22"/>
  <c r="AF47" i="22"/>
  <c r="AE47" i="22"/>
  <c r="AF39" i="22"/>
  <c r="AE39" i="22"/>
  <c r="AF31" i="22"/>
  <c r="AE31" i="22"/>
  <c r="AF23" i="22"/>
  <c r="AE23" i="22"/>
  <c r="AF15" i="22"/>
  <c r="AE15" i="22"/>
  <c r="AF7" i="22"/>
  <c r="AE7" i="22"/>
  <c r="AF110" i="22"/>
  <c r="AE110" i="22"/>
  <c r="AF102" i="22"/>
  <c r="AE102" i="22"/>
  <c r="AF94" i="22"/>
  <c r="AE94" i="22"/>
  <c r="AF86" i="22"/>
  <c r="AE86" i="22"/>
  <c r="AF78" i="22"/>
  <c r="AE78" i="22"/>
  <c r="AF70" i="22"/>
  <c r="AE70" i="22"/>
  <c r="AF62" i="22"/>
  <c r="AE62" i="22"/>
  <c r="AF54" i="22"/>
  <c r="AE54" i="22"/>
  <c r="AF46" i="22"/>
  <c r="AE46" i="22"/>
  <c r="AF38" i="22"/>
  <c r="AE38" i="22"/>
  <c r="AF30" i="22"/>
  <c r="AE30" i="22"/>
  <c r="AF22" i="22"/>
  <c r="AE22" i="22"/>
  <c r="AF14" i="22"/>
  <c r="AE14" i="22"/>
  <c r="AF6" i="22"/>
  <c r="AE6" i="22"/>
  <c r="AF2" i="22"/>
  <c r="AE2" i="22"/>
  <c r="AF109" i="22"/>
  <c r="AE109" i="22"/>
  <c r="AF101" i="22"/>
  <c r="AE101" i="22"/>
  <c r="AF93" i="22"/>
  <c r="AE93" i="22"/>
  <c r="AF85" i="22"/>
  <c r="AE85" i="22"/>
  <c r="AF77" i="22"/>
  <c r="AE77" i="22"/>
  <c r="AF69" i="22"/>
  <c r="AE69" i="22"/>
  <c r="AF61" i="22"/>
  <c r="AE61" i="22"/>
  <c r="AF53" i="22"/>
  <c r="AE53" i="22"/>
  <c r="AF45" i="22"/>
  <c r="AE45" i="22"/>
  <c r="AF37" i="22"/>
  <c r="AE37" i="22"/>
  <c r="AF29" i="22"/>
  <c r="AE29" i="22"/>
  <c r="AF21" i="22"/>
  <c r="AE21" i="22"/>
  <c r="AF13" i="22"/>
  <c r="AE13" i="22"/>
  <c r="AF5" i="22"/>
  <c r="AE5" i="22"/>
  <c r="AE116" i="22"/>
  <c r="AF116" i="22"/>
  <c r="AE108" i="22"/>
  <c r="AF108" i="22"/>
  <c r="AE100" i="22"/>
  <c r="AF100" i="22"/>
  <c r="AE92" i="22"/>
  <c r="AF92" i="22"/>
  <c r="AE84" i="22"/>
  <c r="AF84" i="22"/>
  <c r="AE76" i="22"/>
  <c r="AF76" i="22"/>
  <c r="AE68" i="22"/>
  <c r="AF68" i="22"/>
  <c r="AE60" i="22"/>
  <c r="AF60" i="22"/>
  <c r="AE52" i="22"/>
  <c r="AF52" i="22"/>
  <c r="AE44" i="22"/>
  <c r="AF44" i="22"/>
  <c r="AE36" i="22"/>
  <c r="AF36" i="22"/>
  <c r="AE28" i="22"/>
  <c r="AF28" i="22"/>
  <c r="AE20" i="22"/>
  <c r="AF20" i="22"/>
  <c r="AE12" i="22"/>
  <c r="AF12" i="22"/>
  <c r="AF4" i="22"/>
  <c r="AE4" i="22"/>
  <c r="AE115" i="22"/>
  <c r="AF115" i="22"/>
  <c r="AE107" i="22"/>
  <c r="AF107" i="22"/>
  <c r="AE99" i="22"/>
  <c r="AF99" i="22"/>
  <c r="AE91" i="22"/>
  <c r="AF91" i="22"/>
  <c r="AE83" i="22"/>
  <c r="AF83" i="22"/>
  <c r="AE75" i="22"/>
  <c r="AF75" i="22"/>
  <c r="AE67" i="22"/>
  <c r="AF67" i="22"/>
  <c r="AE59" i="22"/>
  <c r="AF59" i="22"/>
  <c r="AE51" i="22"/>
  <c r="AF51" i="22"/>
  <c r="AE43" i="22"/>
  <c r="AF43" i="22"/>
  <c r="AE35" i="22"/>
  <c r="AF35" i="22"/>
  <c r="AE27" i="22"/>
  <c r="AF27" i="22"/>
  <c r="AE19" i="22"/>
  <c r="AF19" i="22"/>
  <c r="AE11" i="22"/>
  <c r="AF11" i="22"/>
  <c r="AF3" i="22"/>
  <c r="AE3" i="22"/>
  <c r="AE114" i="22"/>
  <c r="AF114" i="22"/>
  <c r="AE106" i="22"/>
  <c r="AF106" i="22"/>
  <c r="AE98" i="22"/>
  <c r="AF98" i="22"/>
  <c r="AE90" i="22"/>
  <c r="AF90" i="22"/>
  <c r="AE82" i="22"/>
  <c r="AF82" i="22"/>
  <c r="AE74" i="22"/>
  <c r="AF74" i="22"/>
  <c r="AE66" i="22"/>
  <c r="AF66" i="22"/>
  <c r="AE58" i="22"/>
  <c r="AF58" i="22"/>
  <c r="AE50" i="22"/>
  <c r="AF50" i="22"/>
  <c r="AE42" i="22"/>
  <c r="AF42" i="22"/>
  <c r="AE34" i="22"/>
  <c r="AF34" i="22"/>
  <c r="AE26" i="22"/>
  <c r="AF26" i="22"/>
  <c r="AE18" i="22"/>
  <c r="AF18" i="22"/>
  <c r="AE10" i="22"/>
  <c r="AF10" i="22"/>
  <c r="AE113" i="22"/>
  <c r="AF113" i="22"/>
  <c r="AE105" i="22"/>
  <c r="AF105" i="22"/>
  <c r="AE97" i="22"/>
  <c r="AF97" i="22"/>
  <c r="AE89" i="22"/>
  <c r="AF89" i="22"/>
  <c r="AE81" i="22"/>
  <c r="AF81" i="22"/>
  <c r="AE73" i="22"/>
  <c r="AF73" i="22"/>
  <c r="AE65" i="22"/>
  <c r="AF65" i="22"/>
  <c r="AE57" i="22"/>
  <c r="AF57" i="22"/>
  <c r="AE49" i="22"/>
  <c r="AF49" i="22"/>
  <c r="AE41" i="22"/>
  <c r="AF41" i="22"/>
  <c r="AE33" i="22"/>
  <c r="AF33" i="22"/>
  <c r="AE25" i="22"/>
  <c r="AF25" i="22"/>
  <c r="AE17" i="22"/>
  <c r="AF17" i="22"/>
  <c r="AE9" i="22"/>
  <c r="AF9" i="22"/>
  <c r="G112" i="22"/>
  <c r="N112" i="22" s="1"/>
  <c r="AC112" i="22"/>
  <c r="Z112" i="22"/>
  <c r="AD112" i="22"/>
  <c r="G104" i="22"/>
  <c r="N104" i="22" s="1"/>
  <c r="AC104" i="22"/>
  <c r="Z104" i="22"/>
  <c r="AK104" i="22" s="1"/>
  <c r="AD104" i="22"/>
  <c r="G96" i="22"/>
  <c r="N96" i="22" s="1"/>
  <c r="AC96" i="22"/>
  <c r="Z96" i="22"/>
  <c r="AD96" i="22"/>
  <c r="G88" i="22"/>
  <c r="N88" i="22" s="1"/>
  <c r="AC88" i="22"/>
  <c r="Z88" i="22"/>
  <c r="AK88" i="22" s="1"/>
  <c r="AD88" i="22"/>
  <c r="F80" i="22"/>
  <c r="M80" i="22" s="1"/>
  <c r="AC80" i="22"/>
  <c r="Z80" i="22"/>
  <c r="AK80" i="22" s="1"/>
  <c r="AD80" i="22"/>
  <c r="AC72" i="22"/>
  <c r="Z72" i="22"/>
  <c r="AD72" i="22"/>
  <c r="AC64" i="22"/>
  <c r="Z64" i="22"/>
  <c r="AD64" i="22"/>
  <c r="AC56" i="22"/>
  <c r="AD56" i="22"/>
  <c r="Z56" i="22"/>
  <c r="AC48" i="22"/>
  <c r="AD48" i="22"/>
  <c r="Z48" i="22"/>
  <c r="AC40" i="22"/>
  <c r="AD40" i="22"/>
  <c r="Z40" i="22"/>
  <c r="AC32" i="22"/>
  <c r="AD32" i="22"/>
  <c r="Z32" i="22"/>
  <c r="AC24" i="22"/>
  <c r="AD24" i="22"/>
  <c r="Z24" i="22"/>
  <c r="AC16" i="22"/>
  <c r="AD16" i="22"/>
  <c r="Z16" i="22"/>
  <c r="AC8" i="22"/>
  <c r="AD8" i="22"/>
  <c r="Z8" i="22"/>
  <c r="E111" i="22"/>
  <c r="L111" i="22" s="1"/>
  <c r="AC111" i="22"/>
  <c r="AD111" i="22"/>
  <c r="Z111" i="22"/>
  <c r="AK111" i="22" s="1"/>
  <c r="E103" i="22"/>
  <c r="L103" i="22" s="1"/>
  <c r="AC103" i="22"/>
  <c r="AD103" i="22"/>
  <c r="Z103" i="22"/>
  <c r="AK103" i="22" s="1"/>
  <c r="E95" i="22"/>
  <c r="L95" i="22" s="1"/>
  <c r="AC95" i="22"/>
  <c r="AD95" i="22"/>
  <c r="Z95" i="22"/>
  <c r="AK95" i="22" s="1"/>
  <c r="E87" i="22"/>
  <c r="L87" i="22" s="1"/>
  <c r="AC87" i="22"/>
  <c r="AD87" i="22"/>
  <c r="Z87" i="22"/>
  <c r="D79" i="22"/>
  <c r="K79" i="22" s="1"/>
  <c r="AC79" i="22"/>
  <c r="AD79" i="22"/>
  <c r="Z79" i="22"/>
  <c r="AK79" i="22" s="1"/>
  <c r="C71" i="22"/>
  <c r="J71" i="22" s="1"/>
  <c r="AC71" i="22"/>
  <c r="AD71" i="22"/>
  <c r="Z71" i="22"/>
  <c r="AC63" i="22"/>
  <c r="AD63" i="22"/>
  <c r="Z63" i="22"/>
  <c r="AC55" i="22"/>
  <c r="AD55" i="22"/>
  <c r="Z55" i="22"/>
  <c r="AC47" i="22"/>
  <c r="AD47" i="22"/>
  <c r="Z47" i="22"/>
  <c r="AC39" i="22"/>
  <c r="AD39" i="22"/>
  <c r="Z39" i="22"/>
  <c r="AC31" i="22"/>
  <c r="AD31" i="22"/>
  <c r="Z31" i="22"/>
  <c r="AC23" i="22"/>
  <c r="AD23" i="22"/>
  <c r="Z23" i="22"/>
  <c r="AC15" i="22"/>
  <c r="AD15" i="22"/>
  <c r="Z15" i="22"/>
  <c r="AC7" i="22"/>
  <c r="AD7" i="22"/>
  <c r="Z7" i="22"/>
  <c r="C110" i="22"/>
  <c r="J110" i="22" s="1"/>
  <c r="AD110" i="22"/>
  <c r="Z110" i="22"/>
  <c r="AK110" i="22" s="1"/>
  <c r="AC110" i="22"/>
  <c r="C102" i="22"/>
  <c r="J102" i="22" s="1"/>
  <c r="AD102" i="22"/>
  <c r="Z102" i="22"/>
  <c r="AK102" i="22" s="1"/>
  <c r="AC102" i="22"/>
  <c r="C94" i="22"/>
  <c r="J94" i="22" s="1"/>
  <c r="AD94" i="22"/>
  <c r="Z94" i="22"/>
  <c r="AK94" i="22" s="1"/>
  <c r="AC94" i="22"/>
  <c r="C86" i="22"/>
  <c r="J86" i="22" s="1"/>
  <c r="AD86" i="22"/>
  <c r="Z86" i="22"/>
  <c r="AK86" i="22" s="1"/>
  <c r="AC86" i="22"/>
  <c r="E78" i="22"/>
  <c r="L78" i="22" s="1"/>
  <c r="AD78" i="22"/>
  <c r="Z78" i="22"/>
  <c r="AK78" i="22" s="1"/>
  <c r="AC78" i="22"/>
  <c r="C70" i="22"/>
  <c r="J70" i="22" s="1"/>
  <c r="AD70" i="22"/>
  <c r="Z70" i="22"/>
  <c r="AC70" i="22"/>
  <c r="AD62" i="22"/>
  <c r="Z62" i="22"/>
  <c r="AC62" i="22"/>
  <c r="AD54" i="22"/>
  <c r="Z54" i="22"/>
  <c r="AC54" i="22"/>
  <c r="AD46" i="22"/>
  <c r="Z46" i="22"/>
  <c r="AC46" i="22"/>
  <c r="AD38" i="22"/>
  <c r="Z38" i="22"/>
  <c r="AC38" i="22"/>
  <c r="AD30" i="22"/>
  <c r="Z30" i="22"/>
  <c r="AC30" i="22"/>
  <c r="AD22" i="22"/>
  <c r="Z22" i="22"/>
  <c r="AC22" i="22"/>
  <c r="AD14" i="22"/>
  <c r="Z14" i="22"/>
  <c r="AC14" i="22"/>
  <c r="AD6" i="22"/>
  <c r="Z6" i="22"/>
  <c r="AC6" i="22"/>
  <c r="H2" i="22"/>
  <c r="O2" i="22" s="1"/>
  <c r="AD2" i="22"/>
  <c r="Y2" i="22"/>
  <c r="AC2" i="22"/>
  <c r="Z2" i="22"/>
  <c r="C109" i="22"/>
  <c r="J109" i="22" s="1"/>
  <c r="AD109" i="22"/>
  <c r="Z109" i="22"/>
  <c r="AK109" i="22" s="1"/>
  <c r="AC109" i="22"/>
  <c r="C101" i="22"/>
  <c r="J101" i="22" s="1"/>
  <c r="AD101" i="22"/>
  <c r="Z101" i="22"/>
  <c r="AC101" i="22"/>
  <c r="C93" i="22"/>
  <c r="J93" i="22" s="1"/>
  <c r="AD93" i="22"/>
  <c r="Z93" i="22"/>
  <c r="AK93" i="22" s="1"/>
  <c r="AC93" i="22"/>
  <c r="H85" i="22"/>
  <c r="O85" i="22" s="1"/>
  <c r="AD85" i="22"/>
  <c r="Z85" i="22"/>
  <c r="AK85" i="22" s="1"/>
  <c r="AC85" i="22"/>
  <c r="H77" i="22"/>
  <c r="O77" i="22" s="1"/>
  <c r="AD77" i="22"/>
  <c r="Z77" i="22"/>
  <c r="AC77" i="22"/>
  <c r="H69" i="22"/>
  <c r="O69" i="22" s="1"/>
  <c r="AD69" i="22"/>
  <c r="Z69" i="22"/>
  <c r="AC69" i="22"/>
  <c r="AD61" i="22"/>
  <c r="Z61" i="22"/>
  <c r="AC61" i="22"/>
  <c r="Z53" i="22"/>
  <c r="AD53" i="22"/>
  <c r="AC53" i="22"/>
  <c r="Z45" i="22"/>
  <c r="AD45" i="22"/>
  <c r="AC45" i="22"/>
  <c r="Z37" i="22"/>
  <c r="AD37" i="22"/>
  <c r="AC37" i="22"/>
  <c r="Z29" i="22"/>
  <c r="AD29" i="22"/>
  <c r="AC29" i="22"/>
  <c r="Z21" i="22"/>
  <c r="AD21" i="22"/>
  <c r="AC21" i="22"/>
  <c r="Z13" i="22"/>
  <c r="AD13" i="22"/>
  <c r="AC13" i="22"/>
  <c r="Z5" i="22"/>
  <c r="AD5" i="22"/>
  <c r="AC5" i="22"/>
  <c r="G116" i="22"/>
  <c r="N116" i="22" s="1"/>
  <c r="AD116" i="22"/>
  <c r="Z116" i="22"/>
  <c r="AC116" i="22"/>
  <c r="G108" i="22"/>
  <c r="N108" i="22" s="1"/>
  <c r="AD108" i="22"/>
  <c r="Z108" i="22"/>
  <c r="AK108" i="22" s="1"/>
  <c r="AC108" i="22"/>
  <c r="G100" i="22"/>
  <c r="N100" i="22" s="1"/>
  <c r="AD100" i="22"/>
  <c r="Z100" i="22"/>
  <c r="AC100" i="22"/>
  <c r="G92" i="22"/>
  <c r="N92" i="22" s="1"/>
  <c r="AD92" i="22"/>
  <c r="Z92" i="22"/>
  <c r="AK92" i="22" s="1"/>
  <c r="AC92" i="22"/>
  <c r="F84" i="22"/>
  <c r="M84" i="22" s="1"/>
  <c r="AD84" i="22"/>
  <c r="Z84" i="22"/>
  <c r="AC84" i="22"/>
  <c r="F76" i="22"/>
  <c r="M76" i="22" s="1"/>
  <c r="AD76" i="22"/>
  <c r="Z76" i="22"/>
  <c r="AC76" i="22"/>
  <c r="E68" i="22"/>
  <c r="L68" i="22" s="1"/>
  <c r="AD68" i="22"/>
  <c r="Z68" i="22"/>
  <c r="AC68" i="22"/>
  <c r="AD60" i="22"/>
  <c r="Z60" i="22"/>
  <c r="AC60" i="22"/>
  <c r="AD52" i="22"/>
  <c r="AC52" i="22"/>
  <c r="Z52" i="22"/>
  <c r="AD44" i="22"/>
  <c r="AC44" i="22"/>
  <c r="Z44" i="22"/>
  <c r="AD36" i="22"/>
  <c r="AC36" i="22"/>
  <c r="Z36" i="22"/>
  <c r="AD28" i="22"/>
  <c r="AC28" i="22"/>
  <c r="Z28" i="22"/>
  <c r="AD20" i="22"/>
  <c r="AC20" i="22"/>
  <c r="Z20" i="22"/>
  <c r="AD12" i="22"/>
  <c r="AC12" i="22"/>
  <c r="Z12" i="22"/>
  <c r="AD4" i="22"/>
  <c r="AC4" i="22"/>
  <c r="Z4" i="22"/>
  <c r="E115" i="22"/>
  <c r="L115" i="22" s="1"/>
  <c r="AD115" i="22"/>
  <c r="AC115" i="22"/>
  <c r="Z115" i="22"/>
  <c r="AK115" i="22" s="1"/>
  <c r="E107" i="22"/>
  <c r="L107" i="22" s="1"/>
  <c r="AD107" i="22"/>
  <c r="AC107" i="22"/>
  <c r="Z107" i="22"/>
  <c r="E99" i="22"/>
  <c r="L99" i="22" s="1"/>
  <c r="AD99" i="22"/>
  <c r="AC99" i="22"/>
  <c r="Z99" i="22"/>
  <c r="AK99" i="22" s="1"/>
  <c r="E91" i="22"/>
  <c r="L91" i="22" s="1"/>
  <c r="AD91" i="22"/>
  <c r="AC91" i="22"/>
  <c r="Z91" i="22"/>
  <c r="D83" i="22"/>
  <c r="K83" i="22" s="1"/>
  <c r="AD83" i="22"/>
  <c r="AC83" i="22"/>
  <c r="Z83" i="22"/>
  <c r="AK83" i="22" s="1"/>
  <c r="F75" i="22"/>
  <c r="M75" i="22" s="1"/>
  <c r="AD75" i="22"/>
  <c r="AC75" i="22"/>
  <c r="Z75" i="22"/>
  <c r="AK75" i="22" s="1"/>
  <c r="C67" i="22"/>
  <c r="J67" i="22" s="1"/>
  <c r="AD67" i="22"/>
  <c r="AC67" i="22"/>
  <c r="Z67" i="22"/>
  <c r="AD59" i="22"/>
  <c r="AC59" i="22"/>
  <c r="Z59" i="22"/>
  <c r="AD51" i="22"/>
  <c r="AC51" i="22"/>
  <c r="Z51" i="22"/>
  <c r="AD43" i="22"/>
  <c r="AC43" i="22"/>
  <c r="Z43" i="22"/>
  <c r="AD35" i="22"/>
  <c r="AC35" i="22"/>
  <c r="Z35" i="22"/>
  <c r="AD27" i="22"/>
  <c r="AC27" i="22"/>
  <c r="Z27" i="22"/>
  <c r="AD19" i="22"/>
  <c r="AC19" i="22"/>
  <c r="Z19" i="22"/>
  <c r="AD11" i="22"/>
  <c r="AC11" i="22"/>
  <c r="Z11" i="22"/>
  <c r="AD3" i="22"/>
  <c r="AC3" i="22"/>
  <c r="Z3" i="22"/>
  <c r="C114" i="22"/>
  <c r="J114" i="22" s="1"/>
  <c r="AC114" i="22"/>
  <c r="Z114" i="22"/>
  <c r="AK114" i="22" s="1"/>
  <c r="AD114" i="22"/>
  <c r="C106" i="22"/>
  <c r="J106" i="22" s="1"/>
  <c r="AC106" i="22"/>
  <c r="Z106" i="22"/>
  <c r="AK106" i="22" s="1"/>
  <c r="AD106" i="22"/>
  <c r="C98" i="22"/>
  <c r="J98" i="22" s="1"/>
  <c r="AC98" i="22"/>
  <c r="Z98" i="22"/>
  <c r="AD98" i="22"/>
  <c r="C90" i="22"/>
  <c r="J90" i="22" s="1"/>
  <c r="AC90" i="22"/>
  <c r="Z90" i="22"/>
  <c r="AK90" i="22" s="1"/>
  <c r="AD90" i="22"/>
  <c r="H82" i="22"/>
  <c r="O82" i="22" s="1"/>
  <c r="AC82" i="22"/>
  <c r="Z82" i="22"/>
  <c r="AD82" i="22"/>
  <c r="C74" i="22"/>
  <c r="J74" i="22" s="1"/>
  <c r="AC74" i="22"/>
  <c r="Z74" i="22"/>
  <c r="AK74" i="22" s="1"/>
  <c r="AD74" i="22"/>
  <c r="AC66" i="22"/>
  <c r="Z66" i="22"/>
  <c r="AD66" i="22"/>
  <c r="AC58" i="22"/>
  <c r="Z58" i="22"/>
  <c r="AD58" i="22"/>
  <c r="AC50" i="22"/>
  <c r="Z50" i="22"/>
  <c r="AD50" i="22"/>
  <c r="AD42" i="22"/>
  <c r="AC42" i="22"/>
  <c r="Z42" i="22"/>
  <c r="AC34" i="22"/>
  <c r="Z34" i="22"/>
  <c r="AD34" i="22"/>
  <c r="AD26" i="22"/>
  <c r="AC26" i="22"/>
  <c r="Z26" i="22"/>
  <c r="AC18" i="22"/>
  <c r="Z18" i="22"/>
  <c r="AD18" i="22"/>
  <c r="AC10" i="22"/>
  <c r="Z10" i="22"/>
  <c r="AD10" i="22"/>
  <c r="C113" i="22"/>
  <c r="J113" i="22" s="1"/>
  <c r="AC113" i="22"/>
  <c r="Z113" i="22"/>
  <c r="AK113" i="22" s="1"/>
  <c r="AD113" i="22"/>
  <c r="C105" i="22"/>
  <c r="J105" i="22" s="1"/>
  <c r="AC105" i="22"/>
  <c r="Z105" i="22"/>
  <c r="AK105" i="22" s="1"/>
  <c r="AD105" i="22"/>
  <c r="C97" i="22"/>
  <c r="J97" i="22" s="1"/>
  <c r="AC97" i="22"/>
  <c r="Z97" i="22"/>
  <c r="AK97" i="22" s="1"/>
  <c r="AD97" i="22"/>
  <c r="C89" i="22"/>
  <c r="J89" i="22" s="1"/>
  <c r="AC89" i="22"/>
  <c r="Z89" i="22"/>
  <c r="AK89" i="22" s="1"/>
  <c r="AD89" i="22"/>
  <c r="H81" i="22"/>
  <c r="O81" i="22" s="1"/>
  <c r="AC81" i="22"/>
  <c r="Z81" i="22"/>
  <c r="AD81" i="22"/>
  <c r="H73" i="22"/>
  <c r="O73" i="22" s="1"/>
  <c r="AC73" i="22"/>
  <c r="Z73" i="22"/>
  <c r="AK73" i="22" s="1"/>
  <c r="AD73" i="22"/>
  <c r="F65" i="22"/>
  <c r="M65" i="22" s="1"/>
  <c r="AC65" i="22"/>
  <c r="Z65" i="22"/>
  <c r="AD65" i="22"/>
  <c r="Z57" i="22"/>
  <c r="AC57" i="22"/>
  <c r="AD57" i="22"/>
  <c r="Z49" i="22"/>
  <c r="AC49" i="22"/>
  <c r="AD49" i="22"/>
  <c r="Z41" i="22"/>
  <c r="AC41" i="22"/>
  <c r="AD41" i="22"/>
  <c r="Z33" i="22"/>
  <c r="AC33" i="22"/>
  <c r="AD33" i="22"/>
  <c r="Z25" i="22"/>
  <c r="AC25" i="22"/>
  <c r="AD25" i="22"/>
  <c r="Z17" i="22"/>
  <c r="AC17" i="22"/>
  <c r="AD17" i="22"/>
  <c r="Z9" i="22"/>
  <c r="AC9" i="22"/>
  <c r="AD9" i="22"/>
  <c r="C66" i="22"/>
  <c r="J66" i="22" s="1"/>
  <c r="D66" i="22"/>
  <c r="K66" i="22" s="1"/>
  <c r="E66" i="22"/>
  <c r="L66" i="22" s="1"/>
  <c r="C58" i="22"/>
  <c r="J58" i="22" s="1"/>
  <c r="D58" i="22"/>
  <c r="K58" i="22" s="1"/>
  <c r="E58" i="22"/>
  <c r="L58" i="22" s="1"/>
  <c r="F58" i="22"/>
  <c r="M58" i="22" s="1"/>
  <c r="G58" i="22"/>
  <c r="N58" i="22" s="1"/>
  <c r="H58" i="22"/>
  <c r="O58" i="22" s="1"/>
  <c r="C50" i="22"/>
  <c r="J50" i="22" s="1"/>
  <c r="D50" i="22"/>
  <c r="K50" i="22" s="1"/>
  <c r="E50" i="22"/>
  <c r="L50" i="22" s="1"/>
  <c r="F50" i="22"/>
  <c r="M50" i="22" s="1"/>
  <c r="G50" i="22"/>
  <c r="N50" i="22" s="1"/>
  <c r="H50" i="22"/>
  <c r="O50" i="22" s="1"/>
  <c r="C42" i="22"/>
  <c r="J42" i="22" s="1"/>
  <c r="D42" i="22"/>
  <c r="K42" i="22" s="1"/>
  <c r="E42" i="22"/>
  <c r="L42" i="22" s="1"/>
  <c r="F42" i="22"/>
  <c r="M42" i="22" s="1"/>
  <c r="G42" i="22"/>
  <c r="N42" i="22" s="1"/>
  <c r="H42" i="22"/>
  <c r="O42" i="22" s="1"/>
  <c r="C34" i="22"/>
  <c r="J34" i="22" s="1"/>
  <c r="D34" i="22"/>
  <c r="K34" i="22" s="1"/>
  <c r="E34" i="22"/>
  <c r="L34" i="22" s="1"/>
  <c r="F34" i="22"/>
  <c r="M34" i="22" s="1"/>
  <c r="G34" i="22"/>
  <c r="N34" i="22" s="1"/>
  <c r="H34" i="22"/>
  <c r="O34" i="22" s="1"/>
  <c r="C26" i="22"/>
  <c r="J26" i="22" s="1"/>
  <c r="D26" i="22"/>
  <c r="K26" i="22" s="1"/>
  <c r="E26" i="22"/>
  <c r="L26" i="22" s="1"/>
  <c r="F26" i="22"/>
  <c r="M26" i="22" s="1"/>
  <c r="G26" i="22"/>
  <c r="N26" i="22" s="1"/>
  <c r="H26" i="22"/>
  <c r="O26" i="22" s="1"/>
  <c r="C18" i="22"/>
  <c r="J18" i="22" s="1"/>
  <c r="D18" i="22"/>
  <c r="K18" i="22" s="1"/>
  <c r="E18" i="22"/>
  <c r="L18" i="22" s="1"/>
  <c r="F18" i="22"/>
  <c r="M18" i="22" s="1"/>
  <c r="G18" i="22"/>
  <c r="N18" i="22" s="1"/>
  <c r="H18" i="22"/>
  <c r="O18" i="22" s="1"/>
  <c r="C10" i="22"/>
  <c r="J10" i="22" s="1"/>
  <c r="D10" i="22"/>
  <c r="K10" i="22" s="1"/>
  <c r="E10" i="22"/>
  <c r="L10" i="22" s="1"/>
  <c r="F10" i="22"/>
  <c r="M10" i="22" s="1"/>
  <c r="G10" i="22"/>
  <c r="N10" i="22" s="1"/>
  <c r="H10" i="22"/>
  <c r="O10" i="22" s="1"/>
  <c r="C2" i="22"/>
  <c r="J2" i="22" s="1"/>
  <c r="F116" i="22"/>
  <c r="M116" i="22" s="1"/>
  <c r="D115" i="22"/>
  <c r="K115" i="22" s="1"/>
  <c r="H113" i="22"/>
  <c r="O113" i="22" s="1"/>
  <c r="F112" i="22"/>
  <c r="M112" i="22" s="1"/>
  <c r="D111" i="22"/>
  <c r="K111" i="22" s="1"/>
  <c r="H109" i="22"/>
  <c r="O109" i="22" s="1"/>
  <c r="F108" i="22"/>
  <c r="M108" i="22" s="1"/>
  <c r="D107" i="22"/>
  <c r="K107" i="22" s="1"/>
  <c r="H105" i="22"/>
  <c r="O105" i="22" s="1"/>
  <c r="F104" i="22"/>
  <c r="M104" i="22" s="1"/>
  <c r="D103" i="22"/>
  <c r="K103" i="22" s="1"/>
  <c r="H101" i="22"/>
  <c r="O101" i="22" s="1"/>
  <c r="F100" i="22"/>
  <c r="M100" i="22" s="1"/>
  <c r="D99" i="22"/>
  <c r="K99" i="22" s="1"/>
  <c r="H97" i="22"/>
  <c r="O97" i="22" s="1"/>
  <c r="F96" i="22"/>
  <c r="M96" i="22" s="1"/>
  <c r="D95" i="22"/>
  <c r="K95" i="22" s="1"/>
  <c r="H93" i="22"/>
  <c r="O93" i="22" s="1"/>
  <c r="F92" i="22"/>
  <c r="M92" i="22" s="1"/>
  <c r="D91" i="22"/>
  <c r="K91" i="22" s="1"/>
  <c r="H89" i="22"/>
  <c r="O89" i="22" s="1"/>
  <c r="F88" i="22"/>
  <c r="M88" i="22" s="1"/>
  <c r="D87" i="22"/>
  <c r="K87" i="22" s="1"/>
  <c r="G85" i="22"/>
  <c r="N85" i="22" s="1"/>
  <c r="D84" i="22"/>
  <c r="K84" i="22" s="1"/>
  <c r="G82" i="22"/>
  <c r="N82" i="22" s="1"/>
  <c r="D81" i="22"/>
  <c r="K81" i="22" s="1"/>
  <c r="G79" i="22"/>
  <c r="N79" i="22" s="1"/>
  <c r="D78" i="22"/>
  <c r="K78" i="22" s="1"/>
  <c r="G76" i="22"/>
  <c r="N76" i="22" s="1"/>
  <c r="H74" i="22"/>
  <c r="O74" i="22" s="1"/>
  <c r="D73" i="22"/>
  <c r="K73" i="22" s="1"/>
  <c r="F71" i="22"/>
  <c r="M71" i="22" s="1"/>
  <c r="F69" i="22"/>
  <c r="M69" i="22" s="1"/>
  <c r="H67" i="22"/>
  <c r="O67" i="22" s="1"/>
  <c r="H65" i="22"/>
  <c r="O65" i="22" s="1"/>
  <c r="C65" i="22"/>
  <c r="J65" i="22" s="1"/>
  <c r="E65" i="22"/>
  <c r="L65" i="22" s="1"/>
  <c r="H57" i="22"/>
  <c r="O57" i="22" s="1"/>
  <c r="C57" i="22"/>
  <c r="J57" i="22" s="1"/>
  <c r="D57" i="22"/>
  <c r="K57" i="22" s="1"/>
  <c r="E57" i="22"/>
  <c r="L57" i="22" s="1"/>
  <c r="F57" i="22"/>
  <c r="M57" i="22" s="1"/>
  <c r="G57" i="22"/>
  <c r="N57" i="22" s="1"/>
  <c r="H49" i="22"/>
  <c r="O49" i="22" s="1"/>
  <c r="C49" i="22"/>
  <c r="J49" i="22" s="1"/>
  <c r="D49" i="22"/>
  <c r="K49" i="22" s="1"/>
  <c r="E49" i="22"/>
  <c r="L49" i="22" s="1"/>
  <c r="F49" i="22"/>
  <c r="M49" i="22" s="1"/>
  <c r="G49" i="22"/>
  <c r="N49" i="22" s="1"/>
  <c r="H41" i="22"/>
  <c r="O41" i="22" s="1"/>
  <c r="C41" i="22"/>
  <c r="J41" i="22" s="1"/>
  <c r="D41" i="22"/>
  <c r="K41" i="22" s="1"/>
  <c r="E41" i="22"/>
  <c r="L41" i="22" s="1"/>
  <c r="F41" i="22"/>
  <c r="M41" i="22" s="1"/>
  <c r="G41" i="22"/>
  <c r="N41" i="22" s="1"/>
  <c r="H33" i="22"/>
  <c r="O33" i="22" s="1"/>
  <c r="C33" i="22"/>
  <c r="J33" i="22" s="1"/>
  <c r="D33" i="22"/>
  <c r="K33" i="22" s="1"/>
  <c r="E33" i="22"/>
  <c r="L33" i="22" s="1"/>
  <c r="F33" i="22"/>
  <c r="M33" i="22" s="1"/>
  <c r="G33" i="22"/>
  <c r="N33" i="22" s="1"/>
  <c r="H25" i="22"/>
  <c r="O25" i="22" s="1"/>
  <c r="C25" i="22"/>
  <c r="J25" i="22" s="1"/>
  <c r="D25" i="22"/>
  <c r="K25" i="22" s="1"/>
  <c r="E25" i="22"/>
  <c r="L25" i="22" s="1"/>
  <c r="F25" i="22"/>
  <c r="M25" i="22" s="1"/>
  <c r="G25" i="22"/>
  <c r="N25" i="22" s="1"/>
  <c r="H17" i="22"/>
  <c r="O17" i="22" s="1"/>
  <c r="C17" i="22"/>
  <c r="J17" i="22" s="1"/>
  <c r="D17" i="22"/>
  <c r="K17" i="22" s="1"/>
  <c r="E17" i="22"/>
  <c r="L17" i="22" s="1"/>
  <c r="F17" i="22"/>
  <c r="M17" i="22" s="1"/>
  <c r="G17" i="22"/>
  <c r="N17" i="22" s="1"/>
  <c r="H9" i="22"/>
  <c r="O9" i="22" s="1"/>
  <c r="C9" i="22"/>
  <c r="J9" i="22" s="1"/>
  <c r="D9" i="22"/>
  <c r="K9" i="22" s="1"/>
  <c r="E9" i="22"/>
  <c r="L9" i="22" s="1"/>
  <c r="F9" i="22"/>
  <c r="M9" i="22" s="1"/>
  <c r="G9" i="22"/>
  <c r="N9" i="22" s="1"/>
  <c r="D2" i="22"/>
  <c r="K2" i="22" s="1"/>
  <c r="E116" i="22"/>
  <c r="L116" i="22" s="1"/>
  <c r="C115" i="22"/>
  <c r="J115" i="22" s="1"/>
  <c r="G113" i="22"/>
  <c r="N113" i="22" s="1"/>
  <c r="E112" i="22"/>
  <c r="L112" i="22" s="1"/>
  <c r="C111" i="22"/>
  <c r="J111" i="22" s="1"/>
  <c r="G109" i="22"/>
  <c r="N109" i="22" s="1"/>
  <c r="E108" i="22"/>
  <c r="L108" i="22" s="1"/>
  <c r="C107" i="22"/>
  <c r="J107" i="22" s="1"/>
  <c r="G105" i="22"/>
  <c r="N105" i="22" s="1"/>
  <c r="E104" i="22"/>
  <c r="L104" i="22" s="1"/>
  <c r="C103" i="22"/>
  <c r="J103" i="22" s="1"/>
  <c r="G101" i="22"/>
  <c r="N101" i="22" s="1"/>
  <c r="E100" i="22"/>
  <c r="L100" i="22" s="1"/>
  <c r="C99" i="22"/>
  <c r="J99" i="22" s="1"/>
  <c r="G97" i="22"/>
  <c r="N97" i="22" s="1"/>
  <c r="E96" i="22"/>
  <c r="L96" i="22" s="1"/>
  <c r="C95" i="22"/>
  <c r="J95" i="22" s="1"/>
  <c r="G93" i="22"/>
  <c r="N93" i="22" s="1"/>
  <c r="E92" i="22"/>
  <c r="L92" i="22" s="1"/>
  <c r="C91" i="22"/>
  <c r="J91" i="22" s="1"/>
  <c r="G89" i="22"/>
  <c r="N89" i="22" s="1"/>
  <c r="E88" i="22"/>
  <c r="L88" i="22" s="1"/>
  <c r="C87" i="22"/>
  <c r="J87" i="22" s="1"/>
  <c r="F85" i="22"/>
  <c r="M85" i="22" s="1"/>
  <c r="C84" i="22"/>
  <c r="J84" i="22" s="1"/>
  <c r="F82" i="22"/>
  <c r="M82" i="22" s="1"/>
  <c r="C81" i="22"/>
  <c r="J81" i="22" s="1"/>
  <c r="F79" i="22"/>
  <c r="M79" i="22" s="1"/>
  <c r="C78" i="22"/>
  <c r="J78" i="22" s="1"/>
  <c r="E76" i="22"/>
  <c r="L76" i="22" s="1"/>
  <c r="G74" i="22"/>
  <c r="N74" i="22" s="1"/>
  <c r="C73" i="22"/>
  <c r="J73" i="22" s="1"/>
  <c r="E69" i="22"/>
  <c r="L69" i="22" s="1"/>
  <c r="G67" i="22"/>
  <c r="N67" i="22" s="1"/>
  <c r="D65" i="22"/>
  <c r="K65" i="22" s="1"/>
  <c r="F72" i="22"/>
  <c r="M72" i="22" s="1"/>
  <c r="G72" i="22"/>
  <c r="N72" i="22" s="1"/>
  <c r="F64" i="22"/>
  <c r="M64" i="22" s="1"/>
  <c r="G64" i="22"/>
  <c r="N64" i="22" s="1"/>
  <c r="H64" i="22"/>
  <c r="O64" i="22" s="1"/>
  <c r="C64" i="22"/>
  <c r="J64" i="22" s="1"/>
  <c r="F56" i="22"/>
  <c r="M56" i="22" s="1"/>
  <c r="G56" i="22"/>
  <c r="N56" i="22" s="1"/>
  <c r="H56" i="22"/>
  <c r="O56" i="22" s="1"/>
  <c r="C56" i="22"/>
  <c r="J56" i="22" s="1"/>
  <c r="D56" i="22"/>
  <c r="K56" i="22" s="1"/>
  <c r="E56" i="22"/>
  <c r="L56" i="22" s="1"/>
  <c r="F48" i="22"/>
  <c r="M48" i="22" s="1"/>
  <c r="G48" i="22"/>
  <c r="N48" i="22" s="1"/>
  <c r="H48" i="22"/>
  <c r="O48" i="22" s="1"/>
  <c r="C48" i="22"/>
  <c r="J48" i="22" s="1"/>
  <c r="D48" i="22"/>
  <c r="K48" i="22" s="1"/>
  <c r="E48" i="22"/>
  <c r="L48" i="22" s="1"/>
  <c r="F40" i="22"/>
  <c r="M40" i="22" s="1"/>
  <c r="G40" i="22"/>
  <c r="N40" i="22" s="1"/>
  <c r="H40" i="22"/>
  <c r="O40" i="22" s="1"/>
  <c r="C40" i="22"/>
  <c r="J40" i="22" s="1"/>
  <c r="D40" i="22"/>
  <c r="K40" i="22" s="1"/>
  <c r="E40" i="22"/>
  <c r="L40" i="22" s="1"/>
  <c r="F32" i="22"/>
  <c r="M32" i="22" s="1"/>
  <c r="G32" i="22"/>
  <c r="N32" i="22" s="1"/>
  <c r="H32" i="22"/>
  <c r="O32" i="22" s="1"/>
  <c r="C32" i="22"/>
  <c r="J32" i="22" s="1"/>
  <c r="D32" i="22"/>
  <c r="K32" i="22" s="1"/>
  <c r="E32" i="22"/>
  <c r="L32" i="22" s="1"/>
  <c r="F24" i="22"/>
  <c r="M24" i="22" s="1"/>
  <c r="G24" i="22"/>
  <c r="N24" i="22" s="1"/>
  <c r="H24" i="22"/>
  <c r="O24" i="22" s="1"/>
  <c r="C24" i="22"/>
  <c r="J24" i="22" s="1"/>
  <c r="D24" i="22"/>
  <c r="K24" i="22" s="1"/>
  <c r="E24" i="22"/>
  <c r="L24" i="22" s="1"/>
  <c r="F16" i="22"/>
  <c r="M16" i="22" s="1"/>
  <c r="G16" i="22"/>
  <c r="N16" i="22" s="1"/>
  <c r="H16" i="22"/>
  <c r="O16" i="22" s="1"/>
  <c r="C16" i="22"/>
  <c r="J16" i="22" s="1"/>
  <c r="D16" i="22"/>
  <c r="K16" i="22" s="1"/>
  <c r="E16" i="22"/>
  <c r="L16" i="22" s="1"/>
  <c r="F8" i="22"/>
  <c r="M8" i="22" s="1"/>
  <c r="G8" i="22"/>
  <c r="N8" i="22" s="1"/>
  <c r="H8" i="22"/>
  <c r="O8" i="22" s="1"/>
  <c r="C8" i="22"/>
  <c r="J8" i="22" s="1"/>
  <c r="D8" i="22"/>
  <c r="K8" i="22" s="1"/>
  <c r="E8" i="22"/>
  <c r="L8" i="22" s="1"/>
  <c r="E2" i="22"/>
  <c r="L2" i="22" s="1"/>
  <c r="D116" i="22"/>
  <c r="K116" i="22" s="1"/>
  <c r="H114" i="22"/>
  <c r="O114" i="22" s="1"/>
  <c r="F113" i="22"/>
  <c r="M113" i="22" s="1"/>
  <c r="D112" i="22"/>
  <c r="K112" i="22" s="1"/>
  <c r="H110" i="22"/>
  <c r="O110" i="22" s="1"/>
  <c r="F109" i="22"/>
  <c r="M109" i="22" s="1"/>
  <c r="D108" i="22"/>
  <c r="K108" i="22" s="1"/>
  <c r="H106" i="22"/>
  <c r="O106" i="22" s="1"/>
  <c r="F105" i="22"/>
  <c r="M105" i="22" s="1"/>
  <c r="D104" i="22"/>
  <c r="K104" i="22" s="1"/>
  <c r="H102" i="22"/>
  <c r="O102" i="22" s="1"/>
  <c r="F101" i="22"/>
  <c r="M101" i="22" s="1"/>
  <c r="D100" i="22"/>
  <c r="K100" i="22" s="1"/>
  <c r="H98" i="22"/>
  <c r="O98" i="22" s="1"/>
  <c r="F97" i="22"/>
  <c r="M97" i="22" s="1"/>
  <c r="D96" i="22"/>
  <c r="K96" i="22" s="1"/>
  <c r="H94" i="22"/>
  <c r="O94" i="22" s="1"/>
  <c r="F93" i="22"/>
  <c r="M93" i="22" s="1"/>
  <c r="D92" i="22"/>
  <c r="K92" i="22" s="1"/>
  <c r="H90" i="22"/>
  <c r="O90" i="22" s="1"/>
  <c r="F89" i="22"/>
  <c r="M89" i="22" s="1"/>
  <c r="D88" i="22"/>
  <c r="K88" i="22" s="1"/>
  <c r="H86" i="22"/>
  <c r="O86" i="22" s="1"/>
  <c r="E85" i="22"/>
  <c r="L85" i="22" s="1"/>
  <c r="H83" i="22"/>
  <c r="O83" i="22" s="1"/>
  <c r="E82" i="22"/>
  <c r="L82" i="22" s="1"/>
  <c r="H80" i="22"/>
  <c r="O80" i="22" s="1"/>
  <c r="E79" i="22"/>
  <c r="L79" i="22" s="1"/>
  <c r="G77" i="22"/>
  <c r="N77" i="22" s="1"/>
  <c r="D76" i="22"/>
  <c r="K76" i="22" s="1"/>
  <c r="F74" i="22"/>
  <c r="M74" i="22" s="1"/>
  <c r="H72" i="22"/>
  <c r="O72" i="22" s="1"/>
  <c r="H70" i="22"/>
  <c r="O70" i="22" s="1"/>
  <c r="D69" i="22"/>
  <c r="K69" i="22" s="1"/>
  <c r="F67" i="22"/>
  <c r="M67" i="22" s="1"/>
  <c r="E64" i="22"/>
  <c r="L64" i="22" s="1"/>
  <c r="D71" i="22"/>
  <c r="K71" i="22" s="1"/>
  <c r="E71" i="22"/>
  <c r="L71" i="22" s="1"/>
  <c r="D63" i="22"/>
  <c r="K63" i="22" s="1"/>
  <c r="E63" i="22"/>
  <c r="L63" i="22" s="1"/>
  <c r="F63" i="22"/>
  <c r="M63" i="22" s="1"/>
  <c r="G63" i="22"/>
  <c r="N63" i="22" s="1"/>
  <c r="D55" i="22"/>
  <c r="K55" i="22" s="1"/>
  <c r="E55" i="22"/>
  <c r="L55" i="22" s="1"/>
  <c r="F55" i="22"/>
  <c r="M55" i="22" s="1"/>
  <c r="G55" i="22"/>
  <c r="N55" i="22" s="1"/>
  <c r="H55" i="22"/>
  <c r="O55" i="22" s="1"/>
  <c r="C55" i="22"/>
  <c r="J55" i="22" s="1"/>
  <c r="D47" i="22"/>
  <c r="K47" i="22" s="1"/>
  <c r="E47" i="22"/>
  <c r="L47" i="22" s="1"/>
  <c r="F47" i="22"/>
  <c r="M47" i="22" s="1"/>
  <c r="G47" i="22"/>
  <c r="N47" i="22" s="1"/>
  <c r="H47" i="22"/>
  <c r="O47" i="22" s="1"/>
  <c r="C47" i="22"/>
  <c r="J47" i="22" s="1"/>
  <c r="D39" i="22"/>
  <c r="K39" i="22" s="1"/>
  <c r="E39" i="22"/>
  <c r="L39" i="22" s="1"/>
  <c r="F39" i="22"/>
  <c r="M39" i="22" s="1"/>
  <c r="G39" i="22"/>
  <c r="N39" i="22" s="1"/>
  <c r="H39" i="22"/>
  <c r="O39" i="22" s="1"/>
  <c r="C39" i="22"/>
  <c r="J39" i="22" s="1"/>
  <c r="D31" i="22"/>
  <c r="K31" i="22" s="1"/>
  <c r="E31" i="22"/>
  <c r="L31" i="22" s="1"/>
  <c r="F31" i="22"/>
  <c r="M31" i="22" s="1"/>
  <c r="G31" i="22"/>
  <c r="N31" i="22" s="1"/>
  <c r="H31" i="22"/>
  <c r="O31" i="22" s="1"/>
  <c r="C31" i="22"/>
  <c r="J31" i="22" s="1"/>
  <c r="D23" i="22"/>
  <c r="K23" i="22" s="1"/>
  <c r="E23" i="22"/>
  <c r="L23" i="22" s="1"/>
  <c r="F23" i="22"/>
  <c r="M23" i="22" s="1"/>
  <c r="G23" i="22"/>
  <c r="N23" i="22" s="1"/>
  <c r="H23" i="22"/>
  <c r="O23" i="22" s="1"/>
  <c r="C23" i="22"/>
  <c r="J23" i="22" s="1"/>
  <c r="D15" i="22"/>
  <c r="K15" i="22" s="1"/>
  <c r="E15" i="22"/>
  <c r="L15" i="22" s="1"/>
  <c r="F15" i="22"/>
  <c r="M15" i="22" s="1"/>
  <c r="G15" i="22"/>
  <c r="N15" i="22" s="1"/>
  <c r="H15" i="22"/>
  <c r="O15" i="22" s="1"/>
  <c r="C15" i="22"/>
  <c r="J15" i="22" s="1"/>
  <c r="D7" i="22"/>
  <c r="K7" i="22" s="1"/>
  <c r="E7" i="22"/>
  <c r="L7" i="22" s="1"/>
  <c r="F7" i="22"/>
  <c r="M7" i="22" s="1"/>
  <c r="G7" i="22"/>
  <c r="N7" i="22" s="1"/>
  <c r="H7" i="22"/>
  <c r="O7" i="22" s="1"/>
  <c r="C7" i="22"/>
  <c r="J7" i="22" s="1"/>
  <c r="F2" i="22"/>
  <c r="M2" i="22" s="1"/>
  <c r="C116" i="22"/>
  <c r="J116" i="22" s="1"/>
  <c r="G114" i="22"/>
  <c r="N114" i="22" s="1"/>
  <c r="E113" i="22"/>
  <c r="L113" i="22" s="1"/>
  <c r="C112" i="22"/>
  <c r="J112" i="22" s="1"/>
  <c r="G110" i="22"/>
  <c r="N110" i="22" s="1"/>
  <c r="E109" i="22"/>
  <c r="L109" i="22" s="1"/>
  <c r="C108" i="22"/>
  <c r="J108" i="22" s="1"/>
  <c r="G106" i="22"/>
  <c r="N106" i="22" s="1"/>
  <c r="E105" i="22"/>
  <c r="L105" i="22" s="1"/>
  <c r="C104" i="22"/>
  <c r="J104" i="22" s="1"/>
  <c r="G102" i="22"/>
  <c r="N102" i="22" s="1"/>
  <c r="E101" i="22"/>
  <c r="L101" i="22" s="1"/>
  <c r="C100" i="22"/>
  <c r="J100" i="22" s="1"/>
  <c r="G98" i="22"/>
  <c r="N98" i="22" s="1"/>
  <c r="E97" i="22"/>
  <c r="L97" i="22" s="1"/>
  <c r="C96" i="22"/>
  <c r="J96" i="22" s="1"/>
  <c r="G94" i="22"/>
  <c r="N94" i="22" s="1"/>
  <c r="E93" i="22"/>
  <c r="L93" i="22" s="1"/>
  <c r="C92" i="22"/>
  <c r="J92" i="22" s="1"/>
  <c r="G90" i="22"/>
  <c r="N90" i="22" s="1"/>
  <c r="E89" i="22"/>
  <c r="L89" i="22" s="1"/>
  <c r="C88" i="22"/>
  <c r="J88" i="22" s="1"/>
  <c r="G86" i="22"/>
  <c r="N86" i="22" s="1"/>
  <c r="D85" i="22"/>
  <c r="K85" i="22" s="1"/>
  <c r="G83" i="22"/>
  <c r="N83" i="22" s="1"/>
  <c r="D82" i="22"/>
  <c r="K82" i="22" s="1"/>
  <c r="G80" i="22"/>
  <c r="N80" i="22" s="1"/>
  <c r="C79" i="22"/>
  <c r="J79" i="22" s="1"/>
  <c r="F77" i="22"/>
  <c r="M77" i="22" s="1"/>
  <c r="C76" i="22"/>
  <c r="J76" i="22" s="1"/>
  <c r="E74" i="22"/>
  <c r="L74" i="22" s="1"/>
  <c r="E72" i="22"/>
  <c r="L72" i="22" s="1"/>
  <c r="G70" i="22"/>
  <c r="N70" i="22" s="1"/>
  <c r="C69" i="22"/>
  <c r="J69" i="22" s="1"/>
  <c r="D64" i="22"/>
  <c r="K64" i="22" s="1"/>
  <c r="C62" i="22"/>
  <c r="J62" i="22" s="1"/>
  <c r="D62" i="22"/>
  <c r="K62" i="22" s="1"/>
  <c r="E62" i="22"/>
  <c r="L62" i="22" s="1"/>
  <c r="F62" i="22"/>
  <c r="M62" i="22" s="1"/>
  <c r="G62" i="22"/>
  <c r="N62" i="22" s="1"/>
  <c r="H62" i="22"/>
  <c r="O62" i="22" s="1"/>
  <c r="C54" i="22"/>
  <c r="J54" i="22" s="1"/>
  <c r="D54" i="22"/>
  <c r="K54" i="22" s="1"/>
  <c r="E54" i="22"/>
  <c r="L54" i="22" s="1"/>
  <c r="F54" i="22"/>
  <c r="M54" i="22" s="1"/>
  <c r="G54" i="22"/>
  <c r="N54" i="22" s="1"/>
  <c r="H54" i="22"/>
  <c r="O54" i="22" s="1"/>
  <c r="C46" i="22"/>
  <c r="J46" i="22" s="1"/>
  <c r="D46" i="22"/>
  <c r="K46" i="22" s="1"/>
  <c r="E46" i="22"/>
  <c r="L46" i="22" s="1"/>
  <c r="F46" i="22"/>
  <c r="M46" i="22" s="1"/>
  <c r="G46" i="22"/>
  <c r="N46" i="22" s="1"/>
  <c r="H46" i="22"/>
  <c r="O46" i="22" s="1"/>
  <c r="C38" i="22"/>
  <c r="J38" i="22" s="1"/>
  <c r="D38" i="22"/>
  <c r="K38" i="22" s="1"/>
  <c r="E38" i="22"/>
  <c r="L38" i="22" s="1"/>
  <c r="F38" i="22"/>
  <c r="M38" i="22" s="1"/>
  <c r="G38" i="22"/>
  <c r="N38" i="22" s="1"/>
  <c r="H38" i="22"/>
  <c r="O38" i="22" s="1"/>
  <c r="C30" i="22"/>
  <c r="J30" i="22" s="1"/>
  <c r="D30" i="22"/>
  <c r="K30" i="22" s="1"/>
  <c r="E30" i="22"/>
  <c r="L30" i="22" s="1"/>
  <c r="F30" i="22"/>
  <c r="M30" i="22" s="1"/>
  <c r="G30" i="22"/>
  <c r="N30" i="22" s="1"/>
  <c r="H30" i="22"/>
  <c r="O30" i="22" s="1"/>
  <c r="C22" i="22"/>
  <c r="J22" i="22" s="1"/>
  <c r="D22" i="22"/>
  <c r="K22" i="22" s="1"/>
  <c r="E22" i="22"/>
  <c r="L22" i="22" s="1"/>
  <c r="F22" i="22"/>
  <c r="M22" i="22" s="1"/>
  <c r="G22" i="22"/>
  <c r="N22" i="22" s="1"/>
  <c r="H22" i="22"/>
  <c r="O22" i="22" s="1"/>
  <c r="C14" i="22"/>
  <c r="J14" i="22" s="1"/>
  <c r="D14" i="22"/>
  <c r="K14" i="22" s="1"/>
  <c r="E14" i="22"/>
  <c r="L14" i="22" s="1"/>
  <c r="F14" i="22"/>
  <c r="M14" i="22" s="1"/>
  <c r="G14" i="22"/>
  <c r="N14" i="22" s="1"/>
  <c r="H14" i="22"/>
  <c r="O14" i="22" s="1"/>
  <c r="C6" i="22"/>
  <c r="J6" i="22" s="1"/>
  <c r="D6" i="22"/>
  <c r="K6" i="22" s="1"/>
  <c r="E6" i="22"/>
  <c r="L6" i="22" s="1"/>
  <c r="F6" i="22"/>
  <c r="M6" i="22" s="1"/>
  <c r="G6" i="22"/>
  <c r="N6" i="22" s="1"/>
  <c r="H6" i="22"/>
  <c r="O6" i="22" s="1"/>
  <c r="G2" i="22"/>
  <c r="N2" i="22" s="1"/>
  <c r="H115" i="22"/>
  <c r="O115" i="22" s="1"/>
  <c r="F114" i="22"/>
  <c r="M114" i="22" s="1"/>
  <c r="D113" i="22"/>
  <c r="K113" i="22" s="1"/>
  <c r="H111" i="22"/>
  <c r="O111" i="22" s="1"/>
  <c r="F110" i="22"/>
  <c r="M110" i="22" s="1"/>
  <c r="D109" i="22"/>
  <c r="K109" i="22" s="1"/>
  <c r="H107" i="22"/>
  <c r="O107" i="22" s="1"/>
  <c r="F106" i="22"/>
  <c r="M106" i="22" s="1"/>
  <c r="D105" i="22"/>
  <c r="K105" i="22" s="1"/>
  <c r="H103" i="22"/>
  <c r="O103" i="22" s="1"/>
  <c r="F102" i="22"/>
  <c r="M102" i="22" s="1"/>
  <c r="D101" i="22"/>
  <c r="K101" i="22" s="1"/>
  <c r="H99" i="22"/>
  <c r="O99" i="22" s="1"/>
  <c r="F98" i="22"/>
  <c r="M98" i="22" s="1"/>
  <c r="D97" i="22"/>
  <c r="K97" i="22" s="1"/>
  <c r="H95" i="22"/>
  <c r="O95" i="22" s="1"/>
  <c r="F94" i="22"/>
  <c r="M94" i="22" s="1"/>
  <c r="D93" i="22"/>
  <c r="K93" i="22" s="1"/>
  <c r="H91" i="22"/>
  <c r="O91" i="22" s="1"/>
  <c r="F90" i="22"/>
  <c r="M90" i="22" s="1"/>
  <c r="D89" i="22"/>
  <c r="K89" i="22" s="1"/>
  <c r="H87" i="22"/>
  <c r="O87" i="22" s="1"/>
  <c r="F86" i="22"/>
  <c r="M86" i="22" s="1"/>
  <c r="C85" i="22"/>
  <c r="J85" i="22" s="1"/>
  <c r="F83" i="22"/>
  <c r="M83" i="22" s="1"/>
  <c r="C82" i="22"/>
  <c r="E80" i="22"/>
  <c r="L80" i="22" s="1"/>
  <c r="H78" i="22"/>
  <c r="O78" i="22" s="1"/>
  <c r="E77" i="22"/>
  <c r="L77" i="22" s="1"/>
  <c r="H75" i="22"/>
  <c r="O75" i="22" s="1"/>
  <c r="D74" i="22"/>
  <c r="K74" i="22" s="1"/>
  <c r="D72" i="22"/>
  <c r="K72" i="22" s="1"/>
  <c r="F70" i="22"/>
  <c r="M70" i="22" s="1"/>
  <c r="H68" i="22"/>
  <c r="O68" i="22" s="1"/>
  <c r="H66" i="22"/>
  <c r="O66" i="22" s="1"/>
  <c r="H63" i="22"/>
  <c r="O63" i="22" s="1"/>
  <c r="H61" i="22"/>
  <c r="O61" i="22" s="1"/>
  <c r="C61" i="22"/>
  <c r="J61" i="22" s="1"/>
  <c r="D61" i="22"/>
  <c r="K61" i="22" s="1"/>
  <c r="E61" i="22"/>
  <c r="L61" i="22" s="1"/>
  <c r="F61" i="22"/>
  <c r="M61" i="22" s="1"/>
  <c r="G61" i="22"/>
  <c r="N61" i="22" s="1"/>
  <c r="H53" i="22"/>
  <c r="O53" i="22" s="1"/>
  <c r="C53" i="22"/>
  <c r="J53" i="22" s="1"/>
  <c r="D53" i="22"/>
  <c r="K53" i="22" s="1"/>
  <c r="E53" i="22"/>
  <c r="L53" i="22" s="1"/>
  <c r="F53" i="22"/>
  <c r="M53" i="22" s="1"/>
  <c r="G53" i="22"/>
  <c r="N53" i="22" s="1"/>
  <c r="H45" i="22"/>
  <c r="O45" i="22" s="1"/>
  <c r="C45" i="22"/>
  <c r="J45" i="22" s="1"/>
  <c r="D45" i="22"/>
  <c r="K45" i="22" s="1"/>
  <c r="E45" i="22"/>
  <c r="L45" i="22" s="1"/>
  <c r="F45" i="22"/>
  <c r="M45" i="22" s="1"/>
  <c r="G45" i="22"/>
  <c r="N45" i="22" s="1"/>
  <c r="H37" i="22"/>
  <c r="O37" i="22" s="1"/>
  <c r="C37" i="22"/>
  <c r="J37" i="22" s="1"/>
  <c r="D37" i="22"/>
  <c r="K37" i="22" s="1"/>
  <c r="E37" i="22"/>
  <c r="L37" i="22" s="1"/>
  <c r="F37" i="22"/>
  <c r="M37" i="22" s="1"/>
  <c r="G37" i="22"/>
  <c r="N37" i="22" s="1"/>
  <c r="H29" i="22"/>
  <c r="O29" i="22" s="1"/>
  <c r="C29" i="22"/>
  <c r="J29" i="22" s="1"/>
  <c r="D29" i="22"/>
  <c r="K29" i="22" s="1"/>
  <c r="E29" i="22"/>
  <c r="L29" i="22" s="1"/>
  <c r="F29" i="22"/>
  <c r="M29" i="22" s="1"/>
  <c r="G29" i="22"/>
  <c r="N29" i="22" s="1"/>
  <c r="H21" i="22"/>
  <c r="O21" i="22" s="1"/>
  <c r="C21" i="22"/>
  <c r="J21" i="22" s="1"/>
  <c r="D21" i="22"/>
  <c r="K21" i="22" s="1"/>
  <c r="E21" i="22"/>
  <c r="L21" i="22" s="1"/>
  <c r="F21" i="22"/>
  <c r="M21" i="22" s="1"/>
  <c r="G21" i="22"/>
  <c r="N21" i="22" s="1"/>
  <c r="H13" i="22"/>
  <c r="O13" i="22" s="1"/>
  <c r="C13" i="22"/>
  <c r="J13" i="22" s="1"/>
  <c r="D13" i="22"/>
  <c r="K13" i="22" s="1"/>
  <c r="E13" i="22"/>
  <c r="L13" i="22" s="1"/>
  <c r="F13" i="22"/>
  <c r="M13" i="22" s="1"/>
  <c r="G13" i="22"/>
  <c r="N13" i="22" s="1"/>
  <c r="H5" i="22"/>
  <c r="O5" i="22" s="1"/>
  <c r="C5" i="22"/>
  <c r="J5" i="22" s="1"/>
  <c r="D5" i="22"/>
  <c r="K5" i="22" s="1"/>
  <c r="E5" i="22"/>
  <c r="L5" i="22" s="1"/>
  <c r="F5" i="22"/>
  <c r="M5" i="22" s="1"/>
  <c r="G5" i="22"/>
  <c r="N5" i="22" s="1"/>
  <c r="G115" i="22"/>
  <c r="N115" i="22" s="1"/>
  <c r="E114" i="22"/>
  <c r="L114" i="22" s="1"/>
  <c r="G111" i="22"/>
  <c r="N111" i="22" s="1"/>
  <c r="E110" i="22"/>
  <c r="L110" i="22" s="1"/>
  <c r="G107" i="22"/>
  <c r="N107" i="22" s="1"/>
  <c r="E106" i="22"/>
  <c r="L106" i="22" s="1"/>
  <c r="G103" i="22"/>
  <c r="N103" i="22" s="1"/>
  <c r="E102" i="22"/>
  <c r="L102" i="22" s="1"/>
  <c r="G99" i="22"/>
  <c r="N99" i="22" s="1"/>
  <c r="E98" i="22"/>
  <c r="L98" i="22" s="1"/>
  <c r="G95" i="22"/>
  <c r="N95" i="22" s="1"/>
  <c r="E94" i="22"/>
  <c r="L94" i="22" s="1"/>
  <c r="G91" i="22"/>
  <c r="N91" i="22" s="1"/>
  <c r="E90" i="22"/>
  <c r="L90" i="22" s="1"/>
  <c r="G87" i="22"/>
  <c r="N87" i="22" s="1"/>
  <c r="E86" i="22"/>
  <c r="L86" i="22" s="1"/>
  <c r="H84" i="22"/>
  <c r="O84" i="22" s="1"/>
  <c r="E83" i="22"/>
  <c r="L83" i="22" s="1"/>
  <c r="G81" i="22"/>
  <c r="N81" i="22" s="1"/>
  <c r="D80" i="22"/>
  <c r="K80" i="22" s="1"/>
  <c r="G78" i="22"/>
  <c r="N78" i="22" s="1"/>
  <c r="D77" i="22"/>
  <c r="K77" i="22" s="1"/>
  <c r="G75" i="22"/>
  <c r="N75" i="22" s="1"/>
  <c r="G73" i="22"/>
  <c r="N73" i="22" s="1"/>
  <c r="C72" i="22"/>
  <c r="J72" i="22" s="1"/>
  <c r="E70" i="22"/>
  <c r="L70" i="22" s="1"/>
  <c r="G66" i="22"/>
  <c r="N66" i="22" s="1"/>
  <c r="C63" i="22"/>
  <c r="J63" i="22" s="1"/>
  <c r="F68" i="22"/>
  <c r="M68" i="22" s="1"/>
  <c r="G68" i="22"/>
  <c r="N68" i="22" s="1"/>
  <c r="F60" i="22"/>
  <c r="M60" i="22" s="1"/>
  <c r="G60" i="22"/>
  <c r="N60" i="22" s="1"/>
  <c r="H60" i="22"/>
  <c r="O60" i="22" s="1"/>
  <c r="C60" i="22"/>
  <c r="J60" i="22" s="1"/>
  <c r="D60" i="22"/>
  <c r="K60" i="22" s="1"/>
  <c r="E60" i="22"/>
  <c r="L60" i="22" s="1"/>
  <c r="F52" i="22"/>
  <c r="M52" i="22" s="1"/>
  <c r="G52" i="22"/>
  <c r="N52" i="22" s="1"/>
  <c r="H52" i="22"/>
  <c r="O52" i="22" s="1"/>
  <c r="C52" i="22"/>
  <c r="J52" i="22" s="1"/>
  <c r="D52" i="22"/>
  <c r="K52" i="22" s="1"/>
  <c r="E52" i="22"/>
  <c r="L52" i="22" s="1"/>
  <c r="F44" i="22"/>
  <c r="M44" i="22" s="1"/>
  <c r="G44" i="22"/>
  <c r="N44" i="22" s="1"/>
  <c r="H44" i="22"/>
  <c r="O44" i="22" s="1"/>
  <c r="C44" i="22"/>
  <c r="J44" i="22" s="1"/>
  <c r="D44" i="22"/>
  <c r="K44" i="22" s="1"/>
  <c r="E44" i="22"/>
  <c r="L44" i="22" s="1"/>
  <c r="F36" i="22"/>
  <c r="M36" i="22" s="1"/>
  <c r="G36" i="22"/>
  <c r="N36" i="22" s="1"/>
  <c r="H36" i="22"/>
  <c r="O36" i="22" s="1"/>
  <c r="C36" i="22"/>
  <c r="J36" i="22" s="1"/>
  <c r="D36" i="22"/>
  <c r="K36" i="22" s="1"/>
  <c r="E36" i="22"/>
  <c r="L36" i="22" s="1"/>
  <c r="F28" i="22"/>
  <c r="M28" i="22" s="1"/>
  <c r="G28" i="22"/>
  <c r="N28" i="22" s="1"/>
  <c r="H28" i="22"/>
  <c r="O28" i="22" s="1"/>
  <c r="C28" i="22"/>
  <c r="J28" i="22" s="1"/>
  <c r="D28" i="22"/>
  <c r="K28" i="22" s="1"/>
  <c r="E28" i="22"/>
  <c r="L28" i="22" s="1"/>
  <c r="F20" i="22"/>
  <c r="M20" i="22" s="1"/>
  <c r="G20" i="22"/>
  <c r="N20" i="22" s="1"/>
  <c r="H20" i="22"/>
  <c r="O20" i="22" s="1"/>
  <c r="C20" i="22"/>
  <c r="J20" i="22" s="1"/>
  <c r="D20" i="22"/>
  <c r="K20" i="22" s="1"/>
  <c r="E20" i="22"/>
  <c r="L20" i="22" s="1"/>
  <c r="F12" i="22"/>
  <c r="M12" i="22" s="1"/>
  <c r="G12" i="22"/>
  <c r="N12" i="22" s="1"/>
  <c r="H12" i="22"/>
  <c r="O12" i="22" s="1"/>
  <c r="C12" i="22"/>
  <c r="J12" i="22" s="1"/>
  <c r="D12" i="22"/>
  <c r="K12" i="22" s="1"/>
  <c r="E12" i="22"/>
  <c r="L12" i="22" s="1"/>
  <c r="F4" i="22"/>
  <c r="M4" i="22" s="1"/>
  <c r="G4" i="22"/>
  <c r="N4" i="22" s="1"/>
  <c r="H4" i="22"/>
  <c r="O4" i="22" s="1"/>
  <c r="C4" i="22"/>
  <c r="J4" i="22" s="1"/>
  <c r="D4" i="22"/>
  <c r="K4" i="22" s="1"/>
  <c r="E4" i="22"/>
  <c r="L4" i="22" s="1"/>
  <c r="H116" i="22"/>
  <c r="O116" i="22" s="1"/>
  <c r="F115" i="22"/>
  <c r="M115" i="22" s="1"/>
  <c r="D114" i="22"/>
  <c r="H112" i="22"/>
  <c r="O112" i="22" s="1"/>
  <c r="F111" i="22"/>
  <c r="M111" i="22" s="1"/>
  <c r="D110" i="22"/>
  <c r="K110" i="22" s="1"/>
  <c r="H108" i="22"/>
  <c r="O108" i="22" s="1"/>
  <c r="F107" i="22"/>
  <c r="M107" i="22" s="1"/>
  <c r="D106" i="22"/>
  <c r="K106" i="22" s="1"/>
  <c r="H104" i="22"/>
  <c r="O104" i="22" s="1"/>
  <c r="F103" i="22"/>
  <c r="M103" i="22" s="1"/>
  <c r="D102" i="22"/>
  <c r="K102" i="22" s="1"/>
  <c r="H100" i="22"/>
  <c r="O100" i="22" s="1"/>
  <c r="F99" i="22"/>
  <c r="M99" i="22" s="1"/>
  <c r="D98" i="22"/>
  <c r="H96" i="22"/>
  <c r="O96" i="22" s="1"/>
  <c r="F95" i="22"/>
  <c r="M95" i="22" s="1"/>
  <c r="D94" i="22"/>
  <c r="K94" i="22" s="1"/>
  <c r="H92" i="22"/>
  <c r="O92" i="22" s="1"/>
  <c r="F91" i="22"/>
  <c r="M91" i="22" s="1"/>
  <c r="D90" i="22"/>
  <c r="K90" i="22" s="1"/>
  <c r="H88" i="22"/>
  <c r="O88" i="22" s="1"/>
  <c r="F87" i="22"/>
  <c r="M87" i="22" s="1"/>
  <c r="D86" i="22"/>
  <c r="K86" i="22" s="1"/>
  <c r="G84" i="22"/>
  <c r="N84" i="22" s="1"/>
  <c r="C83" i="22"/>
  <c r="J83" i="22" s="1"/>
  <c r="F81" i="22"/>
  <c r="M81" i="22" s="1"/>
  <c r="C80" i="22"/>
  <c r="J80" i="22" s="1"/>
  <c r="F78" i="22"/>
  <c r="M78" i="22" s="1"/>
  <c r="C77" i="22"/>
  <c r="J77" i="22" s="1"/>
  <c r="F73" i="22"/>
  <c r="M73" i="22" s="1"/>
  <c r="H71" i="22"/>
  <c r="O71" i="22" s="1"/>
  <c r="D70" i="22"/>
  <c r="K70" i="22" s="1"/>
  <c r="D68" i="22"/>
  <c r="K68" i="22" s="1"/>
  <c r="F66" i="22"/>
  <c r="M66" i="22" s="1"/>
  <c r="D75" i="22"/>
  <c r="K75" i="22" s="1"/>
  <c r="E75" i="22"/>
  <c r="L75" i="22" s="1"/>
  <c r="D67" i="22"/>
  <c r="K67" i="22" s="1"/>
  <c r="E67" i="22"/>
  <c r="L67" i="22" s="1"/>
  <c r="D59" i="22"/>
  <c r="K59" i="22" s="1"/>
  <c r="E59" i="22"/>
  <c r="L59" i="22" s="1"/>
  <c r="F59" i="22"/>
  <c r="M59" i="22" s="1"/>
  <c r="G59" i="22"/>
  <c r="N59" i="22" s="1"/>
  <c r="H59" i="22"/>
  <c r="O59" i="22" s="1"/>
  <c r="C59" i="22"/>
  <c r="J59" i="22" s="1"/>
  <c r="D51" i="22"/>
  <c r="K51" i="22" s="1"/>
  <c r="E51" i="22"/>
  <c r="L51" i="22" s="1"/>
  <c r="F51" i="22"/>
  <c r="M51" i="22" s="1"/>
  <c r="G51" i="22"/>
  <c r="N51" i="22" s="1"/>
  <c r="H51" i="22"/>
  <c r="O51" i="22" s="1"/>
  <c r="C51" i="22"/>
  <c r="J51" i="22" s="1"/>
  <c r="D43" i="22"/>
  <c r="K43" i="22" s="1"/>
  <c r="E43" i="22"/>
  <c r="L43" i="22" s="1"/>
  <c r="F43" i="22"/>
  <c r="M43" i="22" s="1"/>
  <c r="G43" i="22"/>
  <c r="N43" i="22" s="1"/>
  <c r="H43" i="22"/>
  <c r="O43" i="22" s="1"/>
  <c r="C43" i="22"/>
  <c r="J43" i="22" s="1"/>
  <c r="D35" i="22"/>
  <c r="K35" i="22" s="1"/>
  <c r="E35" i="22"/>
  <c r="L35" i="22" s="1"/>
  <c r="F35" i="22"/>
  <c r="M35" i="22" s="1"/>
  <c r="G35" i="22"/>
  <c r="N35" i="22" s="1"/>
  <c r="H35" i="22"/>
  <c r="O35" i="22" s="1"/>
  <c r="C35" i="22"/>
  <c r="J35" i="22" s="1"/>
  <c r="D27" i="22"/>
  <c r="K27" i="22" s="1"/>
  <c r="E27" i="22"/>
  <c r="L27" i="22" s="1"/>
  <c r="F27" i="22"/>
  <c r="M27" i="22" s="1"/>
  <c r="G27" i="22"/>
  <c r="N27" i="22" s="1"/>
  <c r="H27" i="22"/>
  <c r="O27" i="22" s="1"/>
  <c r="C27" i="22"/>
  <c r="J27" i="22" s="1"/>
  <c r="D19" i="22"/>
  <c r="K19" i="22" s="1"/>
  <c r="E19" i="22"/>
  <c r="L19" i="22" s="1"/>
  <c r="F19" i="22"/>
  <c r="M19" i="22" s="1"/>
  <c r="G19" i="22"/>
  <c r="N19" i="22" s="1"/>
  <c r="H19" i="22"/>
  <c r="O19" i="22" s="1"/>
  <c r="C19" i="22"/>
  <c r="J19" i="22" s="1"/>
  <c r="D11" i="22"/>
  <c r="K11" i="22" s="1"/>
  <c r="E11" i="22"/>
  <c r="L11" i="22" s="1"/>
  <c r="F11" i="22"/>
  <c r="M11" i="22" s="1"/>
  <c r="G11" i="22"/>
  <c r="N11" i="22" s="1"/>
  <c r="H11" i="22"/>
  <c r="O11" i="22" s="1"/>
  <c r="C11" i="22"/>
  <c r="J11" i="22" s="1"/>
  <c r="D3" i="22"/>
  <c r="K3" i="22" s="1"/>
  <c r="E3" i="22"/>
  <c r="L3" i="22" s="1"/>
  <c r="F3" i="22"/>
  <c r="M3" i="22" s="1"/>
  <c r="G3" i="22"/>
  <c r="N3" i="22" s="1"/>
  <c r="H3" i="22"/>
  <c r="O3" i="22" s="1"/>
  <c r="C3" i="22"/>
  <c r="J3" i="22" s="1"/>
  <c r="E84" i="22"/>
  <c r="L84" i="22" s="1"/>
  <c r="E81" i="22"/>
  <c r="L81" i="22" s="1"/>
  <c r="H79" i="22"/>
  <c r="O79" i="22" s="1"/>
  <c r="H76" i="22"/>
  <c r="O76" i="22" s="1"/>
  <c r="C75" i="22"/>
  <c r="J75" i="22" s="1"/>
  <c r="E73" i="22"/>
  <c r="L73" i="22" s="1"/>
  <c r="G71" i="22"/>
  <c r="N71" i="22" s="1"/>
  <c r="G69" i="22"/>
  <c r="N69" i="22" s="1"/>
  <c r="C68" i="22"/>
  <c r="J68" i="22" s="1"/>
  <c r="G65" i="22"/>
  <c r="N65" i="22" s="1"/>
  <c r="AK84" i="22" l="1"/>
  <c r="AK76" i="22"/>
  <c r="AK77" i="22"/>
  <c r="AK59" i="22"/>
  <c r="AK68" i="22"/>
  <c r="AK50" i="22"/>
  <c r="AB82" i="22"/>
  <c r="AK64" i="22"/>
  <c r="AB85" i="22"/>
  <c r="AK69" i="22"/>
  <c r="AK60" i="22"/>
  <c r="AK53" i="22"/>
  <c r="AK47" i="22"/>
  <c r="AK52" i="22"/>
  <c r="AK61" i="22"/>
  <c r="AK70" i="22"/>
  <c r="AK62" i="22"/>
  <c r="AK56" i="22"/>
  <c r="AB77" i="22"/>
  <c r="AB73" i="22"/>
  <c r="AB75" i="22"/>
  <c r="AB78" i="22"/>
  <c r="AB81" i="22"/>
  <c r="AB83" i="22"/>
  <c r="AB79" i="22"/>
  <c r="AB74" i="22"/>
  <c r="AB76" i="22"/>
  <c r="AB80" i="22"/>
  <c r="AB84" i="22"/>
  <c r="AB53" i="22"/>
  <c r="AB8" i="22"/>
  <c r="AB3" i="22"/>
  <c r="AK4" i="22"/>
  <c r="AB70" i="22"/>
  <c r="AB7" i="22"/>
  <c r="AB71" i="22"/>
  <c r="AB72" i="22"/>
  <c r="AB10" i="22"/>
  <c r="AB51" i="22"/>
  <c r="AB52" i="22"/>
  <c r="AB37" i="22"/>
  <c r="AB40" i="22"/>
  <c r="AB25" i="22"/>
  <c r="AB42" i="22"/>
  <c r="AB35" i="22"/>
  <c r="AB55" i="22"/>
  <c r="AB60" i="22"/>
  <c r="AB45" i="22"/>
  <c r="AB63" i="22"/>
  <c r="AB33" i="22"/>
  <c r="AB50" i="22"/>
  <c r="AB43" i="22"/>
  <c r="AB64" i="22"/>
  <c r="AB68" i="22"/>
  <c r="AB61" i="22"/>
  <c r="AB32" i="22"/>
  <c r="AB41" i="22"/>
  <c r="AB66" i="22"/>
  <c r="AB59" i="22"/>
  <c r="AB4" i="22"/>
  <c r="AB69" i="22"/>
  <c r="AB22" i="22"/>
  <c r="AB48" i="22"/>
  <c r="AB49" i="22"/>
  <c r="AB26" i="22"/>
  <c r="AB67" i="22"/>
  <c r="AB12" i="22"/>
  <c r="AB14" i="22"/>
  <c r="AB5" i="22"/>
  <c r="AB46" i="22"/>
  <c r="AB16" i="22"/>
  <c r="AB57" i="22"/>
  <c r="AB58" i="22"/>
  <c r="AB6" i="22"/>
  <c r="AB20" i="22"/>
  <c r="AB38" i="22"/>
  <c r="AB13" i="22"/>
  <c r="AB54" i="22"/>
  <c r="AB56" i="22"/>
  <c r="AB65" i="22"/>
  <c r="AB11" i="22"/>
  <c r="AB30" i="22"/>
  <c r="AB28" i="22"/>
  <c r="AB15" i="22"/>
  <c r="AB21" i="22"/>
  <c r="AB23" i="22"/>
  <c r="AB9" i="22"/>
  <c r="AB18" i="22"/>
  <c r="AB19" i="22"/>
  <c r="AB62" i="22"/>
  <c r="AB36" i="22"/>
  <c r="AB39" i="22"/>
  <c r="AB29" i="22"/>
  <c r="AB47" i="22"/>
  <c r="AB17" i="22"/>
  <c r="AB34" i="22"/>
  <c r="AB27" i="22"/>
  <c r="AB31" i="22"/>
  <c r="AB44" i="22"/>
  <c r="AB24" i="22"/>
  <c r="AK66" i="22"/>
  <c r="AK30" i="22"/>
  <c r="AK55" i="22"/>
  <c r="AK20" i="22"/>
  <c r="AK72" i="22"/>
  <c r="AK67" i="22"/>
  <c r="AK36" i="22"/>
  <c r="AK45" i="22"/>
  <c r="X117" i="22"/>
  <c r="X123" i="22"/>
  <c r="X119" i="22"/>
  <c r="X129" i="22"/>
  <c r="X120" i="22"/>
  <c r="X118" i="22"/>
  <c r="X121" i="22"/>
  <c r="X125" i="22"/>
  <c r="X127" i="22"/>
  <c r="X128" i="22"/>
  <c r="X126" i="22"/>
  <c r="X122" i="22"/>
  <c r="X124" i="22"/>
  <c r="X130" i="22"/>
  <c r="AK54" i="22"/>
  <c r="AK26" i="22"/>
  <c r="AK42" i="22"/>
  <c r="AK25" i="22"/>
  <c r="AK101" i="22"/>
  <c r="AK96" i="22"/>
  <c r="AK91" i="22"/>
  <c r="AK82" i="22"/>
  <c r="AK100" i="22"/>
  <c r="AK27" i="22"/>
  <c r="AK18" i="22"/>
  <c r="AK65" i="22"/>
  <c r="AK71" i="22"/>
  <c r="AK37" i="22"/>
  <c r="AJ89" i="22"/>
  <c r="AK38" i="22"/>
  <c r="AK63" i="22"/>
  <c r="AK57" i="22"/>
  <c r="AK28" i="22"/>
  <c r="AJ72" i="22"/>
  <c r="AK107" i="22"/>
  <c r="AK81" i="22"/>
  <c r="AK98" i="22"/>
  <c r="AK116" i="22"/>
  <c r="AK87" i="22"/>
  <c r="AK112" i="22"/>
  <c r="AJ74" i="22"/>
  <c r="AK23" i="22"/>
  <c r="AJ109" i="22"/>
  <c r="AJ103" i="22"/>
  <c r="AJ111" i="22"/>
  <c r="AJ110" i="22"/>
  <c r="AJ112" i="22"/>
  <c r="AJ105" i="22"/>
  <c r="AJ102" i="22"/>
  <c r="AJ104" i="22"/>
  <c r="AJ106" i="22"/>
  <c r="AJ115" i="22"/>
  <c r="AJ114" i="22"/>
  <c r="AJ108" i="22"/>
  <c r="AJ113" i="22"/>
  <c r="AJ107" i="22"/>
  <c r="AJ116" i="22"/>
  <c r="P2" i="22"/>
  <c r="Q2" i="22" s="1"/>
  <c r="P68" i="22"/>
  <c r="Q68" i="22" s="1"/>
  <c r="P72" i="22"/>
  <c r="Q72" i="22" s="1"/>
  <c r="P19" i="22"/>
  <c r="Q19" i="22" s="1"/>
  <c r="P116" i="22"/>
  <c r="Q116" i="22" s="1"/>
  <c r="P15" i="22"/>
  <c r="Q15" i="22" s="1"/>
  <c r="P47" i="22"/>
  <c r="Q47" i="22" s="1"/>
  <c r="P106" i="22"/>
  <c r="Q106" i="22" s="1"/>
  <c r="P51" i="22"/>
  <c r="Q51" i="22" s="1"/>
  <c r="AJ63" i="22"/>
  <c r="P12" i="22"/>
  <c r="Q12" i="22" s="1"/>
  <c r="P44" i="22"/>
  <c r="Q44" i="22" s="1"/>
  <c r="P32" i="22"/>
  <c r="Q32" i="22" s="1"/>
  <c r="P87" i="22"/>
  <c r="Q87" i="22" s="1"/>
  <c r="AJ59" i="22"/>
  <c r="AJ68" i="22"/>
  <c r="P88" i="22"/>
  <c r="Q88" i="22" s="1"/>
  <c r="P113" i="22"/>
  <c r="Q113" i="22" s="1"/>
  <c r="P27" i="22"/>
  <c r="Q27" i="22" s="1"/>
  <c r="P59" i="22"/>
  <c r="Q59" i="22" s="1"/>
  <c r="P92" i="22"/>
  <c r="Q92" i="22" s="1"/>
  <c r="P91" i="22"/>
  <c r="Q91" i="22" s="1"/>
  <c r="P65" i="22"/>
  <c r="Q65" i="22" s="1"/>
  <c r="P105" i="22"/>
  <c r="Q105" i="22" s="1"/>
  <c r="P115" i="22"/>
  <c r="Q115" i="22" s="1"/>
  <c r="P13" i="22"/>
  <c r="Q13" i="22" s="1"/>
  <c r="P6" i="22"/>
  <c r="Q6" i="22" s="1"/>
  <c r="P76" i="22"/>
  <c r="Q76" i="22" s="1"/>
  <c r="P57" i="22"/>
  <c r="Q57" i="22" s="1"/>
  <c r="P23" i="22"/>
  <c r="Q23" i="22" s="1"/>
  <c r="P55" i="22"/>
  <c r="Q55" i="22" s="1"/>
  <c r="P75" i="22"/>
  <c r="Q75" i="22" s="1"/>
  <c r="P80" i="22"/>
  <c r="Q80" i="22" s="1"/>
  <c r="P28" i="22"/>
  <c r="Q28" i="22" s="1"/>
  <c r="P60" i="22"/>
  <c r="Q60" i="22" s="1"/>
  <c r="P29" i="22"/>
  <c r="Q29" i="22" s="1"/>
  <c r="P61" i="22"/>
  <c r="Q61" i="22" s="1"/>
  <c r="P22" i="22"/>
  <c r="Q22" i="22" s="1"/>
  <c r="P54" i="22"/>
  <c r="Q54" i="22" s="1"/>
  <c r="P69" i="22"/>
  <c r="Q69" i="22" s="1"/>
  <c r="P104" i="22"/>
  <c r="Q104" i="22" s="1"/>
  <c r="P16" i="22"/>
  <c r="Q16" i="22" s="1"/>
  <c r="P48" i="22"/>
  <c r="Q48" i="22" s="1"/>
  <c r="P81" i="22"/>
  <c r="Q81" i="22" s="1"/>
  <c r="P103" i="22"/>
  <c r="Q103" i="22" s="1"/>
  <c r="P9" i="22"/>
  <c r="Q9" i="22" s="1"/>
  <c r="P41" i="22"/>
  <c r="Q41" i="22" s="1"/>
  <c r="P18" i="22"/>
  <c r="Q18" i="22" s="1"/>
  <c r="P50" i="22"/>
  <c r="Q50" i="22" s="1"/>
  <c r="P74" i="22"/>
  <c r="Q74" i="22" s="1"/>
  <c r="P90" i="22"/>
  <c r="Q90" i="22" s="1"/>
  <c r="P94" i="22"/>
  <c r="Q94" i="22" s="1"/>
  <c r="P66" i="22"/>
  <c r="Q66" i="22" s="1"/>
  <c r="P20" i="22"/>
  <c r="Q20" i="22" s="1"/>
  <c r="P52" i="22"/>
  <c r="Q52" i="22" s="1"/>
  <c r="P21" i="22"/>
  <c r="Q21" i="22" s="1"/>
  <c r="P53" i="22"/>
  <c r="Q53" i="22" s="1"/>
  <c r="P14" i="22"/>
  <c r="Q14" i="22" s="1"/>
  <c r="P46" i="22"/>
  <c r="Q46" i="22" s="1"/>
  <c r="P96" i="22"/>
  <c r="Q96" i="22" s="1"/>
  <c r="P8" i="22"/>
  <c r="Q8" i="22" s="1"/>
  <c r="P40" i="22"/>
  <c r="Q40" i="22" s="1"/>
  <c r="P64" i="22"/>
  <c r="Q64" i="22" s="1"/>
  <c r="P84" i="22"/>
  <c r="Q84" i="22" s="1"/>
  <c r="P95" i="22"/>
  <c r="Q95" i="22" s="1"/>
  <c r="P33" i="22"/>
  <c r="Q33" i="22" s="1"/>
  <c r="P10" i="22"/>
  <c r="Q10" i="22" s="1"/>
  <c r="P42" i="22"/>
  <c r="Q42" i="22" s="1"/>
  <c r="P97" i="22"/>
  <c r="Q97" i="22" s="1"/>
  <c r="P67" i="22"/>
  <c r="Q67" i="22" s="1"/>
  <c r="P93" i="22"/>
  <c r="Q93" i="22" s="1"/>
  <c r="P110" i="22"/>
  <c r="Q110" i="22" s="1"/>
  <c r="P83" i="22"/>
  <c r="Q83" i="22" s="1"/>
  <c r="P11" i="22"/>
  <c r="Q11" i="22" s="1"/>
  <c r="P43" i="22"/>
  <c r="Q43" i="22" s="1"/>
  <c r="P108" i="22"/>
  <c r="Q108" i="22" s="1"/>
  <c r="P7" i="22"/>
  <c r="Q7" i="22" s="1"/>
  <c r="P39" i="22"/>
  <c r="Q39" i="22" s="1"/>
  <c r="P73" i="22"/>
  <c r="Q73" i="22" s="1"/>
  <c r="P107" i="22"/>
  <c r="Q107" i="22" s="1"/>
  <c r="P109" i="22"/>
  <c r="Q109" i="22" s="1"/>
  <c r="P86" i="22"/>
  <c r="Q86" i="22" s="1"/>
  <c r="P38" i="22"/>
  <c r="Q38" i="22" s="1"/>
  <c r="P3" i="22"/>
  <c r="Q3" i="22" s="1"/>
  <c r="P35" i="22"/>
  <c r="Q35" i="22" s="1"/>
  <c r="P100" i="22"/>
  <c r="Q100" i="22" s="1"/>
  <c r="P31" i="22"/>
  <c r="Q31" i="22" s="1"/>
  <c r="P99" i="22"/>
  <c r="Q99" i="22" s="1"/>
  <c r="P102" i="22"/>
  <c r="Q102" i="22" s="1"/>
  <c r="P45" i="22"/>
  <c r="Q45" i="22" s="1"/>
  <c r="P25" i="22"/>
  <c r="Q25" i="22" s="1"/>
  <c r="P34" i="22"/>
  <c r="Q34" i="22" s="1"/>
  <c r="P70" i="22"/>
  <c r="Q70" i="22" s="1"/>
  <c r="P77" i="22"/>
  <c r="Q77" i="22" s="1"/>
  <c r="P4" i="22"/>
  <c r="Q4" i="22" s="1"/>
  <c r="P36" i="22"/>
  <c r="Q36" i="22" s="1"/>
  <c r="P63" i="22"/>
  <c r="Q63" i="22" s="1"/>
  <c r="P5" i="22"/>
  <c r="Q5" i="22" s="1"/>
  <c r="P37" i="22"/>
  <c r="Q37" i="22" s="1"/>
  <c r="P85" i="22"/>
  <c r="Q85" i="22" s="1"/>
  <c r="P30" i="22"/>
  <c r="Q30" i="22" s="1"/>
  <c r="P62" i="22"/>
  <c r="Q62" i="22" s="1"/>
  <c r="P79" i="22"/>
  <c r="Q79" i="22" s="1"/>
  <c r="P112" i="22"/>
  <c r="Q112" i="22" s="1"/>
  <c r="P24" i="22"/>
  <c r="Q24" i="22" s="1"/>
  <c r="P56" i="22"/>
  <c r="Q56" i="22" s="1"/>
  <c r="P78" i="22"/>
  <c r="Q78" i="22" s="1"/>
  <c r="P111" i="22"/>
  <c r="Q111" i="22" s="1"/>
  <c r="P17" i="22"/>
  <c r="Q17" i="22" s="1"/>
  <c r="P49" i="22"/>
  <c r="Q49" i="22" s="1"/>
  <c r="P26" i="22"/>
  <c r="Q26" i="22" s="1"/>
  <c r="P58" i="22"/>
  <c r="Q58" i="22" s="1"/>
  <c r="P89" i="22"/>
  <c r="Q89" i="22" s="1"/>
  <c r="P101" i="22"/>
  <c r="Q101" i="22" s="1"/>
  <c r="P71" i="22"/>
  <c r="Q71" i="22" s="1"/>
  <c r="AK9" i="22"/>
  <c r="AK3" i="22"/>
  <c r="AK19" i="22"/>
  <c r="AK13" i="22"/>
  <c r="AK16" i="22"/>
  <c r="AK14" i="22"/>
  <c r="AK40" i="22"/>
  <c r="AK6" i="22"/>
  <c r="AK24" i="22"/>
  <c r="AK35" i="22"/>
  <c r="AK32" i="22"/>
  <c r="AK41" i="22"/>
  <c r="AK11" i="22"/>
  <c r="AK7" i="22"/>
  <c r="AK31" i="22"/>
  <c r="AK8" i="22"/>
  <c r="AJ92" i="22"/>
  <c r="AJ90" i="22"/>
  <c r="AJ91" i="22"/>
  <c r="AK17" i="22"/>
  <c r="AJ98" i="22"/>
  <c r="AJ84" i="22"/>
  <c r="AJ95" i="22"/>
  <c r="AJ77" i="22"/>
  <c r="AJ88" i="22"/>
  <c r="AJ85" i="22"/>
  <c r="AJ94" i="22"/>
  <c r="AJ83" i="22"/>
  <c r="AJ101" i="22"/>
  <c r="AJ78" i="22"/>
  <c r="AJ79" i="22"/>
  <c r="AJ82" i="22"/>
  <c r="AJ93" i="22"/>
  <c r="AJ96" i="22"/>
  <c r="AJ86" i="22"/>
  <c r="AJ80" i="22"/>
  <c r="AJ81" i="22"/>
  <c r="AJ76" i="22"/>
  <c r="AJ97" i="22"/>
  <c r="AJ87" i="22"/>
  <c r="AJ100" i="22"/>
  <c r="AJ99" i="22"/>
  <c r="AK5" i="22"/>
  <c r="AK58" i="22"/>
  <c r="AK10" i="22"/>
  <c r="AK43" i="22"/>
  <c r="AK15" i="22"/>
  <c r="AK12" i="22"/>
  <c r="AK22" i="22"/>
  <c r="AK49" i="22"/>
  <c r="AK21" i="22"/>
  <c r="AJ57" i="22"/>
  <c r="AJ54" i="22"/>
  <c r="AJ3" i="22"/>
  <c r="AJ58" i="22"/>
  <c r="AK44" i="22"/>
  <c r="AK48" i="22"/>
  <c r="AK33" i="22"/>
  <c r="AK29" i="22"/>
  <c r="AK34" i="22"/>
  <c r="AK39" i="22"/>
  <c r="AK51" i="22"/>
  <c r="AK46" i="22"/>
  <c r="AJ5" i="22"/>
  <c r="AJ67" i="22"/>
  <c r="AJ60" i="22"/>
  <c r="AJ55" i="22"/>
  <c r="AJ64" i="22"/>
  <c r="AJ53" i="22"/>
  <c r="AJ61" i="22"/>
  <c r="AJ66" i="22"/>
  <c r="AJ65" i="22"/>
  <c r="AJ70" i="22"/>
  <c r="AJ75" i="22"/>
  <c r="AJ69" i="22"/>
  <c r="AJ52" i="22"/>
  <c r="AJ56" i="22"/>
  <c r="AJ71" i="22"/>
  <c r="AJ73" i="22"/>
  <c r="AJ62" i="22"/>
  <c r="AJ4" i="22"/>
  <c r="AJ13" i="22"/>
  <c r="AJ45" i="22"/>
  <c r="AJ22" i="22"/>
  <c r="AJ7" i="22"/>
  <c r="AJ39" i="22"/>
  <c r="AJ24" i="22"/>
  <c r="AJ21" i="22"/>
  <c r="AJ30" i="22"/>
  <c r="AJ15" i="22"/>
  <c r="AJ47" i="22"/>
  <c r="AJ32" i="22"/>
  <c r="AJ17" i="22"/>
  <c r="AJ49" i="22"/>
  <c r="AJ29" i="22"/>
  <c r="AJ6" i="22"/>
  <c r="AJ38" i="22"/>
  <c r="AJ23" i="22"/>
  <c r="AJ8" i="22"/>
  <c r="AJ40" i="22"/>
  <c r="AJ37" i="22"/>
  <c r="AJ14" i="22"/>
  <c r="AJ46" i="22"/>
  <c r="AJ31" i="22"/>
  <c r="AJ16" i="22"/>
  <c r="AJ48" i="22"/>
  <c r="AJ9" i="22"/>
  <c r="AJ41" i="22"/>
  <c r="AJ26" i="22"/>
  <c r="AJ35" i="22"/>
  <c r="AJ12" i="22"/>
  <c r="AJ44" i="22"/>
  <c r="AJ34" i="22"/>
  <c r="AJ11" i="22"/>
  <c r="AJ43" i="22"/>
  <c r="AJ20" i="22"/>
  <c r="AJ25" i="22"/>
  <c r="AJ42" i="22"/>
  <c r="AJ19" i="22"/>
  <c r="AJ51" i="22"/>
  <c r="AJ28" i="22"/>
  <c r="AJ10" i="22"/>
  <c r="AJ33" i="22"/>
  <c r="AJ18" i="22"/>
  <c r="AJ50" i="22"/>
  <c r="AJ27" i="22"/>
  <c r="AJ36" i="22"/>
  <c r="J82" i="22"/>
  <c r="P82" i="22" s="1"/>
  <c r="Q82" i="22" s="1"/>
  <c r="K114" i="22"/>
  <c r="P114" i="22" s="1"/>
  <c r="Q114" i="22" s="1"/>
  <c r="K98" i="22"/>
  <c r="P98" i="22" s="1"/>
  <c r="Q98" i="22" s="1"/>
  <c r="G9" i="1" l="1"/>
  <c r="F9" i="1"/>
  <c r="E9" i="1"/>
  <c r="R98" i="22"/>
  <c r="S98" i="22"/>
  <c r="T98" i="22"/>
  <c r="V98" i="22"/>
  <c r="W98" i="22"/>
  <c r="U98" i="22"/>
  <c r="S114" i="22"/>
  <c r="T114" i="22"/>
  <c r="U114" i="22"/>
  <c r="V114" i="22"/>
  <c r="W114" i="22"/>
  <c r="R114" i="22"/>
  <c r="T82" i="22"/>
  <c r="V82" i="22"/>
  <c r="W82" i="22"/>
  <c r="U82" i="22"/>
  <c r="R82" i="22"/>
  <c r="S82" i="22"/>
  <c r="R46" i="22"/>
  <c r="S46" i="22"/>
  <c r="T46" i="22"/>
  <c r="V46" i="22"/>
  <c r="W46" i="22"/>
  <c r="U46" i="22"/>
  <c r="R11" i="22"/>
  <c r="T11" i="22"/>
  <c r="U11" i="22"/>
  <c r="V11" i="22"/>
  <c r="S11" i="22"/>
  <c r="W11" i="22"/>
  <c r="V93" i="22"/>
  <c r="R93" i="22"/>
  <c r="T93" i="22"/>
  <c r="U93" i="22"/>
  <c r="S93" i="22"/>
  <c r="W93" i="22"/>
  <c r="V33" i="22"/>
  <c r="R33" i="22"/>
  <c r="T33" i="22"/>
  <c r="U33" i="22"/>
  <c r="W33" i="22"/>
  <c r="S33" i="22"/>
  <c r="T4" i="22"/>
  <c r="V4" i="22"/>
  <c r="W4" i="22"/>
  <c r="R4" i="22"/>
  <c r="S4" i="22"/>
  <c r="U4" i="22"/>
  <c r="V105" i="22"/>
  <c r="R105" i="22"/>
  <c r="T105" i="22"/>
  <c r="U105" i="22"/>
  <c r="W105" i="22"/>
  <c r="S105" i="22"/>
  <c r="R14" i="22"/>
  <c r="S14" i="22"/>
  <c r="T14" i="22"/>
  <c r="V14" i="22"/>
  <c r="W14" i="22"/>
  <c r="U14" i="22"/>
  <c r="T112" i="22"/>
  <c r="V112" i="22"/>
  <c r="W112" i="22"/>
  <c r="U112" i="22"/>
  <c r="S112" i="22"/>
  <c r="R112" i="22"/>
  <c r="T88" i="22"/>
  <c r="V88" i="22"/>
  <c r="W88" i="22"/>
  <c r="R88" i="22"/>
  <c r="S88" i="22"/>
  <c r="U88" i="22"/>
  <c r="R95" i="22"/>
  <c r="T95" i="22"/>
  <c r="U95" i="22"/>
  <c r="V95" i="22"/>
  <c r="S95" i="22"/>
  <c r="W95" i="22"/>
  <c r="T68" i="22"/>
  <c r="V68" i="22"/>
  <c r="W68" i="22"/>
  <c r="R68" i="22"/>
  <c r="S68" i="22"/>
  <c r="U68" i="22"/>
  <c r="R51" i="22"/>
  <c r="T51" i="22"/>
  <c r="U51" i="22"/>
  <c r="V51" i="22"/>
  <c r="S51" i="22"/>
  <c r="W51" i="22"/>
  <c r="V97" i="22"/>
  <c r="R97" i="22"/>
  <c r="T97" i="22"/>
  <c r="U97" i="22"/>
  <c r="W97" i="22"/>
  <c r="S97" i="22"/>
  <c r="V57" i="22"/>
  <c r="R57" i="22"/>
  <c r="T57" i="22"/>
  <c r="U57" i="22"/>
  <c r="W57" i="22"/>
  <c r="S57" i="22"/>
  <c r="R70" i="22"/>
  <c r="S70" i="22"/>
  <c r="T70" i="22"/>
  <c r="V70" i="22"/>
  <c r="W70" i="22"/>
  <c r="U70" i="22"/>
  <c r="R83" i="22"/>
  <c r="T83" i="22"/>
  <c r="U83" i="22"/>
  <c r="V83" i="22"/>
  <c r="W83" i="22"/>
  <c r="S83" i="22"/>
  <c r="R66" i="22"/>
  <c r="S66" i="22"/>
  <c r="T66" i="22"/>
  <c r="V66" i="22"/>
  <c r="W66" i="22"/>
  <c r="U66" i="22"/>
  <c r="V13" i="22"/>
  <c r="R13" i="22"/>
  <c r="T13" i="22"/>
  <c r="U13" i="22"/>
  <c r="S13" i="22"/>
  <c r="W13" i="22"/>
  <c r="T16" i="22"/>
  <c r="V16" i="22"/>
  <c r="W16" i="22"/>
  <c r="R16" i="22"/>
  <c r="S16" i="22"/>
  <c r="U16" i="22"/>
  <c r="V65" i="22"/>
  <c r="R65" i="22"/>
  <c r="T65" i="22"/>
  <c r="U65" i="22"/>
  <c r="W65" i="22"/>
  <c r="S65" i="22"/>
  <c r="R79" i="22"/>
  <c r="T79" i="22"/>
  <c r="U79" i="22"/>
  <c r="V79" i="22"/>
  <c r="S79" i="22"/>
  <c r="W79" i="22"/>
  <c r="V77" i="22"/>
  <c r="R77" i="22"/>
  <c r="T77" i="22"/>
  <c r="U77" i="22"/>
  <c r="S77" i="22"/>
  <c r="W77" i="22"/>
  <c r="V61" i="22"/>
  <c r="R61" i="22"/>
  <c r="T61" i="22"/>
  <c r="U61" i="22"/>
  <c r="S61" i="22"/>
  <c r="W61" i="22"/>
  <c r="V73" i="22"/>
  <c r="R73" i="22"/>
  <c r="T73" i="22"/>
  <c r="U73" i="22"/>
  <c r="W73" i="22"/>
  <c r="S73" i="22"/>
  <c r="T64" i="22"/>
  <c r="V64" i="22"/>
  <c r="W64" i="22"/>
  <c r="R64" i="22"/>
  <c r="S64" i="22"/>
  <c r="U64" i="22"/>
  <c r="T52" i="22"/>
  <c r="V52" i="22"/>
  <c r="W52" i="22"/>
  <c r="R52" i="22"/>
  <c r="S52" i="22"/>
  <c r="U52" i="22"/>
  <c r="R19" i="22"/>
  <c r="T19" i="22"/>
  <c r="U19" i="22"/>
  <c r="V19" i="22"/>
  <c r="W19" i="22"/>
  <c r="S19" i="22"/>
  <c r="R74" i="22"/>
  <c r="S74" i="22"/>
  <c r="T74" i="22"/>
  <c r="V74" i="22"/>
  <c r="W74" i="22"/>
  <c r="U74" i="22"/>
  <c r="R86" i="22"/>
  <c r="S86" i="22"/>
  <c r="T86" i="22"/>
  <c r="V86" i="22"/>
  <c r="W86" i="22"/>
  <c r="U86" i="22"/>
  <c r="V89" i="22"/>
  <c r="R89" i="22"/>
  <c r="T89" i="22"/>
  <c r="U89" i="22"/>
  <c r="W89" i="22"/>
  <c r="S89" i="22"/>
  <c r="T76" i="22"/>
  <c r="V76" i="22"/>
  <c r="W76" i="22"/>
  <c r="R76" i="22"/>
  <c r="S76" i="22"/>
  <c r="U76" i="22"/>
  <c r="T92" i="22"/>
  <c r="V92" i="22"/>
  <c r="W92" i="22"/>
  <c r="R92" i="22"/>
  <c r="S92" i="22"/>
  <c r="U92" i="22"/>
  <c r="R50" i="22"/>
  <c r="S50" i="22"/>
  <c r="T50" i="22"/>
  <c r="V50" i="22"/>
  <c r="W50" i="22"/>
  <c r="U50" i="22"/>
  <c r="R7" i="22"/>
  <c r="T7" i="22"/>
  <c r="U7" i="22"/>
  <c r="V7" i="22"/>
  <c r="S7" i="22"/>
  <c r="W7" i="22"/>
  <c r="R91" i="22"/>
  <c r="T91" i="22"/>
  <c r="U91" i="22"/>
  <c r="V91" i="22"/>
  <c r="S91" i="22"/>
  <c r="W91" i="22"/>
  <c r="R6" i="22"/>
  <c r="S6" i="22"/>
  <c r="T6" i="22"/>
  <c r="V6" i="22"/>
  <c r="W6" i="22"/>
  <c r="U6" i="22"/>
  <c r="R62" i="22"/>
  <c r="S62" i="22"/>
  <c r="T62" i="22"/>
  <c r="V62" i="22"/>
  <c r="W62" i="22"/>
  <c r="U62" i="22"/>
  <c r="V29" i="22"/>
  <c r="R29" i="22"/>
  <c r="T29" i="22"/>
  <c r="U29" i="22"/>
  <c r="S29" i="22"/>
  <c r="W29" i="22"/>
  <c r="V101" i="22"/>
  <c r="R101" i="22"/>
  <c r="T101" i="22"/>
  <c r="U101" i="22"/>
  <c r="W101" i="22"/>
  <c r="S101" i="22"/>
  <c r="T40" i="22"/>
  <c r="V40" i="22"/>
  <c r="W40" i="22"/>
  <c r="R40" i="22"/>
  <c r="S40" i="22"/>
  <c r="U40" i="22"/>
  <c r="T20" i="22"/>
  <c r="V20" i="22"/>
  <c r="W20" i="22"/>
  <c r="R20" i="22"/>
  <c r="S20" i="22"/>
  <c r="U20" i="22"/>
  <c r="R54" i="22"/>
  <c r="S54" i="22"/>
  <c r="T54" i="22"/>
  <c r="V54" i="22"/>
  <c r="W54" i="22"/>
  <c r="U54" i="22"/>
  <c r="R90" i="22"/>
  <c r="S90" i="22"/>
  <c r="T90" i="22"/>
  <c r="V90" i="22"/>
  <c r="W90" i="22"/>
  <c r="U90" i="22"/>
  <c r="T84" i="22"/>
  <c r="V84" i="22"/>
  <c r="W84" i="22"/>
  <c r="R84" i="22"/>
  <c r="S84" i="22"/>
  <c r="U84" i="22"/>
  <c r="T72" i="22"/>
  <c r="V72" i="22"/>
  <c r="W72" i="22"/>
  <c r="R72" i="22"/>
  <c r="S72" i="22"/>
  <c r="U72" i="22"/>
  <c r="R63" i="22"/>
  <c r="T63" i="22"/>
  <c r="U63" i="22"/>
  <c r="V63" i="22"/>
  <c r="S63" i="22"/>
  <c r="W63" i="22"/>
  <c r="V81" i="22"/>
  <c r="R81" i="22"/>
  <c r="T81" i="22"/>
  <c r="U81" i="22"/>
  <c r="W81" i="22"/>
  <c r="S81" i="22"/>
  <c r="R78" i="22"/>
  <c r="S78" i="22"/>
  <c r="T78" i="22"/>
  <c r="V78" i="22"/>
  <c r="W78" i="22"/>
  <c r="U78" i="22"/>
  <c r="T32" i="22"/>
  <c r="V32" i="22"/>
  <c r="W32" i="22"/>
  <c r="R32" i="22"/>
  <c r="S32" i="22"/>
  <c r="U32" i="22"/>
  <c r="V5" i="22"/>
  <c r="R5" i="22"/>
  <c r="T5" i="22"/>
  <c r="U5" i="22"/>
  <c r="W5" i="22"/>
  <c r="S5" i="22"/>
  <c r="R23" i="22"/>
  <c r="T23" i="22"/>
  <c r="U23" i="22"/>
  <c r="V23" i="22"/>
  <c r="S23" i="22"/>
  <c r="W23" i="22"/>
  <c r="R106" i="22"/>
  <c r="S106" i="22"/>
  <c r="T106" i="22"/>
  <c r="V106" i="22"/>
  <c r="W106" i="22"/>
  <c r="U106" i="22"/>
  <c r="R94" i="22"/>
  <c r="S94" i="22"/>
  <c r="T94" i="22"/>
  <c r="V94" i="22"/>
  <c r="W94" i="22"/>
  <c r="U94" i="22"/>
  <c r="W2" i="22"/>
  <c r="U2" i="22"/>
  <c r="S2" i="22"/>
  <c r="V2" i="22"/>
  <c r="T2" i="22"/>
  <c r="T100" i="22"/>
  <c r="V100" i="22"/>
  <c r="W100" i="22"/>
  <c r="R100" i="22"/>
  <c r="S100" i="22"/>
  <c r="U100" i="22"/>
  <c r="V85" i="22"/>
  <c r="R85" i="22"/>
  <c r="T85" i="22"/>
  <c r="U85" i="22"/>
  <c r="W85" i="22"/>
  <c r="S85" i="22"/>
  <c r="R115" i="22"/>
  <c r="T115" i="22"/>
  <c r="U115" i="22"/>
  <c r="V115" i="22"/>
  <c r="S115" i="22"/>
  <c r="W115" i="22"/>
  <c r="T104" i="22"/>
  <c r="V104" i="22"/>
  <c r="W104" i="22"/>
  <c r="R104" i="22"/>
  <c r="S104" i="22"/>
  <c r="U104" i="22"/>
  <c r="R58" i="22"/>
  <c r="S58" i="22"/>
  <c r="T58" i="22"/>
  <c r="V58" i="22"/>
  <c r="W58" i="22"/>
  <c r="U58" i="22"/>
  <c r="R30" i="22"/>
  <c r="S30" i="22"/>
  <c r="T30" i="22"/>
  <c r="V30" i="22"/>
  <c r="W30" i="22"/>
  <c r="U30" i="22"/>
  <c r="R39" i="22"/>
  <c r="T39" i="22"/>
  <c r="U39" i="22"/>
  <c r="V39" i="22"/>
  <c r="S39" i="22"/>
  <c r="W39" i="22"/>
  <c r="T8" i="22"/>
  <c r="V8" i="22"/>
  <c r="W8" i="22"/>
  <c r="R8" i="22"/>
  <c r="S8" i="22"/>
  <c r="U8" i="22"/>
  <c r="R102" i="22"/>
  <c r="S102" i="22"/>
  <c r="T102" i="22"/>
  <c r="V102" i="22"/>
  <c r="W102" i="22"/>
  <c r="U102" i="22"/>
  <c r="R10" i="22"/>
  <c r="S10" i="22"/>
  <c r="T10" i="22"/>
  <c r="V10" i="22"/>
  <c r="W10" i="22"/>
  <c r="U10" i="22"/>
  <c r="V109" i="22"/>
  <c r="R109" i="22"/>
  <c r="W109" i="22"/>
  <c r="T109" i="22"/>
  <c r="U109" i="22"/>
  <c r="S109" i="22"/>
  <c r="V41" i="22"/>
  <c r="R41" i="22"/>
  <c r="T41" i="22"/>
  <c r="U41" i="22"/>
  <c r="W41" i="22"/>
  <c r="S41" i="22"/>
  <c r="R26" i="22"/>
  <c r="S26" i="22"/>
  <c r="T26" i="22"/>
  <c r="V26" i="22"/>
  <c r="W26" i="22"/>
  <c r="U26" i="22"/>
  <c r="R34" i="22"/>
  <c r="S34" i="22"/>
  <c r="T34" i="22"/>
  <c r="V34" i="22"/>
  <c r="W34" i="22"/>
  <c r="U34" i="22"/>
  <c r="T12" i="22"/>
  <c r="V12" i="22"/>
  <c r="W12" i="22"/>
  <c r="R12" i="22"/>
  <c r="S12" i="22"/>
  <c r="U12" i="22"/>
  <c r="R38" i="22"/>
  <c r="S38" i="22"/>
  <c r="T38" i="22"/>
  <c r="V38" i="22"/>
  <c r="W38" i="22"/>
  <c r="U38" i="22"/>
  <c r="R3" i="22"/>
  <c r="T3" i="22"/>
  <c r="U3" i="22"/>
  <c r="V3" i="22"/>
  <c r="S3" i="22"/>
  <c r="W3" i="22"/>
  <c r="T80" i="22"/>
  <c r="V80" i="22"/>
  <c r="W80" i="22"/>
  <c r="R80" i="22"/>
  <c r="S80" i="22"/>
  <c r="U80" i="22"/>
  <c r="T56" i="22"/>
  <c r="V56" i="22"/>
  <c r="W56" i="22"/>
  <c r="R56" i="22"/>
  <c r="S56" i="22"/>
  <c r="U56" i="22"/>
  <c r="R71" i="22"/>
  <c r="T71" i="22"/>
  <c r="U71" i="22"/>
  <c r="V71" i="22"/>
  <c r="S71" i="22"/>
  <c r="W71" i="22"/>
  <c r="R47" i="22"/>
  <c r="T47" i="22"/>
  <c r="U47" i="22"/>
  <c r="V47" i="22"/>
  <c r="S47" i="22"/>
  <c r="W47" i="22"/>
  <c r="V9" i="22"/>
  <c r="R9" i="22"/>
  <c r="T9" i="22"/>
  <c r="U9" i="22"/>
  <c r="W9" i="22"/>
  <c r="S9" i="22"/>
  <c r="T60" i="22"/>
  <c r="V60" i="22"/>
  <c r="W60" i="22"/>
  <c r="R60" i="22"/>
  <c r="S60" i="22"/>
  <c r="U60" i="22"/>
  <c r="V49" i="22"/>
  <c r="R49" i="22"/>
  <c r="T49" i="22"/>
  <c r="U49" i="22"/>
  <c r="W49" i="22"/>
  <c r="S49" i="22"/>
  <c r="T108" i="22"/>
  <c r="V108" i="22"/>
  <c r="W108" i="22"/>
  <c r="R108" i="22"/>
  <c r="S108" i="22"/>
  <c r="U108" i="22"/>
  <c r="V25" i="22"/>
  <c r="R25" i="22"/>
  <c r="T25" i="22"/>
  <c r="U25" i="22"/>
  <c r="W25" i="22"/>
  <c r="S25" i="22"/>
  <c r="R59" i="22"/>
  <c r="T59" i="22"/>
  <c r="U59" i="22"/>
  <c r="V59" i="22"/>
  <c r="S59" i="22"/>
  <c r="W59" i="22"/>
  <c r="R42" i="22"/>
  <c r="S42" i="22"/>
  <c r="T42" i="22"/>
  <c r="V42" i="22"/>
  <c r="W42" i="22"/>
  <c r="U42" i="22"/>
  <c r="R22" i="22"/>
  <c r="S22" i="22"/>
  <c r="T22" i="22"/>
  <c r="V22" i="22"/>
  <c r="W22" i="22"/>
  <c r="U22" i="22"/>
  <c r="R116" i="22"/>
  <c r="T116" i="22"/>
  <c r="W116" i="22"/>
  <c r="U116" i="22"/>
  <c r="V116" i="22"/>
  <c r="S116" i="22"/>
  <c r="R75" i="22"/>
  <c r="T75" i="22"/>
  <c r="U75" i="22"/>
  <c r="V75" i="22"/>
  <c r="S75" i="22"/>
  <c r="W75" i="22"/>
  <c r="T24" i="22"/>
  <c r="V24" i="22"/>
  <c r="W24" i="22"/>
  <c r="R24" i="22"/>
  <c r="S24" i="22"/>
  <c r="U24" i="22"/>
  <c r="R43" i="22"/>
  <c r="T43" i="22"/>
  <c r="U43" i="22"/>
  <c r="V43" i="22"/>
  <c r="S43" i="22"/>
  <c r="W43" i="22"/>
  <c r="R107" i="22"/>
  <c r="T107" i="22"/>
  <c r="U107" i="22"/>
  <c r="V107" i="22"/>
  <c r="S107" i="22"/>
  <c r="W107" i="22"/>
  <c r="T48" i="22"/>
  <c r="V48" i="22"/>
  <c r="W48" i="22"/>
  <c r="R48" i="22"/>
  <c r="S48" i="22"/>
  <c r="U48" i="22"/>
  <c r="R31" i="22"/>
  <c r="T31" i="22"/>
  <c r="U31" i="22"/>
  <c r="V31" i="22"/>
  <c r="S31" i="22"/>
  <c r="W31" i="22"/>
  <c r="R18" i="22"/>
  <c r="S18" i="22"/>
  <c r="T18" i="22"/>
  <c r="V18" i="22"/>
  <c r="W18" i="22"/>
  <c r="U18" i="22"/>
  <c r="V53" i="22"/>
  <c r="R53" i="22"/>
  <c r="T53" i="22"/>
  <c r="U53" i="22"/>
  <c r="W53" i="22"/>
  <c r="S53" i="22"/>
  <c r="T44" i="22"/>
  <c r="V44" i="22"/>
  <c r="W44" i="22"/>
  <c r="R44" i="22"/>
  <c r="S44" i="22"/>
  <c r="U44" i="22"/>
  <c r="R35" i="22"/>
  <c r="T35" i="22"/>
  <c r="U35" i="22"/>
  <c r="V35" i="22"/>
  <c r="S35" i="22"/>
  <c r="W35" i="22"/>
  <c r="V17" i="22"/>
  <c r="R17" i="22"/>
  <c r="T17" i="22"/>
  <c r="U17" i="22"/>
  <c r="W17" i="22"/>
  <c r="S17" i="22"/>
  <c r="R110" i="22"/>
  <c r="S110" i="22"/>
  <c r="T110" i="22"/>
  <c r="V110" i="22"/>
  <c r="U110" i="22"/>
  <c r="W110" i="22"/>
  <c r="V45" i="22"/>
  <c r="R45" i="22"/>
  <c r="T45" i="22"/>
  <c r="U45" i="22"/>
  <c r="W45" i="22"/>
  <c r="S45" i="22"/>
  <c r="V21" i="22"/>
  <c r="R21" i="22"/>
  <c r="T21" i="22"/>
  <c r="U21" i="22"/>
  <c r="W21" i="22"/>
  <c r="S21" i="22"/>
  <c r="T96" i="22"/>
  <c r="V96" i="22"/>
  <c r="W96" i="22"/>
  <c r="R96" i="22"/>
  <c r="S96" i="22"/>
  <c r="U96" i="22"/>
  <c r="R15" i="22"/>
  <c r="T15" i="22"/>
  <c r="U15" i="22"/>
  <c r="V15" i="22"/>
  <c r="S15" i="22"/>
  <c r="W15" i="22"/>
  <c r="R103" i="22"/>
  <c r="T103" i="22"/>
  <c r="U103" i="22"/>
  <c r="V103" i="22"/>
  <c r="S103" i="22"/>
  <c r="W103" i="22"/>
  <c r="T28" i="22"/>
  <c r="V28" i="22"/>
  <c r="W28" i="22"/>
  <c r="R28" i="22"/>
  <c r="S28" i="22"/>
  <c r="U28" i="22"/>
  <c r="R111" i="22"/>
  <c r="T111" i="22"/>
  <c r="U111" i="22"/>
  <c r="V111" i="22"/>
  <c r="S111" i="22"/>
  <c r="W111" i="22"/>
  <c r="R99" i="22"/>
  <c r="T99" i="22"/>
  <c r="U99" i="22"/>
  <c r="V99" i="22"/>
  <c r="S99" i="22"/>
  <c r="W99" i="22"/>
  <c r="R87" i="22"/>
  <c r="T87" i="22"/>
  <c r="U87" i="22"/>
  <c r="V87" i="22"/>
  <c r="S87" i="22"/>
  <c r="W87" i="22"/>
  <c r="R27" i="22"/>
  <c r="T27" i="22"/>
  <c r="U27" i="22"/>
  <c r="V27" i="22"/>
  <c r="S27" i="22"/>
  <c r="W27" i="22"/>
  <c r="V69" i="22"/>
  <c r="R69" i="22"/>
  <c r="T69" i="22"/>
  <c r="U69" i="22"/>
  <c r="W69" i="22"/>
  <c r="S69" i="22"/>
  <c r="V37" i="22"/>
  <c r="R37" i="22"/>
  <c r="T37" i="22"/>
  <c r="U37" i="22"/>
  <c r="W37" i="22"/>
  <c r="S37" i="22"/>
  <c r="T36" i="22"/>
  <c r="V36" i="22"/>
  <c r="W36" i="22"/>
  <c r="R36" i="22"/>
  <c r="S36" i="22"/>
  <c r="U36" i="22"/>
  <c r="R55" i="22"/>
  <c r="T55" i="22"/>
  <c r="U55" i="22"/>
  <c r="V55" i="22"/>
  <c r="S55" i="22"/>
  <c r="W55" i="22"/>
  <c r="R67" i="22"/>
  <c r="T67" i="22"/>
  <c r="U67" i="22"/>
  <c r="V67" i="22"/>
  <c r="S67" i="22"/>
  <c r="W67" i="22"/>
  <c r="V113" i="22"/>
  <c r="R113" i="22"/>
  <c r="T113" i="22"/>
  <c r="W113" i="22"/>
  <c r="U113" i="22"/>
  <c r="S113" i="22"/>
  <c r="R2" i="22"/>
  <c r="X17" i="22" l="1"/>
  <c r="Y17" i="22" s="1"/>
  <c r="AL17" i="22" s="1"/>
  <c r="AM17" i="22" s="1"/>
  <c r="X40" i="22"/>
  <c r="Y40" i="22" s="1"/>
  <c r="AL40" i="22" s="1"/>
  <c r="AM40" i="22" s="1"/>
  <c r="X50" i="22"/>
  <c r="Y50" i="22" s="1"/>
  <c r="AL50" i="22" s="1"/>
  <c r="AM50" i="22" s="1"/>
  <c r="X46" i="22"/>
  <c r="Y46" i="22" s="1"/>
  <c r="AL46" i="22" s="1"/>
  <c r="AM46" i="22" s="1"/>
  <c r="X19" i="22"/>
  <c r="Y19" i="22" s="1"/>
  <c r="AL19" i="22" s="1"/>
  <c r="AM19" i="22" s="1"/>
  <c r="X52" i="22"/>
  <c r="Y52" i="22" s="1"/>
  <c r="AL52" i="22" s="1"/>
  <c r="AM52" i="22" s="1"/>
  <c r="X14" i="22"/>
  <c r="Y14" i="22" s="1"/>
  <c r="AL14" i="22" s="1"/>
  <c r="AM14" i="22" s="1"/>
  <c r="X16" i="22"/>
  <c r="Y16" i="22" s="1"/>
  <c r="AL16" i="22" s="1"/>
  <c r="AM16" i="22" s="1"/>
  <c r="X113" i="22"/>
  <c r="X103" i="22"/>
  <c r="X75" i="22"/>
  <c r="X59" i="22"/>
  <c r="Y59" i="22" s="1"/>
  <c r="X39" i="22"/>
  <c r="Y39" i="22" s="1"/>
  <c r="AL39" i="22" s="1"/>
  <c r="AM39" i="22" s="1"/>
  <c r="X115" i="22"/>
  <c r="X94" i="22"/>
  <c r="X84" i="22"/>
  <c r="X62" i="22"/>
  <c r="Y62" i="22" s="1"/>
  <c r="X92" i="22"/>
  <c r="X86" i="22"/>
  <c r="X66" i="22"/>
  <c r="Y66" i="22" s="1"/>
  <c r="X97" i="22"/>
  <c r="X112" i="22"/>
  <c r="X82" i="22"/>
  <c r="Y82" i="22" s="1"/>
  <c r="X87" i="22"/>
  <c r="X13" i="22"/>
  <c r="Y13" i="22" s="1"/>
  <c r="AL13" i="22" s="1"/>
  <c r="AM13" i="22" s="1"/>
  <c r="X49" i="22"/>
  <c r="Y49" i="22" s="1"/>
  <c r="AL49" i="22" s="1"/>
  <c r="AM49" i="22" s="1"/>
  <c r="X41" i="22"/>
  <c r="Y41" i="22" s="1"/>
  <c r="AL41" i="22" s="1"/>
  <c r="AM41" i="22" s="1"/>
  <c r="X43" i="22"/>
  <c r="Y43" i="22" s="1"/>
  <c r="AL43" i="22" s="1"/>
  <c r="AM43" i="22" s="1"/>
  <c r="X47" i="22"/>
  <c r="Y47" i="22" s="1"/>
  <c r="AL47" i="22" s="1"/>
  <c r="AM47" i="22" s="1"/>
  <c r="X114" i="22"/>
  <c r="X69" i="22"/>
  <c r="Y69" i="22" s="1"/>
  <c r="X28" i="22"/>
  <c r="Y28" i="22" s="1"/>
  <c r="AL28" i="22" s="1"/>
  <c r="AM28" i="22" s="1"/>
  <c r="X18" i="22"/>
  <c r="Y18" i="22" s="1"/>
  <c r="AL18" i="22" s="1"/>
  <c r="AM18" i="22" s="1"/>
  <c r="X24" i="22"/>
  <c r="Y24" i="22" s="1"/>
  <c r="AL24" i="22" s="1"/>
  <c r="AM24" i="22" s="1"/>
  <c r="X26" i="22"/>
  <c r="Y26" i="22" s="1"/>
  <c r="AL26" i="22" s="1"/>
  <c r="AM26" i="22" s="1"/>
  <c r="X8" i="22"/>
  <c r="Y8" i="22" s="1"/>
  <c r="AL8" i="22" s="1"/>
  <c r="AM8" i="22" s="1"/>
  <c r="X51" i="22"/>
  <c r="Y51" i="22" s="1"/>
  <c r="AL51" i="22" s="1"/>
  <c r="AM51" i="22" s="1"/>
  <c r="X37" i="22"/>
  <c r="Y37" i="22" s="1"/>
  <c r="AL37" i="22" s="1"/>
  <c r="AM37" i="22" s="1"/>
  <c r="X96" i="22"/>
  <c r="X53" i="22"/>
  <c r="Y53" i="22" s="1"/>
  <c r="AL53" i="22" s="1"/>
  <c r="AM53" i="22" s="1"/>
  <c r="X25" i="22"/>
  <c r="Y25" i="22" s="1"/>
  <c r="AL25" i="22" s="1"/>
  <c r="AM25" i="22" s="1"/>
  <c r="X108" i="22"/>
  <c r="X9" i="22"/>
  <c r="Y9" i="22" s="1"/>
  <c r="AL9" i="22" s="1"/>
  <c r="AM9" i="22" s="1"/>
  <c r="X34" i="22"/>
  <c r="Y34" i="22" s="1"/>
  <c r="AL34" i="22" s="1"/>
  <c r="AM34" i="22" s="1"/>
  <c r="X10" i="22"/>
  <c r="Y10" i="22" s="1"/>
  <c r="AL10" i="22" s="1"/>
  <c r="AM10" i="22" s="1"/>
  <c r="X30" i="22"/>
  <c r="Y30" i="22" s="1"/>
  <c r="AL30" i="22" s="1"/>
  <c r="AM30" i="22" s="1"/>
  <c r="X85" i="22"/>
  <c r="Y85" i="22" s="1"/>
  <c r="X100" i="22"/>
  <c r="X79" i="22"/>
  <c r="X45" i="22"/>
  <c r="Y45" i="22" s="1"/>
  <c r="AL45" i="22" s="1"/>
  <c r="AM45" i="22" s="1"/>
  <c r="X116" i="22"/>
  <c r="X80" i="22"/>
  <c r="X63" i="22"/>
  <c r="Y63" i="22" s="1"/>
  <c r="X29" i="22"/>
  <c r="Y29" i="22" s="1"/>
  <c r="AL29" i="22" s="1"/>
  <c r="AM29" i="22" s="1"/>
  <c r="X7" i="22"/>
  <c r="Y7" i="22" s="1"/>
  <c r="AL7" i="22" s="1"/>
  <c r="AM7" i="22" s="1"/>
  <c r="X77" i="22"/>
  <c r="Y77" i="22" s="1"/>
  <c r="X95" i="22"/>
  <c r="X11" i="22"/>
  <c r="Y11" i="22" s="1"/>
  <c r="AL11" i="22" s="1"/>
  <c r="AM11" i="22" s="1"/>
  <c r="X55" i="22"/>
  <c r="Y55" i="22" s="1"/>
  <c r="AL55" i="22" s="1"/>
  <c r="AM55" i="22" s="1"/>
  <c r="X27" i="22"/>
  <c r="Y27" i="22" s="1"/>
  <c r="AL27" i="22" s="1"/>
  <c r="AM27" i="22" s="1"/>
  <c r="X35" i="22"/>
  <c r="Y35" i="22" s="1"/>
  <c r="AL35" i="22" s="1"/>
  <c r="AM35" i="22" s="1"/>
  <c r="X31" i="22"/>
  <c r="Y31" i="22" s="1"/>
  <c r="AL31" i="22" s="1"/>
  <c r="AM31" i="22" s="1"/>
  <c r="X71" i="22"/>
  <c r="Y71" i="22" s="1"/>
  <c r="X5" i="22"/>
  <c r="Y5" i="22" s="1"/>
  <c r="AL5" i="22" s="1"/>
  <c r="AM5" i="22" s="1"/>
  <c r="X32" i="22"/>
  <c r="Y32" i="22" s="1"/>
  <c r="AL32" i="22" s="1"/>
  <c r="AM32" i="22" s="1"/>
  <c r="X72" i="22"/>
  <c r="Y72" i="22" s="1"/>
  <c r="X54" i="22"/>
  <c r="Y54" i="22" s="1"/>
  <c r="AL54" i="22" s="1"/>
  <c r="AM54" i="22" s="1"/>
  <c r="X20" i="22"/>
  <c r="Y20" i="22" s="1"/>
  <c r="AL20" i="22" s="1"/>
  <c r="AM20" i="22" s="1"/>
  <c r="X89" i="22"/>
  <c r="X64" i="22"/>
  <c r="Y64" i="22" s="1"/>
  <c r="X57" i="22"/>
  <c r="Y57" i="22" s="1"/>
  <c r="AL57" i="22" s="1"/>
  <c r="AM57" i="22" s="1"/>
  <c r="X88" i="22"/>
  <c r="X105" i="22"/>
  <c r="X4" i="22"/>
  <c r="Y4" i="22" s="1"/>
  <c r="AL4" i="22" s="1"/>
  <c r="AM4" i="22" s="1"/>
  <c r="X98" i="22"/>
  <c r="X36" i="22"/>
  <c r="Y36" i="22" s="1"/>
  <c r="AL36" i="22" s="1"/>
  <c r="AM36" i="22" s="1"/>
  <c r="X21" i="22"/>
  <c r="Y21" i="22" s="1"/>
  <c r="AL21" i="22" s="1"/>
  <c r="AM21" i="22" s="1"/>
  <c r="X44" i="22"/>
  <c r="Y44" i="22" s="1"/>
  <c r="AL44" i="22" s="1"/>
  <c r="AM44" i="22" s="1"/>
  <c r="X48" i="22"/>
  <c r="Y48" i="22" s="1"/>
  <c r="AL48" i="22" s="1"/>
  <c r="AM48" i="22" s="1"/>
  <c r="X42" i="22"/>
  <c r="Y42" i="22" s="1"/>
  <c r="AL42" i="22" s="1"/>
  <c r="AM42" i="22" s="1"/>
  <c r="X60" i="22"/>
  <c r="Y60" i="22" s="1"/>
  <c r="X56" i="22"/>
  <c r="Y56" i="22" s="1"/>
  <c r="AL56" i="22" s="1"/>
  <c r="AM56" i="22" s="1"/>
  <c r="X38" i="22"/>
  <c r="Y38" i="22" s="1"/>
  <c r="AL38" i="22" s="1"/>
  <c r="AM38" i="22" s="1"/>
  <c r="X12" i="22"/>
  <c r="Y12" i="22" s="1"/>
  <c r="AL12" i="22" s="1"/>
  <c r="AM12" i="22" s="1"/>
  <c r="X109" i="22"/>
  <c r="X23" i="22"/>
  <c r="Y23" i="22" s="1"/>
  <c r="AL23" i="22" s="1"/>
  <c r="AM23" i="22" s="1"/>
  <c r="X91" i="22"/>
  <c r="X61" i="22"/>
  <c r="Y61" i="22" s="1"/>
  <c r="X93" i="22"/>
  <c r="X111" i="22"/>
  <c r="X3" i="22"/>
  <c r="Y3" i="22" s="1"/>
  <c r="AL3" i="22" s="1"/>
  <c r="AM3" i="22" s="1"/>
  <c r="X81" i="22"/>
  <c r="Y81" i="22" s="1"/>
  <c r="X90" i="22"/>
  <c r="X101" i="22"/>
  <c r="X70" i="22"/>
  <c r="Y70" i="22" s="1"/>
  <c r="X67" i="22"/>
  <c r="Y67" i="22" s="1"/>
  <c r="X102" i="22"/>
  <c r="X58" i="22"/>
  <c r="Y58" i="22" s="1"/>
  <c r="AL58" i="22" s="1"/>
  <c r="AM58" i="22" s="1"/>
  <c r="X104" i="22"/>
  <c r="X22" i="22"/>
  <c r="Y22" i="22" s="1"/>
  <c r="AL22" i="22" s="1"/>
  <c r="AM22" i="22" s="1"/>
  <c r="X99" i="22"/>
  <c r="X15" i="22"/>
  <c r="Y15" i="22" s="1"/>
  <c r="AL15" i="22" s="1"/>
  <c r="AM15" i="22" s="1"/>
  <c r="X110" i="22"/>
  <c r="X107" i="22"/>
  <c r="X2" i="22"/>
  <c r="X106" i="22"/>
  <c r="X78" i="22"/>
  <c r="Y78" i="22" s="1"/>
  <c r="X6" i="22"/>
  <c r="Y6" i="22" s="1"/>
  <c r="AL6" i="22" s="1"/>
  <c r="AM6" i="22" s="1"/>
  <c r="X76" i="22"/>
  <c r="Y76" i="22" s="1"/>
  <c r="X74" i="22"/>
  <c r="Y74" i="22" s="1"/>
  <c r="X73" i="22"/>
  <c r="Y73" i="22" s="1"/>
  <c r="X65" i="22"/>
  <c r="Y65" i="22" s="1"/>
  <c r="X83" i="22"/>
  <c r="Y83" i="22" s="1"/>
  <c r="X68" i="22"/>
  <c r="Y68" i="22" s="1"/>
  <c r="X33" i="22"/>
  <c r="Y33" i="22" s="1"/>
  <c r="AL33" i="22" s="1"/>
  <c r="AM33" i="22" s="1"/>
  <c r="Y80" i="22"/>
  <c r="Y90" i="22"/>
  <c r="Y91" i="22"/>
  <c r="Y87" i="22"/>
  <c r="Y84" i="22"/>
  <c r="Y101" i="22"/>
  <c r="Y92" i="22"/>
  <c r="Y93" i="22"/>
  <c r="Y111" i="22"/>
  <c r="AL111" i="22" s="1"/>
  <c r="Y106" i="22"/>
  <c r="AL106" i="22" s="1"/>
  <c r="Y113" i="22"/>
  <c r="AL113" i="22" s="1"/>
  <c r="Y99" i="22"/>
  <c r="Y110" i="22"/>
  <c r="AL110" i="22" s="1"/>
  <c r="Y107" i="22"/>
  <c r="AL107" i="22" s="1"/>
  <c r="Y116" i="22"/>
  <c r="AL116" i="22" s="1"/>
  <c r="Y97" i="22"/>
  <c r="Y114" i="22"/>
  <c r="AL114" i="22" s="1"/>
  <c r="Y109" i="22"/>
  <c r="AL109" i="22" s="1"/>
  <c r="Y104" i="22"/>
  <c r="AL104" i="22" s="1"/>
  <c r="Y94" i="22"/>
  <c r="Y86" i="22"/>
  <c r="Y79" i="22"/>
  <c r="Y102" i="22"/>
  <c r="AL102" i="22" s="1"/>
  <c r="Y75" i="22"/>
  <c r="Y115" i="22"/>
  <c r="AL115" i="22" s="1"/>
  <c r="Y89" i="22"/>
  <c r="Y112" i="22"/>
  <c r="AL112" i="22" s="1"/>
  <c r="Y105" i="22"/>
  <c r="AL105" i="22" s="1"/>
  <c r="Y88" i="22"/>
  <c r="Y103" i="22"/>
  <c r="AL103" i="22" s="1"/>
  <c r="Y96" i="22"/>
  <c r="Y108" i="22"/>
  <c r="AL108" i="22" s="1"/>
  <c r="Y100" i="22"/>
  <c r="Y95" i="22"/>
  <c r="Y98" i="22"/>
  <c r="AL78" i="22" l="1"/>
  <c r="AM78" i="22" s="1"/>
  <c r="AP78" i="22" s="1"/>
  <c r="AL75" i="22"/>
  <c r="AM75" i="22" s="1"/>
  <c r="AP75" i="22" s="1"/>
  <c r="AL89" i="22"/>
  <c r="AL88" i="22"/>
  <c r="AL74" i="22"/>
  <c r="AM74" i="22" s="1"/>
  <c r="AP74" i="22" s="1"/>
  <c r="AL73" i="22"/>
  <c r="AM73" i="22" s="1"/>
  <c r="AP73" i="22" s="1"/>
  <c r="AL100" i="22"/>
  <c r="AL101" i="22"/>
  <c r="AL98" i="22"/>
  <c r="AL96" i="22"/>
  <c r="AL97" i="22"/>
  <c r="AL99" i="22"/>
  <c r="AL95" i="22"/>
  <c r="AL61" i="22"/>
  <c r="AL66" i="22"/>
  <c r="AL68" i="22"/>
  <c r="AL70" i="22"/>
  <c r="AL59" i="22"/>
  <c r="AL62" i="22"/>
  <c r="AL67" i="22"/>
  <c r="AL65" i="22"/>
  <c r="AL69" i="22"/>
  <c r="AL64" i="22"/>
  <c r="AL72" i="22"/>
  <c r="AL60" i="22"/>
  <c r="AL63" i="22"/>
  <c r="AL71" i="22"/>
  <c r="AL79" i="22"/>
  <c r="AM79" i="22" s="1"/>
  <c r="AP79" i="22" s="1"/>
  <c r="AL92" i="22"/>
  <c r="AL86" i="22"/>
  <c r="AL85" i="22"/>
  <c r="AM85" i="22" s="1"/>
  <c r="AP85" i="22" s="1"/>
  <c r="AL84" i="22"/>
  <c r="AM84" i="22" s="1"/>
  <c r="AP84" i="22" s="1"/>
  <c r="AL91" i="22"/>
  <c r="AL77" i="22"/>
  <c r="AM77" i="22" s="1"/>
  <c r="AP77" i="22" s="1"/>
  <c r="AL94" i="22"/>
  <c r="AL81" i="22"/>
  <c r="AM81" i="22" s="1"/>
  <c r="AP81" i="22" s="1"/>
  <c r="AL90" i="22"/>
  <c r="AL82" i="22"/>
  <c r="AM82" i="22" s="1"/>
  <c r="AP82" i="22" s="1"/>
  <c r="AL83" i="22"/>
  <c r="AM83" i="22" s="1"/>
  <c r="AP83" i="22" s="1"/>
  <c r="AL87" i="22"/>
  <c r="AL76" i="22"/>
  <c r="AM76" i="22" s="1"/>
  <c r="AP76" i="22" s="1"/>
  <c r="AL93" i="22"/>
  <c r="AL80" i="22"/>
  <c r="AM80" i="22" s="1"/>
  <c r="AP80" i="22" s="1"/>
  <c r="I2" i="15"/>
  <c r="AM72" i="22" l="1"/>
  <c r="AP72" i="22" s="1"/>
  <c r="AM68" i="22"/>
  <c r="AP68" i="22" s="1"/>
  <c r="AM64" i="22"/>
  <c r="AP64" i="22" s="1"/>
  <c r="AM66" i="22"/>
  <c r="AP66" i="22" s="1"/>
  <c r="AM69" i="22"/>
  <c r="AP69" i="22" s="1"/>
  <c r="AM61" i="22"/>
  <c r="AP61" i="22" s="1"/>
  <c r="AM65" i="22"/>
  <c r="AP65" i="22" s="1"/>
  <c r="AM67" i="22"/>
  <c r="AP67" i="22" s="1"/>
  <c r="AM71" i="22"/>
  <c r="AP71" i="22" s="1"/>
  <c r="AM62" i="22"/>
  <c r="AP62" i="22" s="1"/>
  <c r="AM63" i="22"/>
  <c r="AP63" i="22" s="1"/>
  <c r="AM59" i="22"/>
  <c r="AP59" i="22" s="1"/>
  <c r="AM60" i="22"/>
  <c r="AP60" i="22" s="1"/>
  <c r="AM70" i="22"/>
  <c r="AP70" i="22" s="1"/>
  <c r="R2" i="15"/>
  <c r="A2" i="15" s="1"/>
  <c r="AB8" i="15"/>
  <c r="AB10" i="15" s="1"/>
  <c r="AA8" i="15"/>
  <c r="AA10" i="15" s="1"/>
  <c r="Z8" i="15"/>
  <c r="Z10" i="15" s="1"/>
  <c r="Y8" i="15"/>
  <c r="Y10" i="15" s="1"/>
  <c r="X8" i="15"/>
  <c r="X10" i="15" s="1"/>
  <c r="W8" i="15"/>
  <c r="W10" i="15" s="1"/>
  <c r="AC7" i="15" l="1"/>
  <c r="E12" i="1" s="1"/>
  <c r="X9" i="15"/>
  <c r="D5" i="4" l="1"/>
  <c r="G22" i="1" s="1"/>
  <c r="C3" i="4"/>
  <c r="E21" i="1" s="1"/>
  <c r="AA9" i="15"/>
  <c r="Z9" i="15"/>
  <c r="Y9" i="15"/>
  <c r="AB9" i="15"/>
  <c r="D4" i="4" l="1"/>
  <c r="F22" i="1" s="1"/>
  <c r="W9" i="15"/>
  <c r="U10" i="15" s="1"/>
  <c r="D3" i="4" l="1"/>
  <c r="E22" i="1" s="1"/>
  <c r="AP11" i="22" l="1"/>
  <c r="AP35" i="22"/>
  <c r="AP53" i="22" l="1"/>
  <c r="AP23" i="22"/>
  <c r="AP15" i="22"/>
  <c r="AP45" i="22"/>
  <c r="AP41" i="22"/>
  <c r="AP36" i="22"/>
  <c r="AP30" i="22"/>
  <c r="AP50" i="22"/>
  <c r="AP46" i="22"/>
  <c r="AP51" i="22"/>
  <c r="AP3" i="22"/>
  <c r="AP16" i="22"/>
  <c r="AP28" i="22"/>
  <c r="AP12" i="22"/>
  <c r="AP7" i="22"/>
  <c r="AP18" i="22"/>
  <c r="AP37" i="22"/>
  <c r="AP43" i="22"/>
  <c r="AP34" i="22"/>
  <c r="AP4" i="22"/>
  <c r="AP25" i="22"/>
  <c r="AP22" i="22"/>
  <c r="AP44" i="22"/>
  <c r="AP31" i="22"/>
  <c r="AP24" i="22"/>
  <c r="AP39" i="22"/>
  <c r="AP40" i="22"/>
  <c r="AP9" i="22"/>
  <c r="AP20" i="22"/>
  <c r="AP38" i="22"/>
  <c r="AP33" i="22"/>
  <c r="AP55" i="22"/>
  <c r="AP57" i="22"/>
  <c r="AP58" i="22"/>
  <c r="AP21" i="22"/>
  <c r="AP17" i="22"/>
  <c r="AP29" i="22"/>
  <c r="AP52" i="22"/>
  <c r="AP27" i="22"/>
  <c r="AP14" i="22"/>
  <c r="AP48" i="22"/>
  <c r="AP5" i="22"/>
  <c r="AP49" i="22"/>
  <c r="AP26" i="22"/>
  <c r="AP42" i="22"/>
  <c r="AP54" i="22"/>
  <c r="AP6" i="22"/>
  <c r="AP47" i="22"/>
  <c r="AP13" i="22"/>
  <c r="AP32" i="22"/>
  <c r="AP8" i="22"/>
  <c r="AP56" i="22"/>
  <c r="AP19" i="22"/>
  <c r="AP10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R. Wallace</author>
  </authors>
  <commentList>
    <comment ref="A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PFET: High side only
NFET: High side or low side
</t>
        </r>
      </text>
    </comment>
    <comment ref="A6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NFET: VIN &lt; 100V
PFET: VIN &lt; 20V
</t>
        </r>
      </text>
    </comment>
    <comment ref="E6" authorId="0" shapeId="0" xr:uid="{1AB81CC8-8300-4B8A-923A-E09F4C932FA5}">
      <text>
        <r>
          <rPr>
            <b/>
            <sz val="9"/>
            <color indexed="81"/>
            <rFont val="Tahoma"/>
            <family val="2"/>
          </rPr>
          <t>Select FET1</t>
        </r>
      </text>
    </comment>
    <comment ref="F6" authorId="0" shapeId="0" xr:uid="{66B8A1E8-48D9-4B24-9916-37B7293A6A43}">
      <text>
        <r>
          <rPr>
            <b/>
            <sz val="9"/>
            <color indexed="81"/>
            <rFont val="Tahoma"/>
            <family val="2"/>
          </rPr>
          <t>Select FET2</t>
        </r>
      </text>
    </comment>
    <comment ref="G6" authorId="0" shapeId="0" xr:uid="{175B29C6-3FF9-4301-8F2C-125B109B748B}">
      <text>
        <r>
          <rPr>
            <b/>
            <sz val="9"/>
            <color indexed="81"/>
            <rFont val="Tahoma"/>
            <family val="2"/>
          </rPr>
          <t>Select FET3</t>
        </r>
      </text>
    </comment>
    <comment ref="A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PFET High side: VG &lt; VIN - 1.5V
NFET High side: VG &gt; VIN + 1.8V
NFET Low side: VG &gt; 1.8V</t>
        </r>
      </text>
    </comment>
  </commentList>
</comments>
</file>

<file path=xl/sharedStrings.xml><?xml version="1.0" encoding="utf-8"?>
<sst xmlns="http://schemas.openxmlformats.org/spreadsheetml/2006/main" count="5505" uniqueCount="750">
  <si>
    <t>Constants</t>
  </si>
  <si>
    <t>p</t>
  </si>
  <si>
    <t>n</t>
  </si>
  <si>
    <t>u</t>
  </si>
  <si>
    <t>m</t>
  </si>
  <si>
    <t>k</t>
  </si>
  <si>
    <t>G</t>
  </si>
  <si>
    <t>Meg</t>
  </si>
  <si>
    <t>Package</t>
  </si>
  <si>
    <t>quality and performance is with the customer.</t>
  </si>
  <si>
    <t>Instruments or the author.  The software is licensed solely on an "as is" basis.  The entire risk as to its</t>
  </si>
  <si>
    <t>or implied, with respect to this software or its fitness for any particular purpose is claimed by Texas</t>
  </si>
  <si>
    <t>This product is designed as an aid for customers of Texas Instruments.  No warranties, either express</t>
  </si>
  <si>
    <t>Disclaimer</t>
  </si>
  <si>
    <t xml:space="preserve"> </t>
  </si>
  <si>
    <r>
      <rPr>
        <sz val="10"/>
        <rFont val="Arial"/>
        <family val="2"/>
      </rPr>
      <t xml:space="preserve">calculations. </t>
    </r>
    <r>
      <rPr>
        <sz val="10"/>
        <color rgb="FFFF0000"/>
        <rFont val="Arial"/>
        <family val="2"/>
      </rPr>
      <t xml:space="preserve">   </t>
    </r>
  </si>
  <si>
    <t>PARTNUMBER</t>
  </si>
  <si>
    <t>PARTID</t>
  </si>
  <si>
    <t>WIZARD_ENABLED</t>
  </si>
  <si>
    <t>AVAILABLE</t>
  </si>
  <si>
    <t>SCHEMATIC_SYMBOL</t>
  </si>
  <si>
    <t>THERMAL_ID</t>
  </si>
  <si>
    <t>COMMENTS</t>
  </si>
  <si>
    <t>CHTYPE</t>
  </si>
  <si>
    <t>CHNUM</t>
  </si>
  <si>
    <t>SUBID</t>
  </si>
  <si>
    <t>MOUNT</t>
  </si>
  <si>
    <t>VDSMAX</t>
  </si>
  <si>
    <t>VGSMAX</t>
  </si>
  <si>
    <t>IDSMAX</t>
  </si>
  <si>
    <t>IDMMAX</t>
  </si>
  <si>
    <t>TJMAX</t>
  </si>
  <si>
    <t>PDMAX</t>
  </si>
  <si>
    <t>RTHJA</t>
  </si>
  <si>
    <t>RTHJF</t>
  </si>
  <si>
    <t>VTHMIN</t>
  </si>
  <si>
    <t>VTHMAX</t>
  </si>
  <si>
    <t>VFMAX</t>
  </si>
  <si>
    <t>TRRTYP</t>
  </si>
  <si>
    <t>TRRIF</t>
  </si>
  <si>
    <t>TRRISR</t>
  </si>
  <si>
    <t>GFSTYP</t>
  </si>
  <si>
    <t>RGITYP</t>
  </si>
  <si>
    <t>RDSON25</t>
  </si>
  <si>
    <t>RDSON45</t>
  </si>
  <si>
    <t>RDSON8</t>
  </si>
  <si>
    <t>RDSON10</t>
  </si>
  <si>
    <t>RDSDELTA</t>
  </si>
  <si>
    <t>QGTYP</t>
  </si>
  <si>
    <t>QG2_5TYP</t>
  </si>
  <si>
    <t>QG10TYP</t>
  </si>
  <si>
    <t>CISS_AT_1V</t>
  </si>
  <si>
    <t>CISS_AT_VDSSPEC</t>
  </si>
  <si>
    <t>CISSMAX</t>
  </si>
  <si>
    <t>COSS_AT_1V</t>
  </si>
  <si>
    <t>COSS_AT_VDSSPEC</t>
  </si>
  <si>
    <t>COSSMAX</t>
  </si>
  <si>
    <t>CRSS_AT_1V</t>
  </si>
  <si>
    <t>CRSS_AT_VDSSPEC</t>
  </si>
  <si>
    <t>CRSSMAX</t>
  </si>
  <si>
    <t>VDSSPEC</t>
  </si>
  <si>
    <t>SOATIME_MS</t>
  </si>
  <si>
    <t>VDS_START</t>
  </si>
  <si>
    <t>ID_START</t>
  </si>
  <si>
    <t>VDS_1STDROP</t>
  </si>
  <si>
    <t>ID_1STDROP</t>
  </si>
  <si>
    <t>VDS_2NDDROP</t>
  </si>
  <si>
    <t>ID_2NDDROP</t>
  </si>
  <si>
    <t>VDS_3RDDROP</t>
  </si>
  <si>
    <t>ID_3RDDROP</t>
  </si>
  <si>
    <t>VDS_END</t>
  </si>
  <si>
    <t>ID_END</t>
  </si>
  <si>
    <t>KQG</t>
  </si>
  <si>
    <t>POWERBLOCK</t>
  </si>
  <si>
    <t>VF_TYP</t>
  </si>
  <si>
    <t>HEATSINKABLE</t>
  </si>
  <si>
    <t>PACKAGE</t>
  </si>
  <si>
    <t>CGS1</t>
  </si>
  <si>
    <t>ROHS</t>
  </si>
  <si>
    <t>DATASHEET_URL</t>
  </si>
  <si>
    <t>KVTH</t>
  </si>
  <si>
    <t>RGIMAX</t>
  </si>
  <si>
    <t>VGSATMAXRDS</t>
  </si>
  <si>
    <t>QRR</t>
  </si>
  <si>
    <t>QGD</t>
  </si>
  <si>
    <t>QGS</t>
  </si>
  <si>
    <t>DEPLETIONMODE</t>
  </si>
  <si>
    <t>TI_EQ_PACKAGE</t>
  </si>
  <si>
    <t>AUTOMOTIVE</t>
  </si>
  <si>
    <t>GRADE</t>
  </si>
  <si>
    <t>TIMESTAMP</t>
  </si>
  <si>
    <t>DATEMODIFIED</t>
  </si>
  <si>
    <t>ID</t>
  </si>
  <si>
    <t>Y</t>
  </si>
  <si>
    <t>N</t>
  </si>
  <si>
    <t>(NULL)</t>
  </si>
  <si>
    <t>CSD13202Q2</t>
  </si>
  <si>
    <t>WB_MOSFET_N_D12568G3S47</t>
  </si>
  <si>
    <t>DQK0006C</t>
  </si>
  <si>
    <t>PJ added New; Oliver set symbol automotive and footprint and changed to A</t>
  </si>
  <si>
    <t>http://www.ti.com/lit/ds/symlink/csd13202q2.pdf</t>
  </si>
  <si>
    <t>SON2X2</t>
  </si>
  <si>
    <t>A</t>
  </si>
  <si>
    <t>PJ added New</t>
  </si>
  <si>
    <t>CSD15571Q2</t>
  </si>
  <si>
    <t>WB_MOSFET_N_D1256G3S4</t>
  </si>
  <si>
    <t>http://www.ti.com/lit/ds/symlink/csd15571q2.pdf</t>
  </si>
  <si>
    <t>CSD16301Q2</t>
  </si>
  <si>
    <t>Updated by PJ Added by Jonathan   -Disabed for PCB export - Howard</t>
  </si>
  <si>
    <t>http://www.ti.com/lit/ds/symlink/csd16301q2.pdf</t>
  </si>
  <si>
    <t>CSD16321Q5</t>
  </si>
  <si>
    <t>WB_MOSFET_N_D56789G4S123</t>
  </si>
  <si>
    <t>TRANS_NexFET_Q5</t>
  </si>
  <si>
    <t>Updated by PJ Added by Jonathan</t>
  </si>
  <si>
    <t>http://www.ti.com/lit/ds/symlink/csd16321q5.pdf</t>
  </si>
  <si>
    <t>SON5X6</t>
  </si>
  <si>
    <t>CSD16322Q5</t>
  </si>
  <si>
    <t>Updated by PJ Added by Amod</t>
  </si>
  <si>
    <t>http://www.ti.com/lit/ds/symlink/csd16322q5.pdf</t>
  </si>
  <si>
    <t>CSD16323Q3</t>
  </si>
  <si>
    <t>DQG0008A</t>
  </si>
  <si>
    <t>Added by Jonathan;PJ added new params from PL;Oliver updated Thermal_Id</t>
  </si>
  <si>
    <t>SON3X3</t>
  </si>
  <si>
    <t>CSD16325Q5</t>
  </si>
  <si>
    <t>http://www.ti.com/lit/ds/symlink/csd16325q5.pdf</t>
  </si>
  <si>
    <t>CSD16327Q3</t>
  </si>
  <si>
    <t>Added by Gerold; PJ added new params from PL; Oliver updated Thermal_Id</t>
  </si>
  <si>
    <t>http://www.ti.com/lit/ds/symlink/csd16327q3.pdf</t>
  </si>
  <si>
    <t>CSD16340Q3</t>
  </si>
  <si>
    <t>Added by Amod; PJ added new params from PL; Oliver updated Thermal_Id</t>
  </si>
  <si>
    <t>http://www.ti.com/lit/ds/symlink/csd16340q3.pdf</t>
  </si>
  <si>
    <t>CSD16342Q5A</t>
  </si>
  <si>
    <t>TRANS_NexFET_Q5A</t>
  </si>
  <si>
    <t>Updated by PJ Added by Steven</t>
  </si>
  <si>
    <t>http://www.ti.com/lit/ds/symlink/csd16342q5a.pdf</t>
  </si>
  <si>
    <t>CSD16401Q5</t>
  </si>
  <si>
    <t>Updated by PJ Added by Amod Jaz: hotswap</t>
  </si>
  <si>
    <t>http://www.ti.com/lit/ds/symlink/csd16401q5.pdf</t>
  </si>
  <si>
    <t>CSD16403Q5A</t>
  </si>
  <si>
    <t>Updated by PJ HotSwap disabled by HC</t>
  </si>
  <si>
    <t>http://www.ti.com/lit/ds/symlink/csd16403q5a.pdf</t>
  </si>
  <si>
    <t>CSD16404Q5A</t>
  </si>
  <si>
    <t>http://www.ti.com/lit/ds/symlink/csd16404q5a.pdf</t>
  </si>
  <si>
    <t>CSD16406Q3</t>
  </si>
  <si>
    <t>Added by Amod Jaz: hotswap; PJ added new params from PL; Oliver updated Thermal_Id</t>
  </si>
  <si>
    <t>http://www.ti.com/lit/ds/symlink/csd16406q3.pdf</t>
  </si>
  <si>
    <t>CSD16407Q5</t>
  </si>
  <si>
    <t>http://www.ti.com/lit/ds/symlink/csd16407q5.pdf</t>
  </si>
  <si>
    <t>CSD16408Q5</t>
  </si>
  <si>
    <t>http://www.ti.com/lit/ds/symlink/csd16408q5.pdf</t>
  </si>
  <si>
    <t>CSD16409Q3</t>
  </si>
  <si>
    <t>Added by Jonathan; Updated by PJ; Oliver updated Thermal_Id</t>
  </si>
  <si>
    <t>http://www.ti.com/lit/ds/symlink/csd16409q3.pdf</t>
  </si>
  <si>
    <t>CSD16410Q5A</t>
  </si>
  <si>
    <t>Updated by PJ  HotSwap disabled by HC</t>
  </si>
  <si>
    <t>http://www.ti.com/lit/ds/symlink/csd16410q5a.pdf</t>
  </si>
  <si>
    <t>CSD16411Q3</t>
  </si>
  <si>
    <t>HotSwap disabled by HC; Updated by PJ; Oliver updated Thermal_Id</t>
  </si>
  <si>
    <t>http://www.ti.com/lit/ds/symlink/csd16411q3.pdf</t>
  </si>
  <si>
    <t>CSD16412Q5A</t>
  </si>
  <si>
    <t>http://www.ti.com/lit/ds/symlink/csd16412q5a.pdf</t>
  </si>
  <si>
    <t>CSD16413Q5A</t>
  </si>
  <si>
    <t>http://www.ti.com/lit/ds/symlink/csd16413q5a.pdf</t>
  </si>
  <si>
    <t>CSD16414Q5</t>
  </si>
  <si>
    <t>Updated by PJ  Added by Jonathan</t>
  </si>
  <si>
    <t>http://www.ti.com/lit/ds/symlink/csd16414q5.pdf</t>
  </si>
  <si>
    <t>CSD16415Q5</t>
  </si>
  <si>
    <t>http://www.ti.com/lit/ds/symlink/csd16415q5.pdf</t>
  </si>
  <si>
    <t>CSD16556Q5B</t>
  </si>
  <si>
    <t>TRANS_NexFET_Q5B</t>
  </si>
  <si>
    <t>http://www.ti.com/lit/ds/symlink/csd16556q5b.pdf</t>
  </si>
  <si>
    <t>CSD16570Q5B</t>
  </si>
  <si>
    <t>DNK0008A</t>
  </si>
  <si>
    <t>Updated by PJ; Oliver set Mount Automotive Thermal_Id and symbol then set to A</t>
  </si>
  <si>
    <t>http://www.ti.com/lit/ds/symlink/csd16570q5b.pdf</t>
  </si>
  <si>
    <t>CSD17301Q5A</t>
  </si>
  <si>
    <t>http://www.ti.com/lit/ds/symlink/csd17301q5a.pdf</t>
  </si>
  <si>
    <t>CSD17302Q5A</t>
  </si>
  <si>
    <t>http://www.ti.com/lit/ds/symlink/csd17302q5a.pdf</t>
  </si>
  <si>
    <t>CSD17303Q5</t>
  </si>
  <si>
    <t>PJ added new params from PL;Added by Jonathan</t>
  </si>
  <si>
    <t>http://www.ti.com/lit/ds/symlink/csd17303q5.pdf</t>
  </si>
  <si>
    <t>CSD17304Q3</t>
  </si>
  <si>
    <t>http://www.ti.com/lit/ds/symlink/csd17304q3.pdf</t>
  </si>
  <si>
    <t>CSD17305Q5A</t>
  </si>
  <si>
    <t>http://www.ti.com/lit/ds/symlink/csd17305q5a.pdf</t>
  </si>
  <si>
    <t>CSD17306Q5A</t>
  </si>
  <si>
    <t>http://www.ti.com/lit/ds/symlink/csd17306q5a.pdf</t>
  </si>
  <si>
    <t>CSD17307Q5A</t>
  </si>
  <si>
    <t>http://www.ti.com/lit/ds/symlink/csd17307q5a.pdf</t>
  </si>
  <si>
    <t>CSD17308Q3</t>
  </si>
  <si>
    <t>http://www.ti.com/lit/ds/symlink/csd17308q3.pdf</t>
  </si>
  <si>
    <t>CSD17309Q3</t>
  </si>
  <si>
    <t>http://www.ti.com/lit/ds/symlink/csd17309q3.pdf</t>
  </si>
  <si>
    <t>CSD17310Q5A</t>
  </si>
  <si>
    <t>http://www.ti.com/lit/ds/symlink/csd17310q5a.pdf</t>
  </si>
  <si>
    <t>CSD17311Q5</t>
  </si>
  <si>
    <t>http://www.ti.com/lit/ds/symlink/csd17311q5.pdf</t>
  </si>
  <si>
    <t>CSD17312Q5</t>
  </si>
  <si>
    <t>PJ added new params from PL;Added by Amod Jaz: hotswap</t>
  </si>
  <si>
    <t>http://www.ti.com/lit/ds/symlink/csd17312q5.pdf</t>
  </si>
  <si>
    <t>CSD17313Q2</t>
  </si>
  <si>
    <t>Added by Jonathan; Oliver updated Thermal_Id</t>
  </si>
  <si>
    <t>http://www.ti.com/lit/ds/symlink/csd17313q2.pdf</t>
  </si>
  <si>
    <t>CSD17322Q5A</t>
  </si>
  <si>
    <t>http://www.ti.com/lit/ds/symlink/csd17322q5a.pdf</t>
  </si>
  <si>
    <t>CSD17327Q5A</t>
  </si>
  <si>
    <t>http://www.ti.com/lit/ds/symlink/csd17327q5a.pdf</t>
  </si>
  <si>
    <t>Updated by PJ</t>
  </si>
  <si>
    <t>DNH0008A</t>
  </si>
  <si>
    <t>CSD17556Q5B</t>
  </si>
  <si>
    <t>Updated by PJ Added by Hadi</t>
  </si>
  <si>
    <t>http://www.ti.com/lit/ds/symlink/csd17556q5b.pdf</t>
  </si>
  <si>
    <t>SON5x6</t>
  </si>
  <si>
    <t>CSD17559Q5</t>
  </si>
  <si>
    <t>PJ added new params from PL;Added by Gerold</t>
  </si>
  <si>
    <t>http://www.ti.com/lit/ds/symlink/csd17559q5.pdf</t>
  </si>
  <si>
    <t>CSD17570Q5B</t>
  </si>
  <si>
    <t>http://www.ti.com/lit/ds/symlink/csd17570q5b.pdf</t>
  </si>
  <si>
    <t>CSD17571Q2</t>
  </si>
  <si>
    <t>Updated by PJ Altium for Vince Paku</t>
  </si>
  <si>
    <t>http://www.ti.com/lit/ds/symlink/csd17571q2.pdf</t>
  </si>
  <si>
    <t>CSD17573Q5B</t>
  </si>
  <si>
    <t>Updated by PJAdded by Hadi</t>
  </si>
  <si>
    <t>http://www.ti.com/lit/ds/symlink/csd17573q5b.pdf</t>
  </si>
  <si>
    <t>CSD17575Q3</t>
  </si>
  <si>
    <t>Added by ; revert thermal ID back to NxtFET-HC 7/2016; PJ added new params from PL; Oliver updated Thermal_Id</t>
  </si>
  <si>
    <t>http://www.ti.com/lit/ds/symlink/csd17575q3.pdf</t>
  </si>
  <si>
    <t>CSD17576Q5B</t>
  </si>
  <si>
    <t>http://www.ti.com/lit/ds/symlink/csd17576q5b.pdf</t>
  </si>
  <si>
    <t>CSD17577Q3A</t>
  </si>
  <si>
    <t>Added by Hadi; PJ added new params from PL; Oliver updated Thermal_Id</t>
  </si>
  <si>
    <t>http://www.ti.com/lit/ds/symlink/csd17577q3a.pdf</t>
  </si>
  <si>
    <t>SON3x3</t>
  </si>
  <si>
    <t>CSD17577Q5A</t>
  </si>
  <si>
    <t>http://www.ti.com/lit/ds/symlink/csd17577q5a.pdf</t>
  </si>
  <si>
    <t>CSD17578Q3A</t>
  </si>
  <si>
    <t>http://www.ti.com/lit/ds/symlink/csd17578q3a.pdf</t>
  </si>
  <si>
    <t>CSD17578Q5A</t>
  </si>
  <si>
    <t>http://www.ti.com/lit/ds/symlink/csd17578q5a.pdf</t>
  </si>
  <si>
    <t>CSD17579Q3A</t>
  </si>
  <si>
    <t>http://www.ti.com/lit/ds/symlink/csd17579q3a.pdf</t>
  </si>
  <si>
    <t>CSD17579Q5A</t>
  </si>
  <si>
    <t>http://www.ti.com/lit/ds/slps524/slps524.pdf</t>
  </si>
  <si>
    <t>CSD17581Q3A</t>
  </si>
  <si>
    <t>by Hadi</t>
  </si>
  <si>
    <t>http://www.ti.com/lit/ds/symlink/csd17581q3a.pdf</t>
  </si>
  <si>
    <t>DQJ0008A</t>
  </si>
  <si>
    <t>CSD18501Q5A</t>
  </si>
  <si>
    <t>http://www.ti.com/lit/ds/symlink/csd18501q5a.pdf</t>
  </si>
  <si>
    <t>CSD18502KCS</t>
  </si>
  <si>
    <t>WB_MOSFET_N_D2G1S3</t>
  </si>
  <si>
    <t>TO-220AB</t>
  </si>
  <si>
    <t>Updated by PJ Added by Gerold</t>
  </si>
  <si>
    <t>http://www.ti.com/lit/ds/symlink/csd18502kcs.pdf</t>
  </si>
  <si>
    <t>TO-220</t>
  </si>
  <si>
    <t>CSD18502Q5B</t>
  </si>
  <si>
    <t>http://www.ti.com/lit/ds/symlink/csd18502Q5B.pdf</t>
  </si>
  <si>
    <t>CSD18503KCS</t>
  </si>
  <si>
    <t>http://www.ti.com/lit/ds/symlink/csd18503kcs.pdf</t>
  </si>
  <si>
    <t>CSD18503Q5A</t>
  </si>
  <si>
    <t>Added by Gerold; PJ added new params from PL; Oliver set ROHS to E and Automotive to N</t>
  </si>
  <si>
    <t>E</t>
  </si>
  <si>
    <t>http://www.ti.com/lit/ds/symlink/csd18503q5a.pdf</t>
  </si>
  <si>
    <t>CSD18504KCS</t>
  </si>
  <si>
    <t>KCS0003B</t>
  </si>
  <si>
    <t>Added by Gerold; Updated by PJ; Oliver updated Thermal_Id set Automotive and set Available to A</t>
  </si>
  <si>
    <t>http://www.ti.com/lit/ds/symlink/csd18504kcs.pdf</t>
  </si>
  <si>
    <t>CSD18504Q5A</t>
  </si>
  <si>
    <t>http://www.ti.com/lit/ds/symlink/csd18504q5a.pdf</t>
  </si>
  <si>
    <t>CSD18509Q5B</t>
  </si>
  <si>
    <t>Updated PJ for missing entries.Updated by PJ 7/5 RL: Updated Thermal_Id DNK0008A -&gt; TRANS_NexFET_Q5B; Added by Hadi</t>
  </si>
  <si>
    <t>http://www.ti.com/lit/ds/symlink/csd18509q5b.pdf</t>
  </si>
  <si>
    <t>KTT0002A</t>
  </si>
  <si>
    <t>CSD18511Q5A</t>
  </si>
  <si>
    <t>Hadi: per brett barr request; Oliver corrected Thermal_Id</t>
  </si>
  <si>
    <t>http://www.ti.com/lit/ds/symlink/csd18511q5a.pdf</t>
  </si>
  <si>
    <t>CSD18512Q5B</t>
  </si>
  <si>
    <t>Hadi: per brett barr request; Oliver corrected URL</t>
  </si>
  <si>
    <t>http://www.ti.com/lit/ds/symlink/csd18512q5b.pdf</t>
  </si>
  <si>
    <t>CSD18513Q5A</t>
  </si>
  <si>
    <t>http://www.ti.com/lit/ds/symlink/csd18513q5a.pdf</t>
  </si>
  <si>
    <t>CSD18514Q5A</t>
  </si>
  <si>
    <t>http://www.ti.com/lit/ds/symlink/csd18514q5a.pdf</t>
  </si>
  <si>
    <t>CSD18531Q5A</t>
  </si>
  <si>
    <t>http://www.ti.com/lit/ds/symlink/csd18531q5a.pdf</t>
  </si>
  <si>
    <t>CSD18532KCS</t>
  </si>
  <si>
    <t>Added by Gerold; Updated by PJ; Oliver updated Thermal_Id updated Mount and set Available to A</t>
  </si>
  <si>
    <t>http:// www.ti.com/lit/ds/symlink/csd18532kcs.pdf</t>
  </si>
  <si>
    <t>CSD18532NQ5B</t>
  </si>
  <si>
    <t>Updated by PJ; Oliver set Thermal_Id Mount symbol Automotive and set Avaialble to A</t>
  </si>
  <si>
    <t>http://www.ti.com/lit/ds/symlink/csd18532nq5b.pdf</t>
  </si>
  <si>
    <t>CSD18532Q5B</t>
  </si>
  <si>
    <t>http://www.ti.com/lit/ds/symlink/csd18532q5b.pdf</t>
  </si>
  <si>
    <t>CSD18533KCS</t>
  </si>
  <si>
    <t>http://www.ti.com/lit/ds/symlink/csd18533kcs.pdf</t>
  </si>
  <si>
    <t>CSD18533Q5A</t>
  </si>
  <si>
    <t>Added by Gerold; Updated by PJ; Oliver updated Thermal_Id set Automotive and changed Available to A</t>
  </si>
  <si>
    <t>http://www.ti.com/lit/ds/symlink/csd18533q5a.pdf</t>
  </si>
  <si>
    <t>CSD18534KCS</t>
  </si>
  <si>
    <t>Added by Gerold; Updated by PJ; Oliver updated Thermal_Id set Mount and set Available to A</t>
  </si>
  <si>
    <t>http://www.ti.com/lit/ds/symlink/csd18534kcs.pdf</t>
  </si>
  <si>
    <t>CSD18534Q5A</t>
  </si>
  <si>
    <t>http://www.ti.com/lit/ds/symlink/csd18534q5a.pdf</t>
  </si>
  <si>
    <t>CSD18535KCS</t>
  </si>
  <si>
    <t>Updated by PJ; Oliver set Thermal_Id symbol Mount Automotive and set Available to A</t>
  </si>
  <si>
    <t>http://www.ti.com/lit/ds/symlink/csd18535kcs.pdf</t>
  </si>
  <si>
    <t>CSD18535KTT</t>
  </si>
  <si>
    <t>http://www.ti.com/lit/ds/symlink/csd18535ktt.pdf</t>
  </si>
  <si>
    <t>DDPAK</t>
  </si>
  <si>
    <t>CSD18536KCS</t>
  </si>
  <si>
    <t>Updated by PJ; Oliver updated Thermal_Id set symbol Automotive Mount and set Available to A and ROHS to E</t>
  </si>
  <si>
    <t>http://www.ti.com/lit/ds/symlink/csd18536kcs.pdf</t>
  </si>
  <si>
    <t>CSD18536KTT</t>
  </si>
  <si>
    <t>http://www.ti.com/lit/ds/symlink/csd18536ktt.pdf</t>
  </si>
  <si>
    <t>CSD18537NKCS</t>
  </si>
  <si>
    <t>Updated by PJ Added by Kris</t>
  </si>
  <si>
    <t>http://www.ti.com/lit/ds/symlink/csd18537nkcs.pdf</t>
  </si>
  <si>
    <t>CSD18537NQ5A</t>
  </si>
  <si>
    <t>PJ added new params from PL;Added by Kris</t>
  </si>
  <si>
    <t>http://www.ti.com/lit/ds/symlink/csd18537nq5a.pdf</t>
  </si>
  <si>
    <t>CSD18540Q5B</t>
  </si>
  <si>
    <t>Updated by PJ; Oliver set Thermal_Id Mount Automotive and symbol set Available to A</t>
  </si>
  <si>
    <t>http://www.ti.com/lit/ds/symlink/csd18540q5b.pdf</t>
  </si>
  <si>
    <t>PJ added New; Oliver set Thermal_Id symbol Mount Automotive and set Available to A</t>
  </si>
  <si>
    <t>CSD18542KCS</t>
  </si>
  <si>
    <t>http://www.ti.com/lit/ds/symlink/csd18542kcs.pdf</t>
  </si>
  <si>
    <t>CSD18542KTT</t>
  </si>
  <si>
    <t>http://www.ti.com/lit/ds/symlink/csd18542ktt.pdf</t>
  </si>
  <si>
    <t>CSD18563Q5A</t>
  </si>
  <si>
    <t>http://www.ti.com/lit/ds/symlink/csd18563q5a.pdf</t>
  </si>
  <si>
    <t>CSD19501KCS</t>
  </si>
  <si>
    <t>Updated by PJ; Oliver set Thermal_Id symbol Mount Automotive and Available to A</t>
  </si>
  <si>
    <t>http://www.ti.com/lit/ds/symlink/csd19501kcs.pdf</t>
  </si>
  <si>
    <t>CSD19502Q5B</t>
  </si>
  <si>
    <t>Updated by PJ 8/3 Bob for Tattiana Davenport</t>
  </si>
  <si>
    <t>http://www.ti.com/lit/ds/symlink/csd19502q5b.pdf</t>
  </si>
  <si>
    <t>CSD19503KCS</t>
  </si>
  <si>
    <t>http://www.ti.com/lit/ds/symlink/csd19503kcs.pdf</t>
  </si>
  <si>
    <t>CSD19505KCS</t>
  </si>
  <si>
    <t>http://www.ti.com/lit/ds/symlink/csd19505kcs.pdf</t>
  </si>
  <si>
    <t>CSD19505KTT</t>
  </si>
  <si>
    <t>http://www.ti.com/lit/ds/symlink/csd19505ktt.pdf</t>
  </si>
  <si>
    <t>CSD19506KCS</t>
  </si>
  <si>
    <t>http://www.ti.com/lit/ds/symlink/csd19506kcs.pdf</t>
  </si>
  <si>
    <t>CSD19506KTT</t>
  </si>
  <si>
    <t>PJ added New; Oliver set Thermal_Id Mount Symbol and Available =A</t>
  </si>
  <si>
    <t>http://www.ti.com/lit/ds/symlink/csd19506ktt.pdf</t>
  </si>
  <si>
    <t>CSD19531KCS</t>
  </si>
  <si>
    <t>http://www.ti.com/lit/ds/symlink/csd19531kcs.pdf</t>
  </si>
  <si>
    <t>CSD19531Q5A</t>
  </si>
  <si>
    <t>PJ added new params from PL;Added by Kris-Modified by Hadi</t>
  </si>
  <si>
    <t>http://www.ti.com/lit/ds/symlink/csd19531q5a.pdf</t>
  </si>
  <si>
    <t>CSD19532KTT</t>
  </si>
  <si>
    <t>Altium for Brett Barr</t>
  </si>
  <si>
    <t>CSD19532Q5B</t>
  </si>
  <si>
    <t>http://www.ti.com/lit/ds/symlink/csd19532q5b.pdf</t>
  </si>
  <si>
    <t>CSD19533KCS</t>
  </si>
  <si>
    <t>http://www.ti.com/lit/ds/symlink/csd19533kcs.pdf</t>
  </si>
  <si>
    <t>CSD19533Q5A</t>
  </si>
  <si>
    <t>PJ added new params from PL;Added by Hadi</t>
  </si>
  <si>
    <t>http://www.ti.com/lit/ds/symlink/csd19533q5a.pdf</t>
  </si>
  <si>
    <t>CSD19534KCS</t>
  </si>
  <si>
    <t>http://www.ti.com/lit/ds/symlink/csd19534kcs.pdf</t>
  </si>
  <si>
    <t>CSD19534Q5A</t>
  </si>
  <si>
    <t>http://www.ti.com/lit/ds/symlink/csd19534q5a.pdf</t>
  </si>
  <si>
    <t>CSD19535KCS</t>
  </si>
  <si>
    <t>http://www.ti.com/lit/ds/symlink/csd19535kcs.pdf</t>
  </si>
  <si>
    <t>CSD19535KTT</t>
  </si>
  <si>
    <t>http://www.ti.com/lit/ds/symlink/csd19535ktt.pdf</t>
  </si>
  <si>
    <t>CSD19536KCS</t>
  </si>
  <si>
    <t>http://www.ti.com/lit/ds/symlink/csd19536kcs.pdf</t>
  </si>
  <si>
    <t>CSD19537Q3</t>
  </si>
  <si>
    <t>http://www.ti.com/lit/ds/symlink/csd19537q3.pdf</t>
  </si>
  <si>
    <t>CSD19538Q2</t>
  </si>
  <si>
    <t>CSD19538Q3A</t>
  </si>
  <si>
    <t>Updated by PJ Bob for John Betten</t>
  </si>
  <si>
    <t>http://www.ti.com/lit/ds/symlink/csd19538q3a.pdf</t>
  </si>
  <si>
    <t>Datasheet Link</t>
  </si>
  <si>
    <t>RDSON</t>
  </si>
  <si>
    <t>RDSON6</t>
  </si>
  <si>
    <t>CSD19536KTT</t>
  </si>
  <si>
    <t>Rds(on) @ Tj</t>
  </si>
  <si>
    <t>http://www.ti.com/lit/ds/symlink/csd16323q3.pdf</t>
  </si>
  <si>
    <t>http://www.ti.com/lit/ds/symlink/csd19532ktt.pdf</t>
  </si>
  <si>
    <t>http://www.ti.com/lit/ds/symlink/csd19538q2.pdf</t>
  </si>
  <si>
    <t>CSD17581Q5A</t>
  </si>
  <si>
    <t>WB_MOSFET_N_D56789G4S124</t>
  </si>
  <si>
    <t>CSD18510KCS</t>
  </si>
  <si>
    <t>CSD18510KTT</t>
  </si>
  <si>
    <t>CSD18511KCS</t>
  </si>
  <si>
    <t>CSD18511KTT</t>
  </si>
  <si>
    <t>CSD18510Q5B</t>
  </si>
  <si>
    <t>CSD18543Q3A</t>
  </si>
  <si>
    <t>1KPRICE</t>
  </si>
  <si>
    <r>
      <t>BV</t>
    </r>
    <r>
      <rPr>
        <b/>
        <vertAlign val="subscript"/>
        <sz val="11"/>
        <color theme="1"/>
        <rFont val="Arial"/>
        <family val="2"/>
      </rPr>
      <t>DSS</t>
    </r>
    <r>
      <rPr>
        <b/>
        <sz val="11"/>
        <color theme="1"/>
        <rFont val="Arial"/>
        <family val="2"/>
      </rPr>
      <t xml:space="preserve"> (V)</t>
    </r>
  </si>
  <si>
    <r>
      <t>Q</t>
    </r>
    <r>
      <rPr>
        <b/>
        <vertAlign val="subscript"/>
        <sz val="11"/>
        <color theme="1"/>
        <rFont val="Arial"/>
        <family val="2"/>
      </rPr>
      <t>G(tot)</t>
    </r>
    <r>
      <rPr>
        <b/>
        <sz val="11"/>
        <color theme="1"/>
        <rFont val="Arial"/>
        <family val="2"/>
      </rPr>
      <t xml:space="preserve"> (V</t>
    </r>
    <r>
      <rPr>
        <b/>
        <vertAlign val="subscript"/>
        <sz val="11"/>
        <color theme="1"/>
        <rFont val="Arial"/>
        <family val="2"/>
      </rPr>
      <t>GS</t>
    </r>
    <r>
      <rPr>
        <b/>
        <sz val="11"/>
        <color theme="1"/>
        <rFont val="Arial"/>
        <family val="2"/>
      </rPr>
      <t xml:space="preserve">=4.5V) (nC) </t>
    </r>
  </si>
  <si>
    <r>
      <t>Q</t>
    </r>
    <r>
      <rPr>
        <b/>
        <vertAlign val="subscript"/>
        <sz val="11"/>
        <color theme="1"/>
        <rFont val="Arial"/>
        <family val="2"/>
      </rPr>
      <t xml:space="preserve">GD </t>
    </r>
    <r>
      <rPr>
        <b/>
        <sz val="11"/>
        <color theme="1"/>
        <rFont val="Arial"/>
        <family val="2"/>
      </rPr>
      <t>(nC)</t>
    </r>
  </si>
  <si>
    <t>RDSON3</t>
  </si>
  <si>
    <t>CSD17318Q2</t>
  </si>
  <si>
    <t>JW</t>
  </si>
  <si>
    <t>http://www.ti.com/lit/ds/symlink/csd17318q2.pdf</t>
  </si>
  <si>
    <t>http://www.ti.com/lit/ds/symlink/csd17581q5a.pdf</t>
  </si>
  <si>
    <t>http://www.ti.com/lit/ds/symlink/csd18510kcs.pdf</t>
  </si>
  <si>
    <t>http://www.ti.com/lit/ds/symlink/csd18510ktt.pdf</t>
  </si>
  <si>
    <t>http://www.ti.com/lit/ds/symlink/csd18510q5b.pdf</t>
  </si>
  <si>
    <t>http://www.ti.com/lit/ds/symlink/csd18511kcs.pdf</t>
  </si>
  <si>
    <t>http://www.ti.com/lit/ds/symlink/csd18511ktt.pdf</t>
  </si>
  <si>
    <t>http://www.ti.com/lit/ds/symlink/csd18543q3a.pdf</t>
  </si>
  <si>
    <t>2.5V&lt;=VGS&lt;3V</t>
  </si>
  <si>
    <t>3V&lt;=VGS&lt;4V</t>
  </si>
  <si>
    <t>4V&lt;=VGS&lt;5.5V</t>
  </si>
  <si>
    <t>5.5V&lt;=VGS&lt;7</t>
  </si>
  <si>
    <t>7V&lt;=VGS&lt;9V</t>
  </si>
  <si>
    <t>9V&lt;=VGS&lt;=16V</t>
  </si>
  <si>
    <t>3V</t>
  </si>
  <si>
    <t>6V</t>
  </si>
  <si>
    <t>8V</t>
  </si>
  <si>
    <t>10V</t>
  </si>
  <si>
    <t>User Input</t>
  </si>
  <si>
    <t>Datasheet Value</t>
  </si>
  <si>
    <t>Calculated Value</t>
  </si>
  <si>
    <r>
      <t>T</t>
    </r>
    <r>
      <rPr>
        <b/>
        <vertAlign val="subscript"/>
        <sz val="11"/>
        <color theme="1"/>
        <rFont val="Arial"/>
        <family val="2"/>
      </rPr>
      <t>J Max</t>
    </r>
    <r>
      <rPr>
        <b/>
        <sz val="11"/>
        <color theme="1"/>
        <rFont val="Arial"/>
        <family val="2"/>
      </rPr>
      <t xml:space="preserve">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</si>
  <si>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r>
      <t>R</t>
    </r>
    <r>
      <rPr>
        <b/>
        <vertAlign val="subscript"/>
        <sz val="11"/>
        <color theme="1"/>
        <rFont val="Arial"/>
        <family val="2"/>
      </rPr>
      <t>DS(ON)</t>
    </r>
    <r>
      <rPr>
        <b/>
        <sz val="11"/>
        <color theme="1"/>
        <rFont val="Arial"/>
        <family val="2"/>
      </rPr>
      <t xml:space="preserve"> @ T</t>
    </r>
    <r>
      <rPr>
        <b/>
        <vertAlign val="subscript"/>
        <sz val="11"/>
        <color theme="1"/>
        <rFont val="Arial"/>
        <family val="2"/>
      </rPr>
      <t>J</t>
    </r>
    <r>
      <rPr>
        <b/>
        <sz val="11"/>
        <color theme="1"/>
        <rFont val="Arial"/>
        <family val="2"/>
      </rPr>
      <t xml:space="preserve"> (mΩ)</t>
    </r>
  </si>
  <si>
    <r>
      <t>R</t>
    </r>
    <r>
      <rPr>
        <b/>
        <vertAlign val="subscript"/>
        <sz val="11"/>
        <color theme="1"/>
        <rFont val="Arial"/>
        <family val="2"/>
      </rPr>
      <t>DS(ON) Max</t>
    </r>
    <r>
      <rPr>
        <b/>
        <sz val="11"/>
        <color theme="1"/>
        <rFont val="Arial"/>
        <family val="2"/>
      </rPr>
      <t xml:space="preserve"> (m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Arial"/>
        <family val="2"/>
      </rPr>
      <t xml:space="preserve">) </t>
    </r>
  </si>
  <si>
    <t>Total MOSFET Losses (W)</t>
  </si>
  <si>
    <t>Choice 1</t>
  </si>
  <si>
    <t>Choice 2</t>
  </si>
  <si>
    <t>Choice 3</t>
  </si>
  <si>
    <r>
      <t>V</t>
    </r>
    <r>
      <rPr>
        <b/>
        <vertAlign val="subscript"/>
        <sz val="11"/>
        <color theme="1"/>
        <rFont val="Arial"/>
        <family val="2"/>
      </rPr>
      <t xml:space="preserve">GS Max </t>
    </r>
    <r>
      <rPr>
        <b/>
        <sz val="11"/>
        <color theme="1"/>
        <rFont val="Arial"/>
        <family val="2"/>
      </rPr>
      <t>(V)</t>
    </r>
  </si>
  <si>
    <r>
      <t>V</t>
    </r>
    <r>
      <rPr>
        <b/>
        <vertAlign val="subscript"/>
        <sz val="11"/>
        <color theme="1"/>
        <rFont val="Arial"/>
        <family val="2"/>
      </rPr>
      <t>GS(TH) Max</t>
    </r>
    <r>
      <rPr>
        <b/>
        <sz val="11"/>
        <color theme="1"/>
        <rFont val="Arial"/>
        <family val="2"/>
      </rPr>
      <t xml:space="preserve"> (V)</t>
    </r>
  </si>
  <si>
    <r>
      <t>V</t>
    </r>
    <r>
      <rPr>
        <b/>
        <vertAlign val="subscript"/>
        <sz val="11"/>
        <color theme="1"/>
        <rFont val="Arial"/>
        <family val="2"/>
      </rPr>
      <t>GS(TH) Min</t>
    </r>
    <r>
      <rPr>
        <b/>
        <sz val="11"/>
        <color theme="1"/>
        <rFont val="Arial"/>
        <family val="2"/>
      </rPr>
      <t xml:space="preserve"> (V)</t>
    </r>
  </si>
  <si>
    <t>Comments or suggestions should be posted on: e2e.ti.com</t>
  </si>
  <si>
    <t>3V&lt;=VD&lt;4.5V VGSmin&lt;=3V</t>
  </si>
  <si>
    <t>4.5V&lt;=VD&lt;6V VGSmin&lt;=4.5V</t>
  </si>
  <si>
    <t>6&lt;=VD&lt;8V VGSmin&lt;=6V</t>
  </si>
  <si>
    <t>8V&lt;=VD&lt;10V VGSmin&lt;=8V</t>
  </si>
  <si>
    <t>VD&gt;=10V VGSmin&lt;=10V</t>
  </si>
  <si>
    <t>MAX VDS OK OR(D:H)</t>
  </si>
  <si>
    <t>INCLUDED FETS IN DROPDOWN</t>
  </si>
  <si>
    <t>MOST BLANKS REMOVED ROW2 BLANK</t>
  </si>
  <si>
    <t>RDSON25 2.5V&lt;=VGS&lt;3V</t>
  </si>
  <si>
    <t>RDSON3 3V&lt;=VGS&lt;4V</t>
  </si>
  <si>
    <t>RDSON6 5.5V&lt;=VGS&lt;7</t>
  </si>
  <si>
    <t xml:space="preserve"> 4V&lt;=VGS&lt;5.5VRDS45</t>
  </si>
  <si>
    <t>RDSON8 7V&lt;=VGS&lt;9V</t>
  </si>
  <si>
    <t>RDSON10 9V&lt;=VGS&lt;=16V</t>
  </si>
  <si>
    <t>RDS_2V5</t>
  </si>
  <si>
    <t>RDS_3V</t>
  </si>
  <si>
    <t>RDS_4V5</t>
  </si>
  <si>
    <t>RDS_6V</t>
  </si>
  <si>
    <t>RDS_8V</t>
  </si>
  <si>
    <t>RDS_10V</t>
  </si>
  <si>
    <t>2V5</t>
  </si>
  <si>
    <t>4V5</t>
  </si>
  <si>
    <t>OR</t>
  </si>
  <si>
    <t>VGS_2V5</t>
  </si>
  <si>
    <t>VGS_3V</t>
  </si>
  <si>
    <t>VGS_4V5</t>
  </si>
  <si>
    <t>VGS_6V</t>
  </si>
  <si>
    <t>VGS_8V</t>
  </si>
  <si>
    <t>VGS_10V</t>
  </si>
  <si>
    <t>RDSONTJ</t>
  </si>
  <si>
    <t>QSW</t>
  </si>
  <si>
    <t>RGMAX</t>
  </si>
  <si>
    <t>PCOND</t>
  </si>
  <si>
    <t>PTOT</t>
  </si>
  <si>
    <t>COSS</t>
  </si>
  <si>
    <t>VMILLER</t>
  </si>
  <si>
    <t>QGTH</t>
  </si>
  <si>
    <t>VGTH</t>
  </si>
  <si>
    <r>
      <t>R</t>
    </r>
    <r>
      <rPr>
        <b/>
        <vertAlign val="subscript"/>
        <sz val="11"/>
        <color theme="1"/>
        <rFont val="Arial"/>
        <family val="2"/>
      </rPr>
      <t>G Typ</t>
    </r>
    <r>
      <rPr>
        <b/>
        <sz val="11"/>
        <color theme="1"/>
        <rFont val="Arial"/>
        <family val="2"/>
      </rPr>
      <t xml:space="preserve"> (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Arial"/>
        <family val="2"/>
      </rPr>
      <t>)</t>
    </r>
  </si>
  <si>
    <t>P</t>
  </si>
  <si>
    <t>CSD13381F4</t>
  </si>
  <si>
    <t>http://www.ti.com/lit/ds/symlink/csd13381f4.pdf</t>
  </si>
  <si>
    <t>LGA1X0.6</t>
  </si>
  <si>
    <t>CSD13383F4</t>
  </si>
  <si>
    <t>WB_MOSFET_N_D3G1S2_PD2</t>
  </si>
  <si>
    <t>YJC0003A</t>
  </si>
  <si>
    <t>Altium for Kristen Mogensen</t>
  </si>
  <si>
    <t>http://www.ti.com/lit/ds/symlink/csd13383f4.pdf</t>
  </si>
  <si>
    <t>CSD15380F3</t>
  </si>
  <si>
    <t>WB_MOSFET_N_D3G1S2_PD_RES</t>
  </si>
  <si>
    <t>YJM0003A</t>
  </si>
  <si>
    <t>Altium for Aymeric NICOLAS; changed partID to 146 Pjella and updated NexFEt parameters</t>
  </si>
  <si>
    <t>http://www.ti.com/lit/ds/symlink/csd15380f3.pdf</t>
  </si>
  <si>
    <t>LGA0.6X0.7</t>
  </si>
  <si>
    <t>CSD17381F4</t>
  </si>
  <si>
    <t>http://www.ti.com/lit/ds/symlink/csd17381f4.pdf</t>
  </si>
  <si>
    <t>CSD17382F4</t>
  </si>
  <si>
    <t>http://www.ti.com/lit/ds/symlink/csd17382f4.pdf</t>
  </si>
  <si>
    <t>CSD17483F4</t>
  </si>
  <si>
    <t>http://www.ti.com/lit/ds/symlink/csd17483f4.pdf</t>
  </si>
  <si>
    <t>CSD17484F4</t>
  </si>
  <si>
    <t>http://www.ti.com/lit/ds/symlink/csd17484f4.pdf</t>
  </si>
  <si>
    <t>YJK0003A</t>
  </si>
  <si>
    <t>CSD18541F5</t>
  </si>
  <si>
    <t>WB_MOSFET_N_D3G1S2</t>
  </si>
  <si>
    <t>http://www.ti.com/lit/ds/symlink/csd18541f5.pdf</t>
  </si>
  <si>
    <t>LGA1.5X0.8</t>
  </si>
  <si>
    <t>CSD13380F3</t>
  </si>
  <si>
    <t>CSD13385F5</t>
  </si>
  <si>
    <t>CSD17585F5</t>
  </si>
  <si>
    <t>CSD13201W10</t>
  </si>
  <si>
    <t>Added by PJ</t>
  </si>
  <si>
    <t>http://www.ti.com/lit/ds/symlink/csd13201w10.pdf</t>
  </si>
  <si>
    <t>WLP1X1</t>
  </si>
  <si>
    <t>CSD13302W</t>
  </si>
  <si>
    <t>WB_MOSFET_N_DB1B2GA1SA2</t>
  </si>
  <si>
    <t>YZB0004AEAE</t>
  </si>
  <si>
    <t>PJ added New; Oliver set Mount Automotive Thermal_Id and symbol set to A</t>
  </si>
  <si>
    <t>http://www.ti.com/lit/ds/symlink/csd13302w.pdf</t>
  </si>
  <si>
    <t>CSD13303W1015</t>
  </si>
  <si>
    <t>http://www.ti.com/lit/ds/symlink/csd13303w1015.pdf</t>
  </si>
  <si>
    <t>WLP1X1.5</t>
  </si>
  <si>
    <t>CSD13306W</t>
  </si>
  <si>
    <t>WB_MOSFET_N_DA1B1C1GA2SB2C2</t>
  </si>
  <si>
    <t>YZC0006ABAB</t>
  </si>
  <si>
    <t>PJ added New; Oliver set Mount Automotive Thermal_Id and Symbol and set to A</t>
  </si>
  <si>
    <t>http://www.ti.com/lit/ds/symlink/csd13306w.pdf</t>
  </si>
  <si>
    <t>RDSON18</t>
  </si>
  <si>
    <t>http://www.ti.com/lit/ds/symlink/csd13380f3.pdf</t>
  </si>
  <si>
    <t>http://www.ti.com/lit/ds/symlink/csd13385f5.pdf</t>
  </si>
  <si>
    <t>http://www.ti.com/lit/ds/symlink/csd17485f5.pdf</t>
  </si>
  <si>
    <t>VD&lt;2.5V &amp; VGS=1.8V</t>
  </si>
  <si>
    <t>RDS_1V8</t>
  </si>
  <si>
    <t>1V8</t>
  </si>
  <si>
    <t>VGS_1V8</t>
  </si>
  <si>
    <t>RDSON18 1.8V&lt;=VGS&lt;2.5V</t>
  </si>
  <si>
    <t>2.5V&lt;=VD&lt;3V VGSmin&lt;=2.5V</t>
  </si>
  <si>
    <t>VGS OK OR(J:P)</t>
  </si>
  <si>
    <t>INCLUDE FET AND(C,I,Q)</t>
  </si>
  <si>
    <t>BVDSS&lt;=30V IF VIN&lt;=27V</t>
  </si>
  <si>
    <t>BVDSS=40V IF 20V&lt;=VIN&lt;=36V</t>
  </si>
  <si>
    <t>BVDSS=60V IF 25V&lt;=VIN&lt;=54V</t>
  </si>
  <si>
    <t>BVDSS=80V IF 36V&lt;=VIN&lt;=72V</t>
  </si>
  <si>
    <t>BVDSS=100V IF 48V&lt;=VIN&lt;=90V</t>
  </si>
  <si>
    <t>1.8V&lt;=VGS&lt;2.5V</t>
  </si>
  <si>
    <t>SELECT RDS(ON) CLOSEST TO VDRIVE FOR FET 1</t>
  </si>
  <si>
    <t>SELECT RDS(ON) CLOSEST TO VDRIVE FOR FET 2</t>
  </si>
  <si>
    <t>SELECT RDS(ON) CLOSEST TO VDRIVE FOR FET 3</t>
  </si>
  <si>
    <t>HIGH</t>
  </si>
  <si>
    <t>LOW</t>
  </si>
  <si>
    <t>CSD22202W15</t>
  </si>
  <si>
    <t>http://www.ti.com/lit/ds/symlink/csd22202w15.pdf</t>
  </si>
  <si>
    <t>WLP1.5X1.5</t>
  </si>
  <si>
    <t>CSD22204W</t>
  </si>
  <si>
    <t>http://www.ti.com/lit/ds/symlink/csd22204w.pdf</t>
  </si>
  <si>
    <t>CSD22205L</t>
  </si>
  <si>
    <t>http://www.ti.com/lit/ds/symlink/csd22205l.pdf</t>
  </si>
  <si>
    <t>LGA1.2X1.2</t>
  </si>
  <si>
    <t>CSD22206W</t>
  </si>
  <si>
    <t>http://www.ti.com/lit/ds/symlink/csd22206w.pdf</t>
  </si>
  <si>
    <t>CSD23202W10</t>
  </si>
  <si>
    <t>http://www.ti.com/lit/ds/symlink/csd23202w10.pdf</t>
  </si>
  <si>
    <t>CSD23203W</t>
  </si>
  <si>
    <t>http://www.ti.com/lit/ds/symlink/csd23203w.pdf</t>
  </si>
  <si>
    <t>CSD23280F3</t>
  </si>
  <si>
    <t>WB_MOSFET_P_D3G1S2_PD_RES</t>
  </si>
  <si>
    <t>Altium for Philip Beard</t>
  </si>
  <si>
    <t>http://www.ti.com/lit/ds/symlink/csd23280f3.pdf</t>
  </si>
  <si>
    <t>CSD23285F5</t>
  </si>
  <si>
    <t>http://www.ti.com/lit/ds/symlink/csd23285f5.pdf</t>
  </si>
  <si>
    <t>LGA0.8X1.5</t>
  </si>
  <si>
    <t>CSD23381F4</t>
  </si>
  <si>
    <t>http://www.ti.com/lit/ds/symlink/csd23381f4.pdf</t>
  </si>
  <si>
    <t>CSD23382F4</t>
  </si>
  <si>
    <t>WB_MOSFET_P_D3G1S2_PD</t>
  </si>
  <si>
    <t>Updated by PJ Updated by Bob</t>
  </si>
  <si>
    <t>http://www.ti.com/lit/ds/symlink/csd23382f4.pdf</t>
  </si>
  <si>
    <t>CSD25202W15</t>
  </si>
  <si>
    <t>R-XGBA-N6</t>
  </si>
  <si>
    <t>http://www.ti.com/lit/ds/symlink/csd25202w1015.pdf</t>
  </si>
  <si>
    <t>CSD25211W1015</t>
  </si>
  <si>
    <t>WB_MOSFET_P_D56G1S234</t>
  </si>
  <si>
    <t>S-XBGA-N4</t>
  </si>
  <si>
    <t>http://www.ti.com/lit/ds/symlink/csd25211w1015.pdf</t>
  </si>
  <si>
    <t>CSD25213W10</t>
  </si>
  <si>
    <t>WB_MOSFET_P_D3G1S24</t>
  </si>
  <si>
    <t>http://www.ti.com/lit/ds/symlink/csd25213w10.pdf</t>
  </si>
  <si>
    <t>CSD25304W1015</t>
  </si>
  <si>
    <t>TRANS_NexFET_Q2</t>
  </si>
  <si>
    <t>http://www.ti.com/lit/ds/symlink/csd25304w1015.pdf</t>
  </si>
  <si>
    <t>CSD25310Q2</t>
  </si>
  <si>
    <t>WB_MOSFET_P_D4G3S1256</t>
  </si>
  <si>
    <t>http://www.ti.com/lit/ds/symlink/csd25310q2.pdf</t>
  </si>
  <si>
    <t>CSD25402Q3A</t>
  </si>
  <si>
    <t>WB_MOSFET_P_D123G4S56789</t>
  </si>
  <si>
    <t>DBA - vasudev_g@ti.com: Schematic_Symbol "WB_MOSFET_P_D123G4S56789" -&gt; "WB_MOSFET_P_D123G4S5678" - 2016-08-18 23:04:38.656812</t>
  </si>
  <si>
    <t>http://www.ti.com/lit/ds/symlink/csd25402q3a.pdf</t>
  </si>
  <si>
    <t>CSD25404Q3</t>
  </si>
  <si>
    <t>WB_MOSFET_P_D123G4S5678</t>
  </si>
  <si>
    <t>Altium for Kevin O'Connell</t>
  </si>
  <si>
    <t>CSD25480F3</t>
  </si>
  <si>
    <t>Altium for Aymeric NICOLAS</t>
  </si>
  <si>
    <t>http://www.ti.com/lit/ds/symlink/csd25480f3.pdf</t>
  </si>
  <si>
    <t>CSD25481F4</t>
  </si>
  <si>
    <t>http://www.ti.com/lit/ds/symlink/csd25481f4.pdf</t>
  </si>
  <si>
    <t>CSD25483F4</t>
  </si>
  <si>
    <t>http://www.ti.com/lit/ds/symlink/csd25483f4.pdf</t>
  </si>
  <si>
    <t>CSD25484F4</t>
  </si>
  <si>
    <t>http://www.ti.com/lit/ds/symlink/csd25484f4.pdf</t>
  </si>
  <si>
    <t>CSD25485F5</t>
  </si>
  <si>
    <t>Bob for Dave Parks</t>
  </si>
  <si>
    <t>http://www.ti.com/lit/ds/symlink/csd25485f5.pdf</t>
  </si>
  <si>
    <t>CSD25501F3</t>
  </si>
  <si>
    <t>RDSON15</t>
  </si>
  <si>
    <t>VGS_VDS_OK BVDSS&gt;=1.1xVIN VGS&gt;=1.1xVDR ILOAD &lt;= IDSMAX</t>
  </si>
  <si>
    <t>TI NexFET Load Switch Power Loss Calculation Tool- Rev. A</t>
  </si>
  <si>
    <t>VD&lt;1.8V &amp; VGS=1.5V</t>
  </si>
  <si>
    <t>2.5V&lt;=VD&lt;4.5V VGSmin&lt;=2.5V</t>
  </si>
  <si>
    <t>4.5V&lt;=VD&lt;8V VGSmin&lt;=4.5V</t>
  </si>
  <si>
    <t>VD&gt;=8V VGSmin&lt;=8V</t>
  </si>
  <si>
    <t>1.8V&lt;=VD&lt;2.5V VGSmin&lt;=1.8V</t>
  </si>
  <si>
    <t>RDS_1V5</t>
  </si>
  <si>
    <t>1V5</t>
  </si>
  <si>
    <t>VGS_1V5</t>
  </si>
  <si>
    <t>1.5V&lt;=VGS&lt;1.8V</t>
  </si>
  <si>
    <t>2.5V&lt;=VGS&lt;4V</t>
  </si>
  <si>
    <t>4V&lt;=VGS&lt;7V</t>
  </si>
  <si>
    <t>7V&lt;=VGS&lt;=12V</t>
  </si>
  <si>
    <t>http://www.ti.com/power-management/mosfets/n-channel-transistors/products.html#p1143=Single&amp;sort=o1;asc</t>
  </si>
  <si>
    <t>http://www.ti.com/power-management/mosfets/p-channel-transistors/products.html#p1143=Single&amp;sort=o1;asc</t>
  </si>
  <si>
    <t>PN, PKG, PLOSS, $/1ku</t>
  </si>
  <si>
    <t>Value is Fixed</t>
  </si>
  <si>
    <r>
      <t>Gate Drive Voltage, V</t>
    </r>
    <r>
      <rPr>
        <b/>
        <vertAlign val="subscript"/>
        <sz val="11"/>
        <color theme="1"/>
        <rFont val="Arial"/>
        <family val="2"/>
      </rPr>
      <t>G</t>
    </r>
    <r>
      <rPr>
        <b/>
        <sz val="11"/>
        <color theme="1"/>
        <rFont val="Arial"/>
        <family val="2"/>
      </rPr>
      <t xml:space="preserve"> (V)</t>
    </r>
  </si>
  <si>
    <r>
      <t>Input Voltage, V</t>
    </r>
    <r>
      <rPr>
        <b/>
        <vertAlign val="subscript"/>
        <sz val="11"/>
        <color theme="1"/>
        <rFont val="Arial"/>
        <family val="2"/>
      </rPr>
      <t>IN</t>
    </r>
    <r>
      <rPr>
        <b/>
        <sz val="11"/>
        <color theme="1"/>
        <rFont val="Arial"/>
        <family val="2"/>
      </rPr>
      <t xml:space="preserve"> (V)</t>
    </r>
  </si>
  <si>
    <r>
      <t>Max Load Current, I</t>
    </r>
    <r>
      <rPr>
        <b/>
        <vertAlign val="subscript"/>
        <sz val="11"/>
        <color theme="1"/>
        <rFont val="Arial"/>
        <family val="2"/>
      </rPr>
      <t>LOAD</t>
    </r>
    <r>
      <rPr>
        <b/>
        <sz val="11"/>
        <color theme="1"/>
        <rFont val="Arial"/>
        <family val="2"/>
      </rPr>
      <t xml:space="preserve"> (A)</t>
    </r>
  </si>
  <si>
    <t>VGSMIN</t>
  </si>
  <si>
    <t>RESULTS</t>
  </si>
  <si>
    <t>PN</t>
  </si>
  <si>
    <t>↓↓↓↓↓↓↓↓↓↓↓↓↓↓↓↓↓↓↓↓</t>
  </si>
  <si>
    <t>↑↑↑↑↑↑↑↑↑↑↑↑↑↑↑↑↑↑↑↑</t>
  </si>
  <si>
    <r>
      <t>Junction Temperature, T</t>
    </r>
    <r>
      <rPr>
        <b/>
        <vertAlign val="subscript"/>
        <sz val="11"/>
        <color theme="1"/>
        <rFont val="Arial"/>
        <family val="2"/>
      </rPr>
      <t>J</t>
    </r>
    <r>
      <rPr>
        <b/>
        <sz val="11"/>
        <color theme="1"/>
        <rFont val="Arial"/>
        <family val="2"/>
      </rPr>
      <t xml:space="preserve"> (ºC)</t>
    </r>
  </si>
  <si>
    <t>https://www.ti.com/lit/ds/symlink/csd25404q3.pdf</t>
  </si>
  <si>
    <t>CSD17501Q5A</t>
  </si>
  <si>
    <t>CSD17505Q5A</t>
  </si>
  <si>
    <t>CSD17506Q5A</t>
  </si>
  <si>
    <t>CSD17507Q5A</t>
  </si>
  <si>
    <t>CSD17510Q5A</t>
  </si>
  <si>
    <t>CSD17522Q5A</t>
  </si>
  <si>
    <t>CSD17527Q5A</t>
  </si>
  <si>
    <t>CSD17551Q3A</t>
  </si>
  <si>
    <t>CSD17551Q5A</t>
  </si>
  <si>
    <t>CSD17552Q3A</t>
  </si>
  <si>
    <t>CSD17552Q5A</t>
  </si>
  <si>
    <t>CSD17553Q5A</t>
  </si>
  <si>
    <t>CSD17555Q5A</t>
  </si>
  <si>
    <t>http://www.ti.com/lit/ds/symlink/csd17501q5a.pdf</t>
  </si>
  <si>
    <t>http://www.ti.com/lit/ds/symlink/csd17505q5a.pdf</t>
  </si>
  <si>
    <t>http://www.ti.com/lit/ds/symlink/csd17506q5a.pdf</t>
  </si>
  <si>
    <t>http://www.ti.com/lit/ds/symlink/csd17507q5a.pdf</t>
  </si>
  <si>
    <t>http://www.ti.com/lit/ds/symlink/csd17510q5a.pdf</t>
  </si>
  <si>
    <t>http://www.ti.com/lit/ds/symlink/csd17522q5a.pdf</t>
  </si>
  <si>
    <t>http://www.ti.com/lit/ds/symlink/csd17527q5a.pdf</t>
  </si>
  <si>
    <t>http://www.ti.com/lit/ds/symlink/csd17551q3a.pdf</t>
  </si>
  <si>
    <t>http://www.ti.com/lit/ds/symlink/csd17551q5a.pdf</t>
  </si>
  <si>
    <t>http://www.ti.com/lit/ds/symlink/csd17552q3a.pdf</t>
  </si>
  <si>
    <t>http://www.ti.com/lit/ds/symlink/csd17552q5a.pdf</t>
  </si>
  <si>
    <t>http://www.ti.com/lit/ds/symlink/csd17553q5a.pdf</t>
  </si>
  <si>
    <t>http://www.ti.com/lit/ds/symlink/csd17555q5a.pdf</t>
  </si>
  <si>
    <r>
      <t>V</t>
    </r>
    <r>
      <rPr>
        <b/>
        <vertAlign val="subscript"/>
        <sz val="11"/>
        <color theme="1"/>
        <rFont val="Arial"/>
        <family val="2"/>
      </rPr>
      <t>GS</t>
    </r>
    <r>
      <rPr>
        <b/>
        <sz val="11"/>
        <color theme="1"/>
        <rFont val="Arial"/>
        <family val="2"/>
      </rPr>
      <t xml:space="preserve"> Drive (V)</t>
    </r>
  </si>
  <si>
    <t>Invalid, Enter a Different Value</t>
  </si>
  <si>
    <r>
      <t>V</t>
    </r>
    <r>
      <rPr>
        <b/>
        <vertAlign val="subscript"/>
        <sz val="11"/>
        <color theme="1"/>
        <rFont val="Arial"/>
        <family val="2"/>
      </rPr>
      <t>GS Min</t>
    </r>
    <r>
      <rPr>
        <b/>
        <sz val="11"/>
        <color theme="1"/>
        <rFont val="Arial"/>
        <family val="2"/>
      </rPr>
      <t xml:space="preserve"> @ R</t>
    </r>
    <r>
      <rPr>
        <b/>
        <vertAlign val="subscript"/>
        <sz val="11"/>
        <color theme="1"/>
        <rFont val="Arial"/>
        <family val="2"/>
      </rPr>
      <t>DS(ON)</t>
    </r>
    <r>
      <rPr>
        <b/>
        <sz val="11"/>
        <color theme="1"/>
        <rFont val="Arial"/>
        <family val="2"/>
      </rPr>
      <t xml:space="preserve"> spec'd (V)</t>
    </r>
  </si>
  <si>
    <t>Step 1: Input System Parameters</t>
  </si>
  <si>
    <t>Step 2: Click The Blue Button Below</t>
  </si>
  <si>
    <r>
      <t xml:space="preserve">Step 2: Click on the big blue </t>
    </r>
    <r>
      <rPr>
        <i/>
        <sz val="10"/>
        <rFont val="Arial"/>
        <family val="2"/>
      </rPr>
      <t>Start FET Selection</t>
    </r>
    <r>
      <rPr>
        <sz val="10"/>
        <rFont val="Arial"/>
        <family val="2"/>
      </rPr>
      <t xml:space="preserve"> button.</t>
    </r>
  </si>
  <si>
    <t>The yellow cells are from the FET datasheet. The green cells are calculated values.</t>
  </si>
  <si>
    <r>
      <t xml:space="preserve">Step 1: Fill in the blue </t>
    </r>
    <r>
      <rPr>
        <i/>
        <sz val="10"/>
        <rFont val="Arial"/>
        <family val="2"/>
      </rPr>
      <t>System Parameters</t>
    </r>
    <r>
      <rPr>
        <sz val="10"/>
        <rFont val="Arial"/>
        <family val="2"/>
      </rPr>
      <t xml:space="preserve"> cells</t>
    </r>
    <r>
      <rPr>
        <sz val="10"/>
        <rFont val="Arial"/>
        <family val="2"/>
      </rPr>
      <t xml:space="preserve">. </t>
    </r>
  </si>
  <si>
    <r>
      <rPr>
        <i/>
        <sz val="10"/>
        <rFont val="Arial"/>
        <family val="2"/>
      </rPr>
      <t>User Input</t>
    </r>
    <r>
      <rPr>
        <sz val="10"/>
        <rFont val="Arial"/>
        <family val="2"/>
      </rPr>
      <t xml:space="preserve"> Worksheet Instructions:</t>
    </r>
  </si>
  <si>
    <r>
      <t xml:space="preserve">Refer to </t>
    </r>
    <r>
      <rPr>
        <i/>
        <sz val="10"/>
        <rFont val="Arial"/>
        <family val="2"/>
      </rPr>
      <t xml:space="preserve">Circuit Diagrams </t>
    </r>
    <r>
      <rPr>
        <sz val="10"/>
        <rFont val="Arial"/>
        <family val="2"/>
      </rPr>
      <t>Worksheet for application circuits.</t>
    </r>
  </si>
  <si>
    <t>Click Here to See FET Power Loss Capability by Package</t>
  </si>
  <si>
    <t>Select N or P Channel FET in B4</t>
  </si>
  <si>
    <t>Select High or Low Side Switch in B5</t>
  </si>
  <si>
    <r>
      <t xml:space="preserve">FET Comparison </t>
    </r>
    <r>
      <rPr>
        <b/>
        <sz val="12"/>
        <color theme="1"/>
        <rFont val="Calibri"/>
        <family val="2"/>
      </rPr>
      <t>→→→→</t>
    </r>
  </si>
  <si>
    <t>CSD83325L</t>
  </si>
  <si>
    <t>CSD85301Q2</t>
  </si>
  <si>
    <t>CSD85312Q3E</t>
  </si>
  <si>
    <t>CSD86311W1723</t>
  </si>
  <si>
    <t>CSD87312Q3E</t>
  </si>
  <si>
    <t>CSD87501L</t>
  </si>
  <si>
    <t>CSD87502Q2</t>
  </si>
  <si>
    <t>CSD87503Q3E</t>
  </si>
  <si>
    <t>CSD88537ND</t>
  </si>
  <si>
    <t>CSD88539ND</t>
  </si>
  <si>
    <t>CSD75207W15</t>
  </si>
  <si>
    <t>CSD75208W1015</t>
  </si>
  <si>
    <t>WB_MOSFET_N_G1B1S1A1C1_N_G2B2S2A2C2</t>
  </si>
  <si>
    <t>YJE0006A</t>
  </si>
  <si>
    <t>Altium for Dhanraj Amin</t>
  </si>
  <si>
    <t>http://www.ti.com/lit/ds/symlink/csd83325l.pdf</t>
  </si>
  <si>
    <t>WB_MOSFET_N_D67G2S1_N_D38G5S4_PD</t>
  </si>
  <si>
    <t>DQK0006B</t>
  </si>
  <si>
    <t>Bob for Kevin Tsin</t>
  </si>
  <si>
    <t>http://www.ti.com/lit/ds/symlink/csd85301q2.pdf</t>
  </si>
  <si>
    <t>CSD85301Q2T</t>
  </si>
  <si>
    <t>Bob for Tanner</t>
  </si>
  <si>
    <t>WB_CSD85312Q3E</t>
  </si>
  <si>
    <t>DPA0008A</t>
  </si>
  <si>
    <t>Altium for Yingyang Ou</t>
  </si>
  <si>
    <t>http://www.ti.com/lit/ds/symlink/csd85312q3e.pdf</t>
  </si>
  <si>
    <t>WB_MOSFET_CSD86311W1723</t>
  </si>
  <si>
    <t>YZG0012ALAR</t>
  </si>
  <si>
    <t>Pauline for Adam Hoover</t>
  </si>
  <si>
    <t>http://www.ti.com/lit/ds/symlink/csd86311w1723.pdf</t>
  </si>
  <si>
    <t>WB_MOSFET_N_D1234G5S9_N_D678G5S9</t>
  </si>
  <si>
    <t>DPB0008A</t>
  </si>
  <si>
    <t>Bob for Charles Mauney; Oliver updated Thermal_Id</t>
  </si>
  <si>
    <t>http://www.ti.com/lit/ds/symlink/csd87312q3e.pdf</t>
  </si>
  <si>
    <t>WB_MOSFET_N_GC2SA2B2D2E2_N_GC1SA1B1D1E1</t>
  </si>
  <si>
    <t>YJG0010A</t>
  </si>
  <si>
    <t>Altium for Louis Peryea</t>
  </si>
  <si>
    <t>http://www.ti.com/lit/ds/symlink/csd87501l.pdf</t>
  </si>
  <si>
    <t>Altium for Yinyang Ou</t>
  </si>
  <si>
    <t>http://www.ti.com/lit/ds/symlink/csd87502q2.pdf</t>
  </si>
  <si>
    <t>WB_MOSFET_N_D123G4S9_N_D678G5S9</t>
  </si>
  <si>
    <t>DQZ0008A</t>
  </si>
  <si>
    <t>Bob for Jonathan Noquil</t>
  </si>
  <si>
    <t>http://sps06.itg.ti.com/sites/KMS/crossdivteams/altium/docs/ComponentDatasheets/CSD87503Q3E.pdf</t>
  </si>
  <si>
    <t>WB_MOSFET_N_D78G2S1_N_D56G4S3</t>
  </si>
  <si>
    <t>D0008A</t>
  </si>
  <si>
    <t>http://www.ti.com/lit/ds/symlink/csd88537nd.pdf</t>
  </si>
  <si>
    <t>Bob for Sanjay Pithadia</t>
  </si>
  <si>
    <t>http://www.ti.com/lit/ds/symlink/csd88539nd.pdf</t>
  </si>
  <si>
    <t>http://www.ti.com/lit/ds/symlink/csd75207w15.pdf</t>
  </si>
  <si>
    <t>WB_MOSFET_P_DA1GA2SB1_P_DC2GC1SB2</t>
  </si>
  <si>
    <t>YZC0006ABBB</t>
  </si>
  <si>
    <t>Updated by PJ; Oliver set ChNum to 2 and set a few parameters</t>
  </si>
  <si>
    <t>http://www.ti.com/lit/ds/symlink/csd75208w1015.pdf</t>
  </si>
  <si>
    <t>1ku Price*</t>
  </si>
  <si>
    <t>*1ku pricing provided for comparison purposes only and subject to change without notification</t>
  </si>
  <si>
    <t>Sort FETs by</t>
  </si>
  <si>
    <t xml:space="preserve">          $/1ku              Ploss                 Pkg</t>
  </si>
  <si>
    <t>FET #</t>
  </si>
  <si>
    <t>TI PN</t>
  </si>
  <si>
    <t>PLOSS</t>
  </si>
  <si>
    <t>VGS</t>
  </si>
  <si>
    <t>PDISSmax</t>
  </si>
  <si>
    <t>PKG</t>
  </si>
  <si>
    <t>Pdmax</t>
  </si>
  <si>
    <t>PKG ID</t>
  </si>
  <si>
    <t>Step 3:</t>
  </si>
  <si>
    <t>Color Codes</t>
  </si>
  <si>
    <r>
      <t>Calculated P</t>
    </r>
    <r>
      <rPr>
        <b/>
        <vertAlign val="subscript"/>
        <sz val="11"/>
        <rFont val="Arial"/>
        <family val="2"/>
      </rPr>
      <t>LOSS</t>
    </r>
    <r>
      <rPr>
        <b/>
        <sz val="11"/>
        <rFont val="Arial"/>
        <family val="2"/>
      </rPr>
      <t xml:space="preserve"> &lt; 80% of P</t>
    </r>
    <r>
      <rPr>
        <b/>
        <vertAlign val="subscript"/>
        <sz val="11"/>
        <rFont val="Arial"/>
        <family val="2"/>
      </rPr>
      <t>DISS</t>
    </r>
  </si>
  <si>
    <r>
      <t>Calculated P</t>
    </r>
    <r>
      <rPr>
        <b/>
        <vertAlign val="subscript"/>
        <sz val="11"/>
        <color theme="1"/>
        <rFont val="Arial"/>
        <family val="2"/>
      </rPr>
      <t>LOSS</t>
    </r>
    <r>
      <rPr>
        <b/>
        <sz val="11"/>
        <color theme="1"/>
        <rFont val="Arial"/>
        <family val="2"/>
      </rPr>
      <t xml:space="preserve"> &gt; 80% of P</t>
    </r>
    <r>
      <rPr>
        <b/>
        <vertAlign val="subscript"/>
        <sz val="11"/>
        <color theme="1"/>
        <rFont val="Arial"/>
        <family val="2"/>
      </rPr>
      <t>DISS</t>
    </r>
  </si>
  <si>
    <r>
      <t>Calculated P</t>
    </r>
    <r>
      <rPr>
        <b/>
        <vertAlign val="subscript"/>
        <sz val="11"/>
        <color theme="1"/>
        <rFont val="Arial"/>
        <family val="2"/>
      </rPr>
      <t>LOSS</t>
    </r>
    <r>
      <rPr>
        <b/>
        <sz val="11"/>
        <color theme="1"/>
        <rFont val="Arial"/>
        <family val="2"/>
      </rPr>
      <t xml:space="preserve"> &gt; P</t>
    </r>
    <r>
      <rPr>
        <b/>
        <vertAlign val="subscript"/>
        <sz val="11"/>
        <color theme="1"/>
        <rFont val="Arial"/>
        <family val="2"/>
      </rPr>
      <t>DISS</t>
    </r>
  </si>
  <si>
    <t>Step 3: Select a sorting method and use the pulldown lists to select and compare up to 3 different devices.</t>
  </si>
  <si>
    <t>This worksheet is designed with Microsoft Excel 2019.  Its use is intended to assist power supply designers in their routine, day-to-day</t>
  </si>
  <si>
    <t>Select FETs from Pulldown in Cells E6 - G6</t>
  </si>
  <si>
    <t>©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</si>
</sst>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&quot;$&quot;#,##0.00"/>
    <numFmt numFmtId="166" formatCode="0.000"/>
    <numFmt numFmtId="167" formatCode=";;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sz val="12"/>
      <name val="MS Sans Serif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0"/>
      <name val="Arial"/>
      <family val="2"/>
    </font>
    <font>
      <b/>
      <u/>
      <sz val="14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Arial"/>
      <family val="2"/>
    </font>
    <font>
      <b/>
      <sz val="12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b/>
      <sz val="12"/>
      <color theme="5" tint="-0.249977111117893"/>
      <name val="Arial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  <font>
      <b/>
      <vertAlign val="subscript"/>
      <sz val="11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ED7C6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39"/>
      </right>
      <top/>
      <bottom style="thick">
        <color indexed="39"/>
      </bottom>
      <diagonal/>
    </border>
    <border>
      <left/>
      <right/>
      <top/>
      <bottom style="thick">
        <color indexed="39"/>
      </bottom>
      <diagonal/>
    </border>
    <border>
      <left style="thick">
        <color indexed="39"/>
      </left>
      <right/>
      <top/>
      <bottom style="thick">
        <color indexed="39"/>
      </bottom>
      <diagonal/>
    </border>
    <border>
      <left/>
      <right style="thick">
        <color indexed="39"/>
      </right>
      <top/>
      <bottom/>
      <diagonal/>
    </border>
    <border>
      <left style="thick">
        <color indexed="39"/>
      </left>
      <right/>
      <top/>
      <bottom/>
      <diagonal/>
    </border>
    <border>
      <left/>
      <right style="thick">
        <color indexed="39"/>
      </right>
      <top style="thick">
        <color indexed="39"/>
      </top>
      <bottom/>
      <diagonal/>
    </border>
    <border>
      <left/>
      <right/>
      <top style="thick">
        <color indexed="39"/>
      </top>
      <bottom/>
      <diagonal/>
    </border>
    <border>
      <left style="thick">
        <color indexed="39"/>
      </left>
      <right/>
      <top style="thick">
        <color indexed="3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1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22" fillId="0" borderId="30" applyNumberFormat="0" applyFill="0" applyAlignment="0" applyProtection="0"/>
    <xf numFmtId="0" fontId="23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14" borderId="0" applyNumberFormat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32" applyNumberFormat="0" applyAlignment="0" applyProtection="0"/>
    <xf numFmtId="0" fontId="28" fillId="18" borderId="33" applyNumberFormat="0" applyAlignment="0" applyProtection="0"/>
    <xf numFmtId="0" fontId="29" fillId="18" borderId="32" applyNumberFormat="0" applyAlignment="0" applyProtection="0"/>
    <xf numFmtId="0" fontId="30" fillId="0" borderId="34" applyNumberFormat="0" applyFill="0" applyAlignment="0" applyProtection="0"/>
    <xf numFmtId="0" fontId="16" fillId="19" borderId="35" applyNumberFormat="0" applyAlignment="0" applyProtection="0"/>
    <xf numFmtId="0" fontId="31" fillId="0" borderId="0" applyNumberFormat="0" applyFill="0" applyBorder="0" applyAlignment="0" applyProtection="0"/>
    <xf numFmtId="0" fontId="19" fillId="20" borderId="36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37" applyNumberFormat="0" applyFill="0" applyAlignment="0" applyProtection="0"/>
    <xf numFmtId="0" fontId="34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4" fillId="44" borderId="0" applyNumberFormat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 applyAlignment="1">
      <alignment horizontal="center"/>
    </xf>
    <xf numFmtId="0" fontId="0" fillId="3" borderId="0" xfId="0" applyFill="1"/>
    <xf numFmtId="0" fontId="2" fillId="0" borderId="0" xfId="0" applyFont="1" applyAlignment="1"/>
    <xf numFmtId="0" fontId="1" fillId="0" borderId="0" xfId="0" applyFont="1" applyAlignment="1" applyProtection="1">
      <alignment vertical="center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2" fontId="0" fillId="0" borderId="0" xfId="0" applyNumberFormat="1" applyAlignment="1">
      <alignment wrapText="1"/>
    </xf>
    <xf numFmtId="0" fontId="0" fillId="0" borderId="0" xfId="0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wrapText="1"/>
    </xf>
    <xf numFmtId="0" fontId="0" fillId="10" borderId="0" xfId="0" applyFill="1"/>
    <xf numFmtId="0" fontId="0" fillId="10" borderId="0" xfId="0" applyFill="1" applyAlignment="1">
      <alignment wrapText="1"/>
    </xf>
    <xf numFmtId="0" fontId="0" fillId="0" borderId="0" xfId="0" applyBorder="1" applyAlignment="1">
      <alignment wrapText="1"/>
    </xf>
    <xf numFmtId="0" fontId="0" fillId="5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3" borderId="0" xfId="0" applyFill="1" applyBorder="1"/>
    <xf numFmtId="0" fontId="0" fillId="2" borderId="0" xfId="0" applyFill="1" applyBorder="1"/>
    <xf numFmtId="0" fontId="0" fillId="5" borderId="0" xfId="0" applyFill="1" applyBorder="1" applyAlignment="1">
      <alignment wrapText="1"/>
    </xf>
    <xf numFmtId="0" fontId="0" fillId="6" borderId="0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8" borderId="0" xfId="0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0" fillId="2" borderId="0" xfId="0" applyFill="1" applyBorder="1" applyAlignment="1">
      <alignment wrapText="1"/>
    </xf>
    <xf numFmtId="2" fontId="0" fillId="0" borderId="0" xfId="0" applyNumberFormat="1" applyBorder="1" applyAlignment="1">
      <alignment wrapText="1"/>
    </xf>
    <xf numFmtId="0" fontId="0" fillId="0" borderId="0" xfId="0" applyBorder="1"/>
    <xf numFmtId="0" fontId="0" fillId="0" borderId="15" xfId="0" applyBorder="1" applyProtection="1"/>
    <xf numFmtId="0" fontId="0" fillId="10" borderId="0" xfId="0" applyFill="1" applyBorder="1"/>
    <xf numFmtId="0" fontId="0" fillId="10" borderId="0" xfId="0" applyFill="1" applyBorder="1" applyAlignment="1">
      <alignment wrapText="1"/>
    </xf>
    <xf numFmtId="0" fontId="0" fillId="9" borderId="0" xfId="0" applyFill="1" applyBorder="1" applyAlignment="1">
      <alignment wrapText="1"/>
    </xf>
    <xf numFmtId="0" fontId="0" fillId="0" borderId="22" xfId="0" applyBorder="1" applyAlignment="1">
      <alignment wrapText="1"/>
    </xf>
    <xf numFmtId="0" fontId="0" fillId="0" borderId="22" xfId="0" applyBorder="1"/>
    <xf numFmtId="165" fontId="0" fillId="0" borderId="0" xfId="0" applyNumberFormat="1" applyAlignment="1">
      <alignment wrapText="1"/>
    </xf>
    <xf numFmtId="0" fontId="10" fillId="0" borderId="1" xfId="0" applyFont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166" fontId="0" fillId="0" borderId="0" xfId="0" applyNumberFormat="1" applyAlignment="1">
      <alignment wrapText="1"/>
    </xf>
    <xf numFmtId="166" fontId="0" fillId="0" borderId="0" xfId="0" applyNumberFormat="1" applyBorder="1" applyAlignment="1">
      <alignment wrapText="1"/>
    </xf>
    <xf numFmtId="165" fontId="0" fillId="0" borderId="0" xfId="0" applyNumberFormat="1" applyBorder="1" applyAlignment="1">
      <alignment wrapText="1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0" fillId="0" borderId="0" xfId="0" applyFont="1" applyProtection="1">
      <protection locked="0"/>
    </xf>
    <xf numFmtId="0" fontId="12" fillId="0" borderId="0" xfId="2" applyAlignment="1" applyProtection="1">
      <alignment vertical="center"/>
      <protection locked="0"/>
    </xf>
    <xf numFmtId="0" fontId="3" fillId="0" borderId="0" xfId="1" applyFill="1" applyProtection="1"/>
    <xf numFmtId="0" fontId="1" fillId="0" borderId="0" xfId="0" applyFont="1" applyFill="1" applyBorder="1" applyAlignment="1" applyProtection="1">
      <alignment vertical="center"/>
    </xf>
    <xf numFmtId="0" fontId="10" fillId="45" borderId="11" xfId="0" applyFont="1" applyFill="1" applyBorder="1" applyAlignment="1" applyProtection="1">
      <alignment horizontal="left" vertical="center" indent="1"/>
    </xf>
    <xf numFmtId="164" fontId="10" fillId="45" borderId="1" xfId="0" quotePrefix="1" applyNumberFormat="1" applyFont="1" applyFill="1" applyBorder="1" applyAlignment="1" applyProtection="1">
      <alignment horizontal="center" vertical="center"/>
    </xf>
    <xf numFmtId="164" fontId="10" fillId="45" borderId="12" xfId="0" quotePrefix="1" applyNumberFormat="1" applyFont="1" applyFill="1" applyBorder="1" applyAlignment="1" applyProtection="1">
      <alignment horizontal="center" vertical="center"/>
    </xf>
    <xf numFmtId="164" fontId="10" fillId="45" borderId="1" xfId="0" applyNumberFormat="1" applyFont="1" applyFill="1" applyBorder="1" applyAlignment="1" applyProtection="1">
      <alignment horizontal="center" vertical="center"/>
    </xf>
    <xf numFmtId="164" fontId="10" fillId="45" borderId="12" xfId="0" applyNumberFormat="1" applyFont="1" applyFill="1" applyBorder="1" applyAlignment="1" applyProtection="1">
      <alignment horizontal="center" vertical="center"/>
    </xf>
    <xf numFmtId="1" fontId="10" fillId="45" borderId="1" xfId="0" quotePrefix="1" applyNumberFormat="1" applyFont="1" applyFill="1" applyBorder="1" applyAlignment="1" applyProtection="1">
      <alignment horizontal="center" vertical="center"/>
    </xf>
    <xf numFmtId="1" fontId="10" fillId="45" borderId="12" xfId="0" quotePrefix="1" applyNumberFormat="1" applyFont="1" applyFill="1" applyBorder="1" applyAlignment="1" applyProtection="1">
      <alignment horizontal="center" vertical="center"/>
    </xf>
    <xf numFmtId="165" fontId="10" fillId="45" borderId="1" xfId="0" quotePrefix="1" applyNumberFormat="1" applyFont="1" applyFill="1" applyBorder="1" applyAlignment="1" applyProtection="1">
      <alignment horizontal="center" vertical="center"/>
    </xf>
    <xf numFmtId="165" fontId="10" fillId="45" borderId="12" xfId="0" quotePrefix="1" applyNumberFormat="1" applyFont="1" applyFill="1" applyBorder="1" applyAlignment="1" applyProtection="1">
      <alignment horizontal="center" vertical="center"/>
    </xf>
    <xf numFmtId="164" fontId="14" fillId="45" borderId="1" xfId="2" quotePrefix="1" applyNumberFormat="1" applyFont="1" applyFill="1" applyBorder="1" applyAlignment="1" applyProtection="1">
      <alignment horizontal="center" vertical="center" wrapText="1"/>
    </xf>
    <xf numFmtId="164" fontId="14" fillId="45" borderId="12" xfId="2" quotePrefix="1" applyNumberFormat="1" applyFont="1" applyFill="1" applyBorder="1" applyAlignment="1" applyProtection="1">
      <alignment horizontal="center" vertical="center" wrapText="1"/>
    </xf>
    <xf numFmtId="0" fontId="10" fillId="46" borderId="11" xfId="0" applyFont="1" applyFill="1" applyBorder="1" applyAlignment="1" applyProtection="1">
      <alignment horizontal="left" vertical="center" indent="1"/>
    </xf>
    <xf numFmtId="164" fontId="10" fillId="46" borderId="1" xfId="0" applyNumberFormat="1" applyFont="1" applyFill="1" applyBorder="1" applyAlignment="1" applyProtection="1">
      <alignment horizontal="center" vertical="center"/>
    </xf>
    <xf numFmtId="164" fontId="10" fillId="46" borderId="12" xfId="0" applyNumberFormat="1" applyFont="1" applyFill="1" applyBorder="1" applyAlignment="1" applyProtection="1">
      <alignment horizontal="center" vertical="center"/>
    </xf>
    <xf numFmtId="0" fontId="10" fillId="46" borderId="25" xfId="0" applyFont="1" applyFill="1" applyBorder="1" applyAlignment="1" applyProtection="1">
      <alignment horizontal="left" vertical="center" indent="1"/>
    </xf>
    <xf numFmtId="0" fontId="10" fillId="47" borderId="28" xfId="0" applyFont="1" applyFill="1" applyBorder="1" applyAlignment="1" applyProtection="1">
      <alignment horizontal="left" vertical="center" indent="1"/>
    </xf>
    <xf numFmtId="0" fontId="10" fillId="47" borderId="43" xfId="0" applyFont="1" applyFill="1" applyBorder="1" applyAlignment="1" applyProtection="1">
      <alignment horizontal="center" vertical="center"/>
      <protection locked="0"/>
    </xf>
    <xf numFmtId="0" fontId="10" fillId="47" borderId="11" xfId="0" applyFont="1" applyFill="1" applyBorder="1" applyAlignment="1" applyProtection="1">
      <alignment horizontal="left" vertical="center" indent="1"/>
    </xf>
    <xf numFmtId="164" fontId="10" fillId="47" borderId="12" xfId="0" applyNumberFormat="1" applyFont="1" applyFill="1" applyBorder="1" applyAlignment="1" applyProtection="1">
      <alignment horizontal="center" vertical="center"/>
      <protection locked="0"/>
    </xf>
    <xf numFmtId="0" fontId="10" fillId="47" borderId="25" xfId="0" applyFont="1" applyFill="1" applyBorder="1" applyAlignment="1" applyProtection="1">
      <alignment horizontal="left" vertical="center" indent="1"/>
    </xf>
    <xf numFmtId="0" fontId="10" fillId="47" borderId="27" xfId="0" applyFont="1" applyFill="1" applyBorder="1" applyAlignment="1" applyProtection="1">
      <alignment horizontal="center" vertical="center"/>
      <protection locked="0"/>
    </xf>
    <xf numFmtId="0" fontId="38" fillId="48" borderId="11" xfId="0" applyFont="1" applyFill="1" applyBorder="1" applyAlignment="1" applyProtection="1">
      <alignment horizontal="left" vertical="center" indent="1"/>
    </xf>
    <xf numFmtId="0" fontId="10" fillId="49" borderId="1" xfId="0" applyFont="1" applyFill="1" applyBorder="1" applyAlignment="1" applyProtection="1">
      <alignment horizontal="center" vertical="center" wrapText="1"/>
      <protection locked="0"/>
    </xf>
    <xf numFmtId="0" fontId="10" fillId="49" borderId="12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vertical="center"/>
    </xf>
    <xf numFmtId="165" fontId="0" fillId="0" borderId="0" xfId="0" applyNumberFormat="1"/>
    <xf numFmtId="0" fontId="38" fillId="51" borderId="1" xfId="0" applyFont="1" applyFill="1" applyBorder="1" applyAlignment="1" applyProtection="1">
      <alignment vertical="center"/>
    </xf>
    <xf numFmtId="0" fontId="38" fillId="51" borderId="12" xfId="0" applyFont="1" applyFill="1" applyBorder="1" applyAlignment="1" applyProtection="1">
      <alignment vertical="center"/>
    </xf>
    <xf numFmtId="0" fontId="0" fillId="0" borderId="0" xfId="0" applyFont="1"/>
    <xf numFmtId="2" fontId="0" fillId="0" borderId="0" xfId="0" applyNumberFormat="1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4" borderId="17" xfId="0" applyNumberFormat="1" applyFont="1" applyFill="1" applyBorder="1"/>
    <xf numFmtId="0" fontId="13" fillId="52" borderId="17" xfId="0" applyNumberFormat="1" applyFont="1" applyFill="1" applyBorder="1"/>
    <xf numFmtId="0" fontId="13" fillId="3" borderId="17" xfId="0" applyNumberFormat="1" applyFont="1" applyFill="1" applyBorder="1"/>
    <xf numFmtId="0" fontId="0" fillId="3" borderId="17" xfId="0" applyNumberFormat="1" applyFont="1" applyFill="1" applyBorder="1"/>
    <xf numFmtId="0" fontId="39" fillId="48" borderId="11" xfId="0" applyFont="1" applyFill="1" applyBorder="1" applyAlignment="1" applyProtection="1">
      <alignment horizontal="left" vertical="center" wrapText="1" indent="1"/>
    </xf>
    <xf numFmtId="167" fontId="0" fillId="0" borderId="0" xfId="0" applyNumberFormat="1"/>
    <xf numFmtId="167" fontId="0" fillId="3" borderId="0" xfId="0" applyNumberFormat="1" applyFill="1"/>
    <xf numFmtId="167" fontId="0" fillId="0" borderId="0" xfId="0" applyNumberFormat="1" applyProtection="1">
      <protection locked="0" hidden="1"/>
    </xf>
    <xf numFmtId="167" fontId="0" fillId="4" borderId="0" xfId="0" applyNumberFormat="1" applyFont="1" applyFill="1" applyBorder="1" applyProtection="1">
      <protection locked="0" hidden="1"/>
    </xf>
    <xf numFmtId="167" fontId="0" fillId="3" borderId="0" xfId="0" applyNumberFormat="1" applyFont="1" applyFill="1" applyBorder="1" applyProtection="1">
      <protection locked="0" hidden="1"/>
    </xf>
    <xf numFmtId="167" fontId="0" fillId="0" borderId="0" xfId="0" applyNumberFormat="1" applyProtection="1">
      <protection locked="0"/>
    </xf>
    <xf numFmtId="167" fontId="0" fillId="3" borderId="0" xfId="0" applyNumberFormat="1" applyFill="1" applyProtection="1">
      <protection locked="0" hidden="1"/>
    </xf>
    <xf numFmtId="167" fontId="12" fillId="3" borderId="0" xfId="2" applyNumberFormat="1" applyFill="1" applyProtection="1">
      <protection locked="0" hidden="1"/>
    </xf>
    <xf numFmtId="167" fontId="0" fillId="3" borderId="0" xfId="0" applyNumberFormat="1" applyFill="1" applyBorder="1" applyProtection="1">
      <protection locked="0" hidden="1"/>
    </xf>
    <xf numFmtId="167" fontId="12" fillId="3" borderId="0" xfId="2" applyNumberFormat="1" applyFill="1" applyBorder="1" applyProtection="1">
      <protection locked="0" hidden="1"/>
    </xf>
    <xf numFmtId="167" fontId="0" fillId="0" borderId="0" xfId="0" applyNumberFormat="1" applyBorder="1" applyProtection="1">
      <protection locked="0" hidden="1"/>
    </xf>
    <xf numFmtId="167" fontId="0" fillId="0" borderId="10" xfId="0" applyNumberFormat="1" applyBorder="1" applyProtection="1">
      <protection locked="0" hidden="1"/>
    </xf>
    <xf numFmtId="167" fontId="0" fillId="0" borderId="16" xfId="0" applyNumberFormat="1" applyBorder="1" applyProtection="1">
      <protection locked="0" hidden="1"/>
    </xf>
    <xf numFmtId="167" fontId="0" fillId="0" borderId="17" xfId="0" applyNumberFormat="1" applyBorder="1" applyProtection="1">
      <protection locked="0" hidden="1"/>
    </xf>
    <xf numFmtId="167" fontId="0" fillId="4" borderId="16" xfId="0" applyNumberFormat="1" applyFont="1" applyFill="1" applyBorder="1" applyProtection="1">
      <protection locked="0" hidden="1"/>
    </xf>
    <xf numFmtId="167" fontId="0" fillId="4" borderId="17" xfId="0" applyNumberFormat="1" applyFont="1" applyFill="1" applyBorder="1" applyProtection="1">
      <protection locked="0" hidden="1"/>
    </xf>
    <xf numFmtId="167" fontId="0" fillId="3" borderId="16" xfId="0" applyNumberFormat="1" applyFill="1" applyBorder="1" applyProtection="1">
      <protection locked="0" hidden="1"/>
    </xf>
    <xf numFmtId="167" fontId="0" fillId="3" borderId="17" xfId="0" applyNumberFormat="1" applyFill="1" applyBorder="1" applyProtection="1">
      <protection locked="0" hidden="1"/>
    </xf>
    <xf numFmtId="167" fontId="12" fillId="3" borderId="17" xfId="2" applyNumberFormat="1" applyFill="1" applyBorder="1" applyProtection="1">
      <protection locked="0" hidden="1"/>
    </xf>
    <xf numFmtId="167" fontId="0" fillId="0" borderId="18" xfId="0" applyNumberFormat="1" applyBorder="1" applyProtection="1">
      <protection locked="0" hidden="1"/>
    </xf>
    <xf numFmtId="167" fontId="42" fillId="50" borderId="17" xfId="0" applyNumberFormat="1" applyFont="1" applyFill="1" applyBorder="1" applyProtection="1">
      <protection locked="0" hidden="1"/>
    </xf>
    <xf numFmtId="167" fontId="0" fillId="3" borderId="0" xfId="0" applyNumberFormat="1" applyFill="1" applyProtection="1">
      <protection locked="0"/>
    </xf>
    <xf numFmtId="0" fontId="39" fillId="48" borderId="47" xfId="0" applyFont="1" applyFill="1" applyBorder="1" applyAlignment="1" applyProtection="1">
      <alignment horizontal="left" vertical="center" wrapText="1"/>
    </xf>
    <xf numFmtId="167" fontId="16" fillId="11" borderId="19" xfId="0" applyNumberFormat="1" applyFont="1" applyFill="1" applyBorder="1"/>
    <xf numFmtId="167" fontId="16" fillId="11" borderId="20" xfId="0" applyNumberFormat="1" applyFont="1" applyFill="1" applyBorder="1"/>
    <xf numFmtId="167" fontId="16" fillId="11" borderId="21" xfId="0" applyNumberFormat="1" applyFont="1" applyFill="1" applyBorder="1"/>
    <xf numFmtId="167" fontId="13" fillId="0" borderId="0" xfId="0" applyNumberFormat="1" applyFont="1" applyFill="1" applyBorder="1"/>
    <xf numFmtId="167" fontId="13" fillId="3" borderId="0" xfId="0" applyNumberFormat="1" applyFont="1" applyFill="1" applyBorder="1"/>
    <xf numFmtId="167" fontId="12" fillId="3" borderId="0" xfId="2" applyNumberFormat="1" applyFill="1" applyBorder="1"/>
    <xf numFmtId="167" fontId="12" fillId="0" borderId="0" xfId="2" applyNumberFormat="1" applyFill="1" applyBorder="1"/>
    <xf numFmtId="167" fontId="43" fillId="0" borderId="0" xfId="0" applyNumberFormat="1" applyFont="1" applyFill="1"/>
    <xf numFmtId="0" fontId="10" fillId="46" borderId="28" xfId="0" applyFont="1" applyFill="1" applyBorder="1" applyAlignment="1" applyProtection="1">
      <alignment horizontal="left" vertical="center" indent="1"/>
    </xf>
    <xf numFmtId="166" fontId="17" fillId="46" borderId="46" xfId="0" applyNumberFormat="1" applyFont="1" applyFill="1" applyBorder="1" applyAlignment="1" applyProtection="1">
      <alignment horizontal="center" vertical="center"/>
    </xf>
    <xf numFmtId="166" fontId="10" fillId="5" borderId="46" xfId="0" applyNumberFormat="1" applyFont="1" applyFill="1" applyBorder="1" applyAlignment="1" applyProtection="1">
      <alignment horizontal="center" vertical="center"/>
    </xf>
    <xf numFmtId="166" fontId="10" fillId="53" borderId="43" xfId="0" applyNumberFormat="1" applyFont="1" applyFill="1" applyBorder="1" applyAlignment="1" applyProtection="1">
      <alignment horizontal="center" vertical="center"/>
    </xf>
    <xf numFmtId="166" fontId="10" fillId="46" borderId="26" xfId="0" applyNumberFormat="1" applyFont="1" applyFill="1" applyBorder="1" applyAlignment="1" applyProtection="1">
      <alignment horizontal="center" vertical="center"/>
    </xf>
    <xf numFmtId="166" fontId="10" fillId="46" borderId="27" xfId="0" applyNumberFormat="1" applyFont="1" applyFill="1" applyBorder="1" applyAlignment="1" applyProtection="1">
      <alignment horizontal="center" vertical="center"/>
    </xf>
    <xf numFmtId="166" fontId="0" fillId="0" borderId="0" xfId="0" applyNumberFormat="1"/>
    <xf numFmtId="0" fontId="3" fillId="0" borderId="9" xfId="1" applyFill="1" applyBorder="1" applyProtection="1"/>
    <xf numFmtId="0" fontId="3" fillId="0" borderId="8" xfId="1" applyFill="1" applyBorder="1" applyProtection="1"/>
    <xf numFmtId="0" fontId="3" fillId="0" borderId="7" xfId="1" applyFill="1" applyBorder="1" applyProtection="1"/>
    <xf numFmtId="0" fontId="3" fillId="0" borderId="6" xfId="1" applyFill="1" applyBorder="1" applyProtection="1"/>
    <xf numFmtId="0" fontId="3" fillId="0" borderId="0" xfId="1" applyFill="1" applyBorder="1" applyProtection="1"/>
    <xf numFmtId="0" fontId="3" fillId="0" borderId="5" xfId="1" applyFill="1" applyBorder="1" applyProtection="1"/>
    <xf numFmtId="0" fontId="8" fillId="0" borderId="0" xfId="1" applyFont="1" applyFill="1" applyBorder="1" applyProtection="1"/>
    <xf numFmtId="0" fontId="6" fillId="0" borderId="0" xfId="1" applyFont="1" applyFill="1" applyBorder="1" applyProtection="1"/>
    <xf numFmtId="0" fontId="7" fillId="0" borderId="0" xfId="1" applyFont="1" applyFill="1" applyBorder="1" applyProtection="1"/>
    <xf numFmtId="0" fontId="3" fillId="0" borderId="0" xfId="1" applyFont="1" applyFill="1" applyBorder="1" applyProtection="1"/>
    <xf numFmtId="0" fontId="5" fillId="0" borderId="0" xfId="1" applyFont="1" applyFill="1" applyBorder="1" applyProtection="1"/>
    <xf numFmtId="0" fontId="4" fillId="0" borderId="0" xfId="1" applyFont="1" applyFill="1" applyBorder="1" applyProtection="1"/>
    <xf numFmtId="0" fontId="3" fillId="0" borderId="4" xfId="1" applyFill="1" applyBorder="1" applyProtection="1"/>
    <xf numFmtId="0" fontId="3" fillId="0" borderId="3" xfId="1" applyFill="1" applyBorder="1" applyProtection="1"/>
    <xf numFmtId="0" fontId="3" fillId="0" borderId="2" xfId="1" applyFill="1" applyBorder="1" applyProtection="1"/>
    <xf numFmtId="0" fontId="3" fillId="48" borderId="39" xfId="1" applyFill="1" applyBorder="1" applyProtection="1"/>
    <xf numFmtId="0" fontId="3" fillId="48" borderId="38" xfId="1" applyFont="1" applyFill="1" applyBorder="1" applyProtection="1"/>
    <xf numFmtId="0" fontId="5" fillId="48" borderId="38" xfId="1" applyFont="1" applyFill="1" applyBorder="1" applyProtection="1"/>
    <xf numFmtId="0" fontId="3" fillId="48" borderId="38" xfId="1" applyFill="1" applyBorder="1" applyProtection="1"/>
    <xf numFmtId="0" fontId="3" fillId="48" borderId="40" xfId="1" applyFill="1" applyBorder="1" applyProtection="1"/>
    <xf numFmtId="0" fontId="3" fillId="48" borderId="44" xfId="1" applyFill="1" applyBorder="1" applyProtection="1"/>
    <xf numFmtId="0" fontId="3" fillId="48" borderId="0" xfId="1" applyFont="1" applyFill="1" applyBorder="1" applyProtection="1"/>
    <xf numFmtId="0" fontId="5" fillId="48" borderId="0" xfId="1" applyFont="1" applyFill="1" applyBorder="1" applyProtection="1"/>
    <xf numFmtId="0" fontId="3" fillId="48" borderId="0" xfId="1" applyFill="1" applyBorder="1" applyProtection="1"/>
    <xf numFmtId="0" fontId="3" fillId="48" borderId="45" xfId="1" applyFill="1" applyBorder="1" applyProtection="1"/>
    <xf numFmtId="0" fontId="3" fillId="48" borderId="41" xfId="1" applyFill="1" applyBorder="1" applyProtection="1"/>
    <xf numFmtId="0" fontId="3" fillId="48" borderId="22" xfId="1" applyFont="1" applyFill="1" applyBorder="1" applyProtection="1"/>
    <xf numFmtId="0" fontId="3" fillId="48" borderId="22" xfId="1" applyFill="1" applyBorder="1" applyProtection="1"/>
    <xf numFmtId="0" fontId="3" fillId="48" borderId="42" xfId="1" applyFill="1" applyBorder="1" applyProtection="1"/>
    <xf numFmtId="0" fontId="15" fillId="0" borderId="23" xfId="2" applyFont="1" applyBorder="1" applyAlignment="1" applyProtection="1">
      <alignment horizontal="center" vertical="center"/>
    </xf>
    <xf numFmtId="0" fontId="15" fillId="0" borderId="24" xfId="2" applyFont="1" applyBorder="1" applyAlignment="1" applyProtection="1">
      <alignment horizontal="center" vertical="center"/>
    </xf>
    <xf numFmtId="49" fontId="10" fillId="47" borderId="13" xfId="0" applyNumberFormat="1" applyFont="1" applyFill="1" applyBorder="1" applyAlignment="1" applyProtection="1">
      <alignment horizontal="center" vertical="center"/>
    </xf>
    <xf numFmtId="49" fontId="10" fillId="47" borderId="14" xfId="0" applyNumberFormat="1" applyFont="1" applyFill="1" applyBorder="1" applyAlignment="1" applyProtection="1">
      <alignment horizontal="center" vertical="center"/>
    </xf>
    <xf numFmtId="49" fontId="10" fillId="45" borderId="13" xfId="0" quotePrefix="1" applyNumberFormat="1" applyFont="1" applyFill="1" applyBorder="1" applyAlignment="1" applyProtection="1">
      <alignment horizontal="center" vertical="center"/>
    </xf>
    <xf numFmtId="49" fontId="10" fillId="45" borderId="14" xfId="0" quotePrefix="1" applyNumberFormat="1" applyFont="1" applyFill="1" applyBorder="1" applyAlignment="1" applyProtection="1">
      <alignment horizontal="center" vertical="center"/>
    </xf>
    <xf numFmtId="49" fontId="10" fillId="46" borderId="13" xfId="0" quotePrefix="1" applyNumberFormat="1" applyFont="1" applyFill="1" applyBorder="1" applyAlignment="1" applyProtection="1">
      <alignment horizontal="center" vertical="center"/>
    </xf>
    <xf numFmtId="49" fontId="10" fillId="46" borderId="14" xfId="0" quotePrefix="1" applyNumberFormat="1" applyFont="1" applyFill="1" applyBorder="1" applyAlignment="1" applyProtection="1">
      <alignment horizontal="center" vertical="center"/>
    </xf>
    <xf numFmtId="49" fontId="10" fillId="12" borderId="13" xfId="0" quotePrefix="1" applyNumberFormat="1" applyFont="1" applyFill="1" applyBorder="1" applyAlignment="1" applyProtection="1">
      <alignment horizontal="center" vertical="center"/>
    </xf>
    <xf numFmtId="49" fontId="10" fillId="12" borderId="14" xfId="0" quotePrefix="1" applyNumberFormat="1" applyFont="1" applyFill="1" applyBorder="1" applyAlignment="1" applyProtection="1">
      <alignment horizontal="center" vertical="center"/>
    </xf>
    <xf numFmtId="0" fontId="39" fillId="48" borderId="39" xfId="0" applyFont="1" applyFill="1" applyBorder="1" applyAlignment="1" applyProtection="1">
      <alignment horizontal="center" vertical="center"/>
    </xf>
    <xf numFmtId="0" fontId="39" fillId="48" borderId="40" xfId="0" applyFont="1" applyFill="1" applyBorder="1" applyAlignment="1" applyProtection="1">
      <alignment horizontal="center" vertical="center"/>
    </xf>
    <xf numFmtId="0" fontId="39" fillId="48" borderId="41" xfId="0" applyFont="1" applyFill="1" applyBorder="1" applyAlignment="1" applyProtection="1">
      <alignment horizontal="center" vertical="center"/>
    </xf>
    <xf numFmtId="0" fontId="39" fillId="48" borderId="42" xfId="0" applyFont="1" applyFill="1" applyBorder="1" applyAlignment="1" applyProtection="1">
      <alignment horizontal="center" vertical="center"/>
    </xf>
    <xf numFmtId="0" fontId="39" fillId="48" borderId="13" xfId="0" applyFont="1" applyFill="1" applyBorder="1" applyAlignment="1" applyProtection="1">
      <alignment horizontal="center" vertical="center"/>
    </xf>
    <xf numFmtId="0" fontId="39" fillId="48" borderId="14" xfId="0" applyFont="1" applyFill="1" applyBorder="1" applyAlignment="1" applyProtection="1">
      <alignment horizontal="center" vertical="center"/>
    </xf>
    <xf numFmtId="0" fontId="39" fillId="48" borderId="11" xfId="0" applyFont="1" applyFill="1" applyBorder="1" applyAlignment="1" applyProtection="1">
      <alignment horizontal="left" vertical="center" wrapText="1" indent="1"/>
    </xf>
    <xf numFmtId="0" fontId="40" fillId="0" borderId="0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49" fontId="17" fillId="13" borderId="13" xfId="0" quotePrefix="1" applyNumberFormat="1" applyFont="1" applyFill="1" applyBorder="1" applyAlignment="1" applyProtection="1">
      <alignment horizontal="center" vertical="center"/>
    </xf>
    <xf numFmtId="49" fontId="17" fillId="13" borderId="14" xfId="0" quotePrefix="1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5" fillId="46" borderId="25" xfId="2" applyFont="1" applyFill="1" applyBorder="1" applyAlignment="1" applyProtection="1">
      <alignment horizontal="center" vertical="center"/>
    </xf>
    <xf numFmtId="0" fontId="15" fillId="46" borderId="26" xfId="2" applyFont="1" applyFill="1" applyBorder="1" applyAlignment="1" applyProtection="1">
      <alignment horizontal="center" vertical="center"/>
    </xf>
    <xf numFmtId="0" fontId="15" fillId="46" borderId="27" xfId="2" applyFont="1" applyFill="1" applyBorder="1" applyAlignment="1" applyProtection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2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1" xr:uid="{00000000-0005-0000-0000-000026000000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266"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&quot;$&quot;#,##0.00"/>
      <alignment horizontal="general" vertical="bottom" textRotation="0" wrapText="1" indent="0" justifyLastLine="0" shrinkToFit="0" readingOrder="0"/>
    </dxf>
    <dxf>
      <numFmt numFmtId="166" formatCode="0.0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2" tint="-0.499984740745262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2" tint="-0.499984740745262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2" tint="-0.499984740745262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&quot;$&quot;#,##0.00"/>
      <alignment horizontal="general" vertical="bottom" textRotation="0" wrapText="1" indent="0" justifyLastLine="0" shrinkToFit="0" readingOrder="0"/>
    </dxf>
    <dxf>
      <numFmt numFmtId="166" formatCode="0.0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2" tint="-0.499984740745262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2" tint="-0.249977111117893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2" tint="-0.499984740745262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2" tint="-0.499984740745262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7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7" formatCode=";;;"/>
      <fill>
        <patternFill patternType="none">
          <fgColor indexed="64"/>
          <bgColor indexed="65"/>
        </patternFill>
      </fill>
    </dxf>
    <dxf>
      <numFmt numFmtId="167" formatCode=";;;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;;;"/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</border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;;;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numFmt numFmtId="167" formatCode=";;;"/>
      <protection locked="0" hidden="1"/>
    </dxf>
    <dxf>
      <fill>
        <patternFill>
          <bgColor rgb="FFED7C6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D7C69"/>
        </patternFill>
      </fill>
    </dxf>
    <dxf>
      <fill>
        <patternFill>
          <bgColor rgb="FFFFC000"/>
        </patternFill>
      </fill>
    </dxf>
    <dxf>
      <fill>
        <patternFill>
          <bgColor rgb="FFED7C69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auto="1"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auto="1"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theme="1"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D7C69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104775</xdr:rowOff>
    </xdr:from>
    <xdr:to>
      <xdr:col>15</xdr:col>
      <xdr:colOff>581025</xdr:colOff>
      <xdr:row>5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266700"/>
          <a:ext cx="9725025" cy="581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381000</xdr:colOff>
      <xdr:row>18</xdr:row>
      <xdr:rowOff>76200</xdr:rowOff>
    </xdr:from>
    <xdr:to>
      <xdr:col>11</xdr:col>
      <xdr:colOff>485775</xdr:colOff>
      <xdr:row>25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990600" y="3476625"/>
          <a:ext cx="6200775" cy="1133475"/>
        </a:xfrm>
        <a:prstGeom prst="rect">
          <a:avLst/>
        </a:prstGeom>
        <a:noFill/>
        <a:ln w="1714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142875</xdr:colOff>
      <xdr:row>2</xdr:row>
      <xdr:rowOff>28575</xdr:rowOff>
    </xdr:from>
    <xdr:to>
      <xdr:col>4</xdr:col>
      <xdr:colOff>28575</xdr:colOff>
      <xdr:row>4</xdr:row>
      <xdr:rowOff>125067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352425"/>
          <a:ext cx="2324100" cy="4286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7621</xdr:colOff>
      <xdr:row>11</xdr:row>
      <xdr:rowOff>15874</xdr:rowOff>
    </xdr:from>
    <xdr:to>
      <xdr:col>1</xdr:col>
      <xdr:colOff>571501</xdr:colOff>
      <xdr:row>15</xdr:row>
      <xdr:rowOff>169544</xdr:rowOff>
    </xdr:to>
    <xdr:sp macro="[0]!Try_Agai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21" y="2273299"/>
          <a:ext cx="3354705" cy="99187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-&gt;-&gt; CLICK HERE &lt;-&lt;-</a:t>
          </a:r>
          <a:endParaRPr lang="en-US" sz="2400" b="1" baseline="0">
            <a:solidFill>
              <a:schemeClr val="tx1"/>
            </a:solidFill>
          </a:endParaRPr>
        </a:p>
        <a:p>
          <a:pPr algn="ctr"/>
          <a:r>
            <a:rPr lang="en-US" sz="2400" b="1" baseline="0">
              <a:solidFill>
                <a:schemeClr val="tx1"/>
              </a:solidFill>
            </a:rPr>
            <a:t>Start FET Selection</a:t>
          </a:r>
          <a:endParaRPr lang="en-US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123825</xdr:colOff>
      <xdr:row>4</xdr:row>
      <xdr:rowOff>19050</xdr:rowOff>
    </xdr:from>
    <xdr:to>
      <xdr:col>2</xdr:col>
      <xdr:colOff>428625</xdr:colOff>
      <xdr:row>12</xdr:row>
      <xdr:rowOff>125902</xdr:rowOff>
    </xdr:to>
    <xdr:sp macro="" textlink="">
      <xdr:nvSpPr>
        <xdr:cNvPr id="6" name="Bent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495675" y="800100"/>
          <a:ext cx="304800" cy="1792777"/>
        </a:xfrm>
        <a:prstGeom prst="bentArrow">
          <a:avLst>
            <a:gd name="adj1" fmla="val 25000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40000"/>
            <a:lumOff val="6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571501</xdr:colOff>
      <xdr:row>12</xdr:row>
      <xdr:rowOff>96168</xdr:rowOff>
    </xdr:from>
    <xdr:to>
      <xdr:col>2</xdr:col>
      <xdr:colOff>200025</xdr:colOff>
      <xdr:row>12</xdr:row>
      <xdr:rowOff>200024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V="1">
          <a:off x="3362326" y="2563143"/>
          <a:ext cx="209549" cy="10385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28575</xdr:rowOff>
        </xdr:from>
        <xdr:to>
          <xdr:col>4</xdr:col>
          <xdr:colOff>333375</xdr:colOff>
          <xdr:row>2</xdr:row>
          <xdr:rowOff>171450</xdr:rowOff>
        </xdr:to>
        <xdr:sp macro="" textlink="">
          <xdr:nvSpPr>
            <xdr:cNvPr id="2084" name="Option 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2</xdr:row>
          <xdr:rowOff>19050</xdr:rowOff>
        </xdr:from>
        <xdr:to>
          <xdr:col>4</xdr:col>
          <xdr:colOff>1209675</xdr:colOff>
          <xdr:row>2</xdr:row>
          <xdr:rowOff>171450</xdr:rowOff>
        </xdr:to>
        <xdr:sp macro="" textlink="">
          <xdr:nvSpPr>
            <xdr:cNvPr id="2085" name="Option 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1990725</xdr:colOff>
          <xdr:row>2</xdr:row>
          <xdr:rowOff>28575</xdr:rowOff>
        </xdr:from>
        <xdr:to>
          <xdr:col>4</xdr:col>
          <xdr:colOff>2200275</xdr:colOff>
          <xdr:row>2</xdr:row>
          <xdr:rowOff>171450</xdr:rowOff>
        </xdr:to>
        <xdr:sp macro="" textlink="">
          <xdr:nvSpPr>
            <xdr:cNvPr id="2086" name="Option 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28575</xdr:rowOff>
        </xdr:from>
        <xdr:to>
          <xdr:col>5</xdr:col>
          <xdr:colOff>333375</xdr:colOff>
          <xdr:row>2</xdr:row>
          <xdr:rowOff>171450</xdr:rowOff>
        </xdr:to>
        <xdr:sp macro="" textlink="">
          <xdr:nvSpPr>
            <xdr:cNvPr id="2087" name="Option 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2</xdr:row>
          <xdr:rowOff>19050</xdr:rowOff>
        </xdr:from>
        <xdr:to>
          <xdr:col>5</xdr:col>
          <xdr:colOff>1209675</xdr:colOff>
          <xdr:row>2</xdr:row>
          <xdr:rowOff>171450</xdr:rowOff>
        </xdr:to>
        <xdr:sp macro="" textlink="">
          <xdr:nvSpPr>
            <xdr:cNvPr id="2088" name="Option 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1990725</xdr:colOff>
          <xdr:row>2</xdr:row>
          <xdr:rowOff>28575</xdr:rowOff>
        </xdr:from>
        <xdr:to>
          <xdr:col>5</xdr:col>
          <xdr:colOff>2200275</xdr:colOff>
          <xdr:row>2</xdr:row>
          <xdr:rowOff>171450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28575</xdr:rowOff>
        </xdr:from>
        <xdr:to>
          <xdr:col>6</xdr:col>
          <xdr:colOff>333375</xdr:colOff>
          <xdr:row>2</xdr:row>
          <xdr:rowOff>171450</xdr:rowOff>
        </xdr:to>
        <xdr:sp macro="" textlink="">
          <xdr:nvSpPr>
            <xdr:cNvPr id="2090" name="Option 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1000125</xdr:colOff>
          <xdr:row>2</xdr:row>
          <xdr:rowOff>19050</xdr:rowOff>
        </xdr:from>
        <xdr:to>
          <xdr:col>6</xdr:col>
          <xdr:colOff>1209675</xdr:colOff>
          <xdr:row>2</xdr:row>
          <xdr:rowOff>171450</xdr:rowOff>
        </xdr:to>
        <xdr:sp macro="" textlink="">
          <xdr:nvSpPr>
            <xdr:cNvPr id="2091" name="Option 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1990725</xdr:colOff>
          <xdr:row>2</xdr:row>
          <xdr:rowOff>28575</xdr:rowOff>
        </xdr:from>
        <xdr:to>
          <xdr:col>6</xdr:col>
          <xdr:colOff>2200275</xdr:colOff>
          <xdr:row>2</xdr:row>
          <xdr:rowOff>171450</xdr:rowOff>
        </xdr:to>
        <xdr:sp macro="" textlink="">
          <xdr:nvSpPr>
            <xdr:cNvPr id="2092" name="Option 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388056</xdr:colOff>
      <xdr:row>16</xdr:row>
      <xdr:rowOff>33159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2880"/>
          <a:ext cx="4045656" cy="2776359"/>
        </a:xfrm>
        <a:prstGeom prst="rect">
          <a:avLst/>
        </a:prstGeom>
        <a:solidFill>
          <a:schemeClr val="bg1"/>
        </a:solidFill>
        <a:ln>
          <a:solidFill>
            <a:schemeClr val="tx1">
              <a:lumMod val="65000"/>
              <a:lumOff val="35000"/>
            </a:schemeClr>
          </a:solidFill>
        </a:ln>
      </xdr:spPr>
    </xdr:pic>
    <xdr:clientData/>
  </xdr:twoCellAnchor>
  <xdr:twoCellAnchor editAs="oneCell">
    <xdr:from>
      <xdr:col>8</xdr:col>
      <xdr:colOff>0</xdr:colOff>
      <xdr:row>2</xdr:row>
      <xdr:rowOff>8475</xdr:rowOff>
    </xdr:from>
    <xdr:to>
      <xdr:col>13</xdr:col>
      <xdr:colOff>28308</xdr:colOff>
      <xdr:row>16</xdr:row>
      <xdr:rowOff>1520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76800" y="381008"/>
          <a:ext cx="3076308" cy="2600779"/>
        </a:xfrm>
        <a:prstGeom prst="rect">
          <a:avLst/>
        </a:prstGeom>
        <a:solidFill>
          <a:schemeClr val="bg1"/>
        </a:solidFill>
        <a:ln>
          <a:solidFill>
            <a:schemeClr val="tx1">
              <a:lumMod val="65000"/>
              <a:lumOff val="35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7</xdr:col>
      <xdr:colOff>179555</xdr:colOff>
      <xdr:row>32</xdr:row>
      <xdr:rowOff>25843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3166533"/>
          <a:ext cx="3837155" cy="2819843"/>
        </a:xfrm>
        <a:prstGeom prst="rect">
          <a:avLst/>
        </a:prstGeom>
        <a:solidFill>
          <a:schemeClr val="bg1"/>
        </a:solidFill>
        <a:ln>
          <a:solidFill>
            <a:schemeClr val="tx1">
              <a:lumMod val="65000"/>
              <a:lumOff val="35000"/>
            </a:schemeClr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904C59-ADEE-4528-9695-233AAA58E6C8}" name="Table3" displayName="Table3" ref="H7:I20" totalsRowShown="0">
  <autoFilter ref="H7:I20" xr:uid="{F23D6D57-A4D9-40B3-9D42-B40CE09ED2AF}"/>
  <sortState ref="H8:I20">
    <sortCondition ref="H8"/>
  </sortState>
  <tableColumns count="2">
    <tableColumn id="1" xr3:uid="{150AE248-12EC-42F0-A324-24587FE6A243}" name="Package"/>
    <tableColumn id="2" xr3:uid="{794AB6C6-AB3B-4DB6-93D6-0B970957C058}" name="Pdmax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oad_Switch_NFET" displayName="Load_Switch_NFET" ref="A1:CE154" totalsRowShown="0" headerRowDxfId="246" dataDxfId="245">
  <autoFilter ref="A1:CE154" xr:uid="{00000000-0009-0000-0100-000001000000}"/>
  <sortState ref="A2:CE154">
    <sortCondition ref="A1:A143"/>
  </sortState>
  <tableColumns count="83">
    <tableColumn id="1" xr3:uid="{00000000-0010-0000-0000-000001000000}" name="PARTNUMBER" dataDxfId="244"/>
    <tableColumn id="2" xr3:uid="{00000000-0010-0000-0000-000002000000}" name="PARTID" dataDxfId="243"/>
    <tableColumn id="3" xr3:uid="{00000000-0010-0000-0000-000003000000}" name="WIZARD_ENABLED" dataDxfId="242"/>
    <tableColumn id="4" xr3:uid="{00000000-0010-0000-0000-000004000000}" name="AVAILABLE" dataDxfId="241"/>
    <tableColumn id="5" xr3:uid="{00000000-0010-0000-0000-000005000000}" name="SCHEMATIC_SYMBOL" dataDxfId="240"/>
    <tableColumn id="6" xr3:uid="{00000000-0010-0000-0000-000006000000}" name="THERMAL_ID" dataDxfId="239"/>
    <tableColumn id="7" xr3:uid="{00000000-0010-0000-0000-000007000000}" name="COMMENTS" dataDxfId="238"/>
    <tableColumn id="8" xr3:uid="{00000000-0010-0000-0000-000008000000}" name="CHTYPE" dataDxfId="237"/>
    <tableColumn id="9" xr3:uid="{00000000-0010-0000-0000-000009000000}" name="CHNUM" dataDxfId="236"/>
    <tableColumn id="10" xr3:uid="{00000000-0010-0000-0000-00000A000000}" name="SUBID" dataDxfId="235"/>
    <tableColumn id="11" xr3:uid="{00000000-0010-0000-0000-00000B000000}" name="MOUNT" dataDxfId="234"/>
    <tableColumn id="12" xr3:uid="{00000000-0010-0000-0000-00000C000000}" name="VDSMAX" dataDxfId="233"/>
    <tableColumn id="13" xr3:uid="{00000000-0010-0000-0000-00000D000000}" name="VGSMAX" dataDxfId="232"/>
    <tableColumn id="14" xr3:uid="{00000000-0010-0000-0000-00000E000000}" name="IDSMAX" dataDxfId="231"/>
    <tableColumn id="15" xr3:uid="{00000000-0010-0000-0000-00000F000000}" name="IDMMAX" dataDxfId="230"/>
    <tableColumn id="16" xr3:uid="{00000000-0010-0000-0000-000010000000}" name="TJMAX" dataDxfId="229"/>
    <tableColumn id="17" xr3:uid="{00000000-0010-0000-0000-000011000000}" name="PDMAX" dataDxfId="228"/>
    <tableColumn id="18" xr3:uid="{00000000-0010-0000-0000-000012000000}" name="RTHJA" dataDxfId="227"/>
    <tableColumn id="19" xr3:uid="{00000000-0010-0000-0000-000013000000}" name="RTHJF" dataDxfId="226"/>
    <tableColumn id="20" xr3:uid="{00000000-0010-0000-0000-000014000000}" name="VTHMIN" dataDxfId="225"/>
    <tableColumn id="21" xr3:uid="{00000000-0010-0000-0000-000015000000}" name="VTHMAX" dataDxfId="224"/>
    <tableColumn id="81" xr3:uid="{00000000-0010-0000-0000-000051000000}" name="VMILLER" dataDxfId="223"/>
    <tableColumn id="22" xr3:uid="{00000000-0010-0000-0000-000016000000}" name="VFMAX" dataDxfId="222"/>
    <tableColumn id="23" xr3:uid="{00000000-0010-0000-0000-000017000000}" name="TRRTYP" dataDxfId="221"/>
    <tableColumn id="24" xr3:uid="{00000000-0010-0000-0000-000018000000}" name="TRRIF" dataDxfId="220"/>
    <tableColumn id="25" xr3:uid="{00000000-0010-0000-0000-000019000000}" name="TRRISR" dataDxfId="219"/>
    <tableColumn id="26" xr3:uid="{00000000-0010-0000-0000-00001A000000}" name="GFSTYP" dataDxfId="218"/>
    <tableColumn id="27" xr3:uid="{00000000-0010-0000-0000-00001B000000}" name="RGITYP" dataDxfId="217"/>
    <tableColumn id="83" xr3:uid="{00000000-0010-0000-0000-000053000000}" name="RDSON18" dataDxfId="216"/>
    <tableColumn id="28" xr3:uid="{00000000-0010-0000-0000-00001C000000}" name="RDSON25" dataDxfId="215"/>
    <tableColumn id="80" xr3:uid="{00000000-0010-0000-0000-000050000000}" name="RDSON3" dataDxfId="214"/>
    <tableColumn id="29" xr3:uid="{00000000-0010-0000-0000-00001D000000}" name="RDSON45" dataDxfId="213"/>
    <tableColumn id="78" xr3:uid="{00000000-0010-0000-0000-00004E000000}" name="RDSON6" dataDxfId="212"/>
    <tableColumn id="30" xr3:uid="{00000000-0010-0000-0000-00001E000000}" name="RDSON8" dataDxfId="211"/>
    <tableColumn id="31" xr3:uid="{00000000-0010-0000-0000-00001F000000}" name="RDSON10" dataDxfId="210"/>
    <tableColumn id="32" xr3:uid="{00000000-0010-0000-0000-000020000000}" name="RDSDELTA" dataDxfId="209"/>
    <tableColumn id="33" xr3:uid="{00000000-0010-0000-0000-000021000000}" name="QGTYP" dataDxfId="208"/>
    <tableColumn id="34" xr3:uid="{00000000-0010-0000-0000-000022000000}" name="QG2_5TYP" dataDxfId="207"/>
    <tableColumn id="82" xr3:uid="{00000000-0010-0000-0000-000052000000}" name="QGTH" dataDxfId="206"/>
    <tableColumn id="35" xr3:uid="{00000000-0010-0000-0000-000023000000}" name="QG10TYP" dataDxfId="205"/>
    <tableColumn id="36" xr3:uid="{00000000-0010-0000-0000-000024000000}" name="CISS_AT_1V" dataDxfId="204"/>
    <tableColumn id="37" xr3:uid="{00000000-0010-0000-0000-000025000000}" name="CISS_AT_VDSSPEC" dataDxfId="203"/>
    <tableColumn id="38" xr3:uid="{00000000-0010-0000-0000-000026000000}" name="CISSMAX" dataDxfId="202"/>
    <tableColumn id="39" xr3:uid="{00000000-0010-0000-0000-000027000000}" name="COSS_AT_1V" dataDxfId="201"/>
    <tableColumn id="40" xr3:uid="{00000000-0010-0000-0000-000028000000}" name="COSS_AT_VDSSPEC" dataDxfId="200"/>
    <tableColumn id="41" xr3:uid="{00000000-0010-0000-0000-000029000000}" name="COSSMAX" dataDxfId="199"/>
    <tableColumn id="42" xr3:uid="{00000000-0010-0000-0000-00002A000000}" name="CRSS_AT_1V" dataDxfId="198"/>
    <tableColumn id="43" xr3:uid="{00000000-0010-0000-0000-00002B000000}" name="CRSS_AT_VDSSPEC" dataDxfId="197"/>
    <tableColumn id="44" xr3:uid="{00000000-0010-0000-0000-00002C000000}" name="CRSSMAX" dataDxfId="196"/>
    <tableColumn id="45" xr3:uid="{00000000-0010-0000-0000-00002D000000}" name="VDSSPEC" dataDxfId="195"/>
    <tableColumn id="46" xr3:uid="{00000000-0010-0000-0000-00002E000000}" name="SOATIME_MS" dataDxfId="194"/>
    <tableColumn id="47" xr3:uid="{00000000-0010-0000-0000-00002F000000}" name="VDS_START" dataDxfId="193"/>
    <tableColumn id="48" xr3:uid="{00000000-0010-0000-0000-000030000000}" name="ID_START" dataDxfId="192"/>
    <tableColumn id="49" xr3:uid="{00000000-0010-0000-0000-000031000000}" name="VDS_1STDROP" dataDxfId="191"/>
    <tableColumn id="50" xr3:uid="{00000000-0010-0000-0000-000032000000}" name="ID_1STDROP" dataDxfId="190"/>
    <tableColumn id="51" xr3:uid="{00000000-0010-0000-0000-000033000000}" name="VDS_2NDDROP" dataDxfId="189"/>
    <tableColumn id="52" xr3:uid="{00000000-0010-0000-0000-000034000000}" name="ID_2NDDROP" dataDxfId="188"/>
    <tableColumn id="53" xr3:uid="{00000000-0010-0000-0000-000035000000}" name="VDS_3RDDROP" dataDxfId="187"/>
    <tableColumn id="54" xr3:uid="{00000000-0010-0000-0000-000036000000}" name="ID_3RDDROP" dataDxfId="186"/>
    <tableColumn id="55" xr3:uid="{00000000-0010-0000-0000-000037000000}" name="VDS_END" dataDxfId="185"/>
    <tableColumn id="56" xr3:uid="{00000000-0010-0000-0000-000038000000}" name="ID_END" dataDxfId="184"/>
    <tableColumn id="57" xr3:uid="{00000000-0010-0000-0000-000039000000}" name="KQG" dataDxfId="183"/>
    <tableColumn id="58" xr3:uid="{00000000-0010-0000-0000-00003A000000}" name="POWERBLOCK" dataDxfId="182"/>
    <tableColumn id="59" xr3:uid="{00000000-0010-0000-0000-00003B000000}" name="VF_TYP" dataDxfId="181"/>
    <tableColumn id="60" xr3:uid="{00000000-0010-0000-0000-00003C000000}" name="HEATSINKABLE" dataDxfId="180"/>
    <tableColumn id="61" xr3:uid="{00000000-0010-0000-0000-00003D000000}" name="PACKAGE" dataDxfId="179"/>
    <tableColumn id="62" xr3:uid="{00000000-0010-0000-0000-00003E000000}" name="CGS1" dataDxfId="178"/>
    <tableColumn id="63" xr3:uid="{00000000-0010-0000-0000-00003F000000}" name="ROHS" dataDxfId="177"/>
    <tableColumn id="64" xr3:uid="{00000000-0010-0000-0000-000040000000}" name="DATASHEET_URL" dataDxfId="176"/>
    <tableColumn id="65" xr3:uid="{00000000-0010-0000-0000-000041000000}" name="KVTH" dataDxfId="175"/>
    <tableColumn id="66" xr3:uid="{00000000-0010-0000-0000-000042000000}" name="RGIMAX" dataDxfId="174"/>
    <tableColumn id="67" xr3:uid="{00000000-0010-0000-0000-000043000000}" name="VGSATMAXRDS" dataDxfId="173"/>
    <tableColumn id="68" xr3:uid="{00000000-0010-0000-0000-000044000000}" name="QRR" dataDxfId="172"/>
    <tableColumn id="69" xr3:uid="{00000000-0010-0000-0000-000045000000}" name="QGD" dataDxfId="171"/>
    <tableColumn id="70" xr3:uid="{00000000-0010-0000-0000-000046000000}" name="QGS" dataDxfId="170"/>
    <tableColumn id="71" xr3:uid="{00000000-0010-0000-0000-000047000000}" name="DEPLETIONMODE" dataDxfId="169"/>
    <tableColumn id="72" xr3:uid="{00000000-0010-0000-0000-000048000000}" name="TI_EQ_PACKAGE" dataDxfId="168"/>
    <tableColumn id="73" xr3:uid="{00000000-0010-0000-0000-000049000000}" name="AUTOMOTIVE" dataDxfId="167"/>
    <tableColumn id="74" xr3:uid="{00000000-0010-0000-0000-00004A000000}" name="GRADE" dataDxfId="166"/>
    <tableColumn id="75" xr3:uid="{00000000-0010-0000-0000-00004B000000}" name="TIMESTAMP" dataDxfId="165"/>
    <tableColumn id="76" xr3:uid="{00000000-0010-0000-0000-00004C000000}" name="DATEMODIFIED" dataDxfId="164"/>
    <tableColumn id="77" xr3:uid="{00000000-0010-0000-0000-00004D000000}" name="ID" dataDxfId="163"/>
    <tableColumn id="79" xr3:uid="{00000000-0010-0000-0000-00004F000000}" name="1KPRICE" dataDxfId="162"/>
  </tableColumns>
  <tableStyleInfo name="TableStyleMedium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oad_Switch_PFET" displayName="Load_Switch_PFET" ref="A1:CB26" totalsRowShown="0" headerRowDxfId="161" dataDxfId="159" headerRowBorderDxfId="160">
  <autoFilter ref="A1:CB26" xr:uid="{00000000-0009-0000-0100-000002000000}"/>
  <sortState ref="A2:CB24">
    <sortCondition ref="A1:A24"/>
  </sortState>
  <tableColumns count="80">
    <tableColumn id="1" xr3:uid="{00000000-0010-0000-0100-000001000000}" name="PARTNUMBER" dataDxfId="158"/>
    <tableColumn id="2" xr3:uid="{00000000-0010-0000-0100-000002000000}" name="PARTID" dataDxfId="157"/>
    <tableColumn id="3" xr3:uid="{00000000-0010-0000-0100-000003000000}" name="WIZARD_ENABLED" dataDxfId="156"/>
    <tableColumn id="4" xr3:uid="{00000000-0010-0000-0100-000004000000}" name="AVAILABLE" dataDxfId="155"/>
    <tableColumn id="5" xr3:uid="{00000000-0010-0000-0100-000005000000}" name="SCHEMATIC_SYMBOL" dataDxfId="154"/>
    <tableColumn id="6" xr3:uid="{00000000-0010-0000-0100-000006000000}" name="THERMAL_ID" dataDxfId="153"/>
    <tableColumn id="7" xr3:uid="{00000000-0010-0000-0100-000007000000}" name="COMMENTS" dataDxfId="152"/>
    <tableColumn id="8" xr3:uid="{00000000-0010-0000-0100-000008000000}" name="CHTYPE" dataDxfId="151"/>
    <tableColumn id="9" xr3:uid="{00000000-0010-0000-0100-000009000000}" name="CHNUM" dataDxfId="150"/>
    <tableColumn id="10" xr3:uid="{00000000-0010-0000-0100-00000A000000}" name="SUBID" dataDxfId="149"/>
    <tableColumn id="11" xr3:uid="{00000000-0010-0000-0100-00000B000000}" name="MOUNT" dataDxfId="148"/>
    <tableColumn id="12" xr3:uid="{00000000-0010-0000-0100-00000C000000}" name="VDSMAX" dataDxfId="147"/>
    <tableColumn id="13" xr3:uid="{00000000-0010-0000-0100-00000D000000}" name="VGSMAX" dataDxfId="146"/>
    <tableColumn id="14" xr3:uid="{00000000-0010-0000-0100-00000E000000}" name="IDSMAX" dataDxfId="145"/>
    <tableColumn id="15" xr3:uid="{00000000-0010-0000-0100-00000F000000}" name="IDMMAX" dataDxfId="144"/>
    <tableColumn id="16" xr3:uid="{00000000-0010-0000-0100-000010000000}" name="TJMAX" dataDxfId="143"/>
    <tableColumn id="17" xr3:uid="{00000000-0010-0000-0100-000011000000}" name="PDMAX" dataDxfId="142"/>
    <tableColumn id="18" xr3:uid="{00000000-0010-0000-0100-000012000000}" name="RTHJA" dataDxfId="141"/>
    <tableColumn id="19" xr3:uid="{00000000-0010-0000-0100-000013000000}" name="RTHJF" dataDxfId="140"/>
    <tableColumn id="20" xr3:uid="{00000000-0010-0000-0100-000014000000}" name="VTHMIN" dataDxfId="139"/>
    <tableColumn id="21" xr3:uid="{00000000-0010-0000-0100-000015000000}" name="VTHMAX" dataDxfId="138"/>
    <tableColumn id="22" xr3:uid="{00000000-0010-0000-0100-000016000000}" name="VFMAX" dataDxfId="137"/>
    <tableColumn id="23" xr3:uid="{00000000-0010-0000-0100-000017000000}" name="TRRTYP" dataDxfId="136"/>
    <tableColumn id="24" xr3:uid="{00000000-0010-0000-0100-000018000000}" name="TRRIF" dataDxfId="135"/>
    <tableColumn id="25" xr3:uid="{00000000-0010-0000-0100-000019000000}" name="TRRISR" dataDxfId="134"/>
    <tableColumn id="26" xr3:uid="{00000000-0010-0000-0100-00001A000000}" name="GFSTYP" dataDxfId="133"/>
    <tableColumn id="27" xr3:uid="{00000000-0010-0000-0100-00001B000000}" name="RGITYP" dataDxfId="132"/>
    <tableColumn id="28" xr3:uid="{00000000-0010-0000-0100-00001C000000}" name="RDSON15" dataDxfId="131"/>
    <tableColumn id="29" xr3:uid="{00000000-0010-0000-0100-00001D000000}" name="RDSON18" dataDxfId="130"/>
    <tableColumn id="30" xr3:uid="{00000000-0010-0000-0100-00001E000000}" name="RDSON25" dataDxfId="129"/>
    <tableColumn id="31" xr3:uid="{00000000-0010-0000-0100-00001F000000}" name="RDSON45" dataDxfId="128"/>
    <tableColumn id="32" xr3:uid="{00000000-0010-0000-0100-000020000000}" name="RDSON8" dataDxfId="127"/>
    <tableColumn id="33" xr3:uid="{00000000-0010-0000-0100-000021000000}" name="RDSON10" dataDxfId="126"/>
    <tableColumn id="34" xr3:uid="{00000000-0010-0000-0100-000022000000}" name="RDSDELTA" dataDxfId="125"/>
    <tableColumn id="35" xr3:uid="{00000000-0010-0000-0100-000023000000}" name="QGTYP" dataDxfId="124"/>
    <tableColumn id="36" xr3:uid="{00000000-0010-0000-0100-000024000000}" name="QG2_5TYP" dataDxfId="123"/>
    <tableColumn id="37" xr3:uid="{00000000-0010-0000-0100-000025000000}" name="QG10TYP" dataDxfId="122"/>
    <tableColumn id="38" xr3:uid="{00000000-0010-0000-0100-000026000000}" name="CISS_AT_1V" dataDxfId="121"/>
    <tableColumn id="39" xr3:uid="{00000000-0010-0000-0100-000027000000}" name="CISS_AT_VDSSPEC" dataDxfId="120"/>
    <tableColumn id="40" xr3:uid="{00000000-0010-0000-0100-000028000000}" name="CISSMAX" dataDxfId="119"/>
    <tableColumn id="41" xr3:uid="{00000000-0010-0000-0100-000029000000}" name="COSS_AT_1V" dataDxfId="118"/>
    <tableColumn id="42" xr3:uid="{00000000-0010-0000-0100-00002A000000}" name="COSS_AT_VDSSPEC" dataDxfId="117"/>
    <tableColumn id="43" xr3:uid="{00000000-0010-0000-0100-00002B000000}" name="COSSMAX" dataDxfId="116"/>
    <tableColumn id="44" xr3:uid="{00000000-0010-0000-0100-00002C000000}" name="CRSS_AT_1V" dataDxfId="115"/>
    <tableColumn id="45" xr3:uid="{00000000-0010-0000-0100-00002D000000}" name="CRSS_AT_VDSSPEC" dataDxfId="114"/>
    <tableColumn id="46" xr3:uid="{00000000-0010-0000-0100-00002E000000}" name="CRSSMAX" dataDxfId="113"/>
    <tableColumn id="47" xr3:uid="{00000000-0010-0000-0100-00002F000000}" name="VDSSPEC" dataDxfId="112"/>
    <tableColumn id="48" xr3:uid="{00000000-0010-0000-0100-000030000000}" name="SOATIME_MS" dataDxfId="111"/>
    <tableColumn id="49" xr3:uid="{00000000-0010-0000-0100-000031000000}" name="VDS_START" dataDxfId="110"/>
    <tableColumn id="50" xr3:uid="{00000000-0010-0000-0100-000032000000}" name="ID_START" dataDxfId="109"/>
    <tableColumn id="51" xr3:uid="{00000000-0010-0000-0100-000033000000}" name="VDS_1STDROP" dataDxfId="108"/>
    <tableColumn id="52" xr3:uid="{00000000-0010-0000-0100-000034000000}" name="ID_1STDROP" dataDxfId="107"/>
    <tableColumn id="53" xr3:uid="{00000000-0010-0000-0100-000035000000}" name="VDS_2NDDROP" dataDxfId="106"/>
    <tableColumn id="54" xr3:uid="{00000000-0010-0000-0100-000036000000}" name="ID_2NDDROP" dataDxfId="105"/>
    <tableColumn id="55" xr3:uid="{00000000-0010-0000-0100-000037000000}" name="VDS_3RDDROP" dataDxfId="104"/>
    <tableColumn id="56" xr3:uid="{00000000-0010-0000-0100-000038000000}" name="ID_3RDDROP" dataDxfId="103"/>
    <tableColumn id="57" xr3:uid="{00000000-0010-0000-0100-000039000000}" name="VDS_END" dataDxfId="102"/>
    <tableColumn id="58" xr3:uid="{00000000-0010-0000-0100-00003A000000}" name="ID_END" dataDxfId="101"/>
    <tableColumn id="59" xr3:uid="{00000000-0010-0000-0100-00003B000000}" name="KQG" dataDxfId="100"/>
    <tableColumn id="60" xr3:uid="{00000000-0010-0000-0100-00003C000000}" name="POWERBLOCK" dataDxfId="99"/>
    <tableColumn id="61" xr3:uid="{00000000-0010-0000-0100-00003D000000}" name="VF_TYP" dataDxfId="98"/>
    <tableColumn id="62" xr3:uid="{00000000-0010-0000-0100-00003E000000}" name="HEATSINKABLE" dataDxfId="97"/>
    <tableColumn id="63" xr3:uid="{00000000-0010-0000-0100-00003F000000}" name="PACKAGE" dataDxfId="96"/>
    <tableColumn id="64" xr3:uid="{00000000-0010-0000-0100-000040000000}" name="CGS1" dataDxfId="95"/>
    <tableColumn id="65" xr3:uid="{00000000-0010-0000-0100-000041000000}" name="ROHS" dataDxfId="94"/>
    <tableColumn id="66" xr3:uid="{00000000-0010-0000-0100-000042000000}" name="DATASHEET_URL" dataDxfId="93"/>
    <tableColumn id="67" xr3:uid="{00000000-0010-0000-0100-000043000000}" name="KVTH" dataDxfId="92"/>
    <tableColumn id="68" xr3:uid="{00000000-0010-0000-0100-000044000000}" name="RGIMAX" dataDxfId="91"/>
    <tableColumn id="69" xr3:uid="{00000000-0010-0000-0100-000045000000}" name="VGSATMAXRDS" dataDxfId="90"/>
    <tableColumn id="70" xr3:uid="{00000000-0010-0000-0100-000046000000}" name="QRR" dataDxfId="89"/>
    <tableColumn id="71" xr3:uid="{00000000-0010-0000-0100-000047000000}" name="QGD" dataDxfId="88"/>
    <tableColumn id="72" xr3:uid="{00000000-0010-0000-0100-000048000000}" name="QGS" dataDxfId="87"/>
    <tableColumn id="73" xr3:uid="{00000000-0010-0000-0100-000049000000}" name="DEPLETIONMODE" dataDxfId="86"/>
    <tableColumn id="74" xr3:uid="{00000000-0010-0000-0100-00004A000000}" name="TI_EQ_PACKAGE" dataDxfId="85"/>
    <tableColumn id="75" xr3:uid="{00000000-0010-0000-0100-00004B000000}" name="AUTOMOTIVE" dataDxfId="84"/>
    <tableColumn id="76" xr3:uid="{00000000-0010-0000-0100-00004C000000}" name="GRADE" dataDxfId="83"/>
    <tableColumn id="77" xr3:uid="{00000000-0010-0000-0100-00004D000000}" name="TIMESTAMP" dataDxfId="82"/>
    <tableColumn id="78" xr3:uid="{00000000-0010-0000-0100-00004E000000}" name="DATEMODIFIED" dataDxfId="81"/>
    <tableColumn id="79" xr3:uid="{00000000-0010-0000-0100-00004F000000}" name="ID" dataDxfId="80"/>
    <tableColumn id="80" xr3:uid="{00000000-0010-0000-0100-000050000000}" name="1KPRICE" dataDxfId="7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NFET_PLOSS" displayName="NFET_PLOSS" ref="A1:AP144" totalsRowShown="0" headerRowDxfId="78" dataDxfId="77">
  <autoFilter ref="A1:AP144" xr:uid="{00000000-0009-0000-0100-000004000000}"/>
  <tableColumns count="42">
    <tableColumn id="1" xr3:uid="{00000000-0010-0000-0200-000001000000}" name="PN" dataDxfId="76">
      <calculatedColumnFormula>IF(CH="N",NLogic!B2,"")</calculatedColumnFormula>
    </tableColumn>
    <tableColumn id="2" xr3:uid="{00000000-0010-0000-0200-000002000000}" name="RDS_1V8" dataDxfId="75">
      <calculatedColumnFormula>IF(OR($A2=0,$A2=""),"0",IF(LOOKUP($A2,Load_Switch_NFET[PARTNUMBER],Load_Switch_NFET[RDSON18])="(NULL)","0","1"))</calculatedColumnFormula>
    </tableColumn>
    <tableColumn id="3" xr3:uid="{00000000-0010-0000-0200-000003000000}" name="RDS_2V5" dataDxfId="74">
      <calculatedColumnFormula>IF(OR($A2=0,$A2=""),"0",IF(LOOKUP($A2,Load_Switch_NFET[PARTNUMBER],Load_Switch_NFET[RDSON25])="(NULL)","0","1"))</calculatedColumnFormula>
    </tableColumn>
    <tableColumn id="4" xr3:uid="{00000000-0010-0000-0200-000004000000}" name="RDS_3V" dataDxfId="73">
      <calculatedColumnFormula>IF(OR($A2=0,$A2=""),"0",IF(LOOKUP($A2,Load_Switch_NFET[PARTNUMBER],Load_Switch_NFET[RDSON3])="(NULL)","0","1"))</calculatedColumnFormula>
    </tableColumn>
    <tableColumn id="5" xr3:uid="{00000000-0010-0000-0200-000005000000}" name="RDS_4V5" dataDxfId="72">
      <calculatedColumnFormula>IF(OR($A2=0,$A2=""),"0",IF(LOOKUP($A2,Load_Switch_NFET[PARTNUMBER],Load_Switch_NFET[RDSON45])="(NULL)","0","1"))</calculatedColumnFormula>
    </tableColumn>
    <tableColumn id="6" xr3:uid="{00000000-0010-0000-0200-000006000000}" name="RDS_6V" dataDxfId="71">
      <calculatedColumnFormula>IF(OR($A2=0,$A2=""),"0",IF(LOOKUP($A2,Load_Switch_NFET[PARTNUMBER],Load_Switch_NFET[RDSON6])="(NULL)","0","1"))</calculatedColumnFormula>
    </tableColumn>
    <tableColumn id="7" xr3:uid="{00000000-0010-0000-0200-000007000000}" name="RDS_8V" dataDxfId="70">
      <calculatedColumnFormula>IF(OR($A2=0,$A2=""),"0",IF(LOOKUP($A2,Load_Switch_NFET[PARTNUMBER],Load_Switch_NFET[RDSON8])="(NULL)","0","1"))</calculatedColumnFormula>
    </tableColumn>
    <tableColumn id="8" xr3:uid="{00000000-0010-0000-0200-000008000000}" name="RDS_10V" dataDxfId="69">
      <calculatedColumnFormula>IF(OR($A2=0,$A2=""),"0",IF(LOOKUP($A2,Load_Switch_NFET[PARTNUMBER],Load_Switch_NFET[RDSON10])="(NULL)","0","1"))</calculatedColumnFormula>
    </tableColumn>
    <tableColumn id="9" xr3:uid="{00000000-0010-0000-0200-000009000000}" name="1V8" dataDxfId="68">
      <calculatedColumnFormula>AND(AS$2,B2="1")</calculatedColumnFormula>
    </tableColumn>
    <tableColumn id="10" xr3:uid="{00000000-0010-0000-0200-00000A000000}" name="2V5" dataDxfId="67">
      <calculatedColumnFormula>AND(AT$2,C2="1")</calculatedColumnFormula>
    </tableColumn>
    <tableColumn id="11" xr3:uid="{00000000-0010-0000-0200-00000B000000}" name="3V" dataDxfId="66">
      <calculatedColumnFormula>AND(AU$2,D2="1")</calculatedColumnFormula>
    </tableColumn>
    <tableColumn id="12" xr3:uid="{00000000-0010-0000-0200-00000C000000}" name="4V5" dataDxfId="65">
      <calculatedColumnFormula>AND(AV$2,E2="1")</calculatedColumnFormula>
    </tableColumn>
    <tableColumn id="13" xr3:uid="{00000000-0010-0000-0200-00000D000000}" name="6V" dataDxfId="64">
      <calculatedColumnFormula>AND(AW$2,F2="1")</calculatedColumnFormula>
    </tableColumn>
    <tableColumn id="14" xr3:uid="{00000000-0010-0000-0200-00000E000000}" name="8V" dataDxfId="63">
      <calculatedColumnFormula>AND(AX$2,G2="1")</calculatedColumnFormula>
    </tableColumn>
    <tableColumn id="15" xr3:uid="{00000000-0010-0000-0200-00000F000000}" name="10V" dataDxfId="62">
      <calculatedColumnFormula>AND(AY$2,H2="1")</calculatedColumnFormula>
    </tableColumn>
    <tableColumn id="16" xr3:uid="{00000000-0010-0000-0200-000010000000}" name="OR" dataDxfId="61">
      <calculatedColumnFormula>OR(I2:O2)</calculatedColumnFormula>
    </tableColumn>
    <tableColumn id="17" xr3:uid="{00000000-0010-0000-0200-000011000000}" name="VGS_1V8" dataDxfId="60">
      <calculatedColumnFormula>IF($P2,I2,IF((B2="1"),OR($AR$2,$AR$9)))</calculatedColumnFormula>
    </tableColumn>
    <tableColumn id="18" xr3:uid="{00000000-0010-0000-0200-000012000000}" name="VGS_2V5" dataDxfId="59">
      <calculatedColumnFormula>IF($P2,J2,IF((C2="1"),OR($AR$2,$AR$9)))</calculatedColumnFormula>
    </tableColumn>
    <tableColumn id="19" xr3:uid="{00000000-0010-0000-0200-000013000000}" name="VGS_3V" dataDxfId="58">
      <calculatedColumnFormula>IF($P2,K2,IF((D2="1"),OR(AR$2,AR$9,AV$2,L2)))</calculatedColumnFormula>
    </tableColumn>
    <tableColumn id="20" xr3:uid="{00000000-0010-0000-0200-000014000000}" name="VGS_4V5" dataDxfId="57">
      <calculatedColumnFormula>IF($P2,L2,IF((E2="1"),OR(AU$2,K2,AW$2,M2)))</calculatedColumnFormula>
    </tableColumn>
    <tableColumn id="21" xr3:uid="{00000000-0010-0000-0200-000015000000}" name="VGS_6V" dataDxfId="56">
      <calculatedColumnFormula>IF($P2,M2,IF((F2="1"),OR(AV$2,L2,AX$2,N2)))</calculatedColumnFormula>
    </tableColumn>
    <tableColumn id="22" xr3:uid="{00000000-0010-0000-0200-000016000000}" name="VGS_8V" dataDxfId="55">
      <calculatedColumnFormula>IF($P2,N2,IF((G2="1"),OR(AW$2,M2,AY$2,O2)))</calculatedColumnFormula>
    </tableColumn>
    <tableColumn id="23" xr3:uid="{00000000-0010-0000-0200-000017000000}" name="VGS_10V" dataDxfId="54">
      <calculatedColumnFormula>IF($P2,O2,IF((H2="1"),OR(AX$2,N2)))</calculatedColumnFormula>
    </tableColumn>
    <tableColumn id="24" xr3:uid="{00000000-0010-0000-0200-000018000000}" name="RDSON" dataDxfId="53">
      <calculatedColumnFormula>IF(W2,LOOKUP(A2,Load_Switch_NFET[PARTNUMBER],Load_Switch_NFET[RDSON10])*1000,IF(V2,LOOKUP(A2,Load_Switch_NFET[PARTNUMBER],Load_Switch_NFET[RDSON8])*1000,IF(U2,LOOKUP(A2,Load_Switch_NFET[PARTNUMBER],Load_Switch_NFET[RDSON6])*1000,IF(T2,LOOKUP(A2,Load_Switch_NFET[PARTNUMBER],Load_Switch_NFET[RDSON45])*1000,IF(S2,LOOKUP(A2,Load_Switch_NFET[PARTNUMBER],Load_Switch_NFET[RDSON3])*1000,IF(R2,LOOKUP(A2,Load_Switch_NFET[PARTNUMBER],Load_Switch_NFET[RDSON25])*1000,IF(Q2,LOOKUP(A2,Load_Switch_NFET[PARTNUMBER],Load_Switch_NFET[RDSON18])*1000,"")))))))</calculatedColumnFormula>
    </tableColumn>
    <tableColumn id="25" xr3:uid="{00000000-0010-0000-0200-000019000000}" name="RDSONTJ" dataDxfId="52"/>
    <tableColumn id="26" xr3:uid="{00000000-0010-0000-0200-00001A000000}" name="VTHMAX" dataDxfId="51"/>
    <tableColumn id="27" xr3:uid="{00000000-0010-0000-0200-00001B000000}" name="VTHMIN" dataDxfId="50"/>
    <tableColumn id="28" xr3:uid="{00000000-0010-0000-0200-00001C000000}" name="VGSMIN" dataDxfId="49">
      <calculatedColumnFormula>IF(AND(A2&lt;&gt;0,A2&lt;&gt;""),IF(B2="1",1.8,IF(C2="1",2.5,IF(D2="1",3,IF(E2="1",4.5,IF(F2="1",6,IF(G2="1",8,IF(H2="1",10))))))),"#N/A")</calculatedColumnFormula>
    </tableColumn>
    <tableColumn id="29" xr3:uid="{00000000-0010-0000-0200-00001D000000}" name="RGMAX" dataDxfId="48"/>
    <tableColumn id="30" xr3:uid="{00000000-0010-0000-0200-00001E000000}" name="QGTYP" dataDxfId="47"/>
    <tableColumn id="31" xr3:uid="{00000000-0010-0000-0200-00001F000000}" name="QGS" dataDxfId="46"/>
    <tableColumn id="32" xr3:uid="{00000000-0010-0000-0200-000020000000}" name="QGD" dataDxfId="45"/>
    <tableColumn id="33" xr3:uid="{00000000-0010-0000-0200-000021000000}" name="QGTH" dataDxfId="44"/>
    <tableColumn id="34" xr3:uid="{00000000-0010-0000-0200-000022000000}" name="VMILLER" dataDxfId="43"/>
    <tableColumn id="35" xr3:uid="{00000000-0010-0000-0200-000023000000}" name="COSS" dataDxfId="42"/>
    <tableColumn id="36" xr3:uid="{00000000-0010-0000-0200-000024000000}" name="QSW" dataDxfId="41"/>
    <tableColumn id="37" xr3:uid="{00000000-0010-0000-0200-000025000000}" name="VGTH" dataDxfId="40"/>
    <tableColumn id="38" xr3:uid="{00000000-0010-0000-0200-000026000000}" name="PCOND" dataDxfId="39"/>
    <tableColumn id="39" xr3:uid="{00000000-0010-0000-0200-000027000000}" name="PTOT" dataDxfId="38">
      <calculatedColumnFormula>IF(AND($A2&lt;&gt;0,$A2&lt;&gt;""),ROUND(SUM(AL2:AL2),3),"")</calculatedColumnFormula>
    </tableColumn>
    <tableColumn id="40" xr3:uid="{00000000-0010-0000-0200-000028000000}" name="1KPRICE" dataDxfId="37">
      <calculatedColumnFormula>IF(AND($A2&lt;&gt;0,$A2&lt;&gt;""),LOOKUP($A2,Load_Switch_NFET[PARTNUMBER],Load_Switch_NFET[1KPRICE]),"")</calculatedColumnFormula>
    </tableColumn>
    <tableColumn id="41" xr3:uid="{00000000-0010-0000-0200-000029000000}" name="PACKAGE" dataDxfId="36"/>
    <tableColumn id="42" xr3:uid="{00000000-0010-0000-0200-00002A000000}" name="RESULTS" dataDxfId="35">
      <calculatedColumnFormula>IF(AND($A2&lt;&gt;0,$A2&lt;&gt;""),CONCATENATE(A2,", ",AO2,", ",AM2,"W, $",AN2),"Invalid Part")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FET_PLOSS" displayName="PFET_PLOSS" ref="A1:AG25" totalsRowShown="0" headerRowDxfId="34" dataDxfId="33">
  <autoFilter ref="A1:AG25" xr:uid="{00000000-0009-0000-0100-000005000000}"/>
  <tableColumns count="33">
    <tableColumn id="1" xr3:uid="{00000000-0010-0000-0300-000001000000}" name="PN" dataDxfId="32">
      <calculatedColumnFormula>IF(CH="P",PLogic!B2,"")</calculatedColumnFormula>
    </tableColumn>
    <tableColumn id="2" xr3:uid="{00000000-0010-0000-0300-000002000000}" name="RDS_1V5" dataDxfId="31">
      <calculatedColumnFormula>IF(OR($A2=0,$A2=""),"0",IF(LOOKUP($A2,Load_Switch_PFET[PARTNUMBER],Load_Switch_PFET[RDSON15])="(NULL)","0","1"))</calculatedColumnFormula>
    </tableColumn>
    <tableColumn id="3" xr3:uid="{00000000-0010-0000-0300-000003000000}" name="RDS_1V8" dataDxfId="30">
      <calculatedColumnFormula>IF(OR($A2=0,$A2=""),"0",IF(LOOKUP($A2,Load_Switch_PFET[PARTNUMBER],Load_Switch_PFET[RDSON18])="(NULL)","0","1"))</calculatedColumnFormula>
    </tableColumn>
    <tableColumn id="4" xr3:uid="{00000000-0010-0000-0300-000004000000}" name="RDS_2V5" dataDxfId="29">
      <calculatedColumnFormula>IF(OR($A2=0,$A2=""),"0",IF(LOOKUP($A2,Load_Switch_PFET[PARTNUMBER],Load_Switch_PFET[RDSON25])="(NULL)","0","1"))</calculatedColumnFormula>
    </tableColumn>
    <tableColumn id="5" xr3:uid="{00000000-0010-0000-0300-000005000000}" name="RDS_4V5" dataDxfId="28">
      <calculatedColumnFormula>IF(OR($A2=0,$A2=""),"0",IF(LOOKUP($A2,Load_Switch_PFET[PARTNUMBER],Load_Switch_PFET[RDSON45])="(NULL)","0","1"))</calculatedColumnFormula>
    </tableColumn>
    <tableColumn id="6" xr3:uid="{00000000-0010-0000-0300-000006000000}" name="RDS_8V" dataDxfId="27">
      <calculatedColumnFormula>IF(OR($A2=0,$A2=""),"0",IF(LOOKUP($A2,Load_Switch_PFET[PARTNUMBER],Load_Switch_PFET[RDSON8])="(NULL)","0","1"))</calculatedColumnFormula>
    </tableColumn>
    <tableColumn id="7" xr3:uid="{00000000-0010-0000-0300-000007000000}" name="1V5" dataDxfId="26">
      <calculatedColumnFormula>AND(AJ$2,B2="1")</calculatedColumnFormula>
    </tableColumn>
    <tableColumn id="8" xr3:uid="{00000000-0010-0000-0300-000008000000}" name="1V8" dataDxfId="25">
      <calculatedColumnFormula>AND(AK$2,C2="1")</calculatedColumnFormula>
    </tableColumn>
    <tableColumn id="9" xr3:uid="{00000000-0010-0000-0300-000009000000}" name="2V5" dataDxfId="24">
      <calculatedColumnFormula>AND(AL$2,D2="1")</calculatedColumnFormula>
    </tableColumn>
    <tableColumn id="10" xr3:uid="{00000000-0010-0000-0300-00000A000000}" name="4V5" dataDxfId="23">
      <calculatedColumnFormula>AND(AM$2,E2="1")</calculatedColumnFormula>
    </tableColumn>
    <tableColumn id="11" xr3:uid="{00000000-0010-0000-0300-00000B000000}" name="8V" dataDxfId="22">
      <calculatedColumnFormula>AND(AN$2,F2="1")</calculatedColumnFormula>
    </tableColumn>
    <tableColumn id="12" xr3:uid="{00000000-0010-0000-0300-00000C000000}" name="OR" dataDxfId="21">
      <calculatedColumnFormula>OR(PFET_PLOSS[[#This Row],[1V5]:[8V]])</calculatedColumnFormula>
    </tableColumn>
    <tableColumn id="13" xr3:uid="{00000000-0010-0000-0300-00000D000000}" name="VGS_1V5" dataDxfId="20">
      <calculatedColumnFormula>IF($L2,G2,IF((B2="1"),OR($AI$2,$AI$9)))</calculatedColumnFormula>
    </tableColumn>
    <tableColumn id="14" xr3:uid="{00000000-0010-0000-0300-00000E000000}" name="VGS_1V8" dataDxfId="19">
      <calculatedColumnFormula>IF($L2,H2,IF((C2="1"),OR($AI$2,$AI$9)))</calculatedColumnFormula>
    </tableColumn>
    <tableColumn id="15" xr3:uid="{00000000-0010-0000-0300-00000F000000}" name="VGS_2V5" dataDxfId="18">
      <calculatedColumnFormula>IF($L2,I2,IF((D2="1"),OR(AI$2,AI$9,AL$2,J2)))</calculatedColumnFormula>
    </tableColumn>
    <tableColumn id="16" xr3:uid="{00000000-0010-0000-0300-000010000000}" name="VGS_4V5" dataDxfId="17">
      <calculatedColumnFormula>IF($L2,J2,IF((E2="1"),OR(AJ$2,AJ$9,AM$2,K2)))</calculatedColumnFormula>
    </tableColumn>
    <tableColumn id="17" xr3:uid="{00000000-0010-0000-0300-000011000000}" name="VGS_8V" dataDxfId="16">
      <calculatedColumnFormula>IF($L2,K2,IF((F2="1"),OR(AK$2,AK$9,AN$2,L2)))</calculatedColumnFormula>
    </tableColumn>
    <tableColumn id="18" xr3:uid="{00000000-0010-0000-0300-000012000000}" name="RDSON" dataDxfId="15">
      <calculatedColumnFormula>IF(Q2,LOOKUP(A2,Load_Switch_PFET[PARTNUMBER],Load_Switch_PFET[RDSON8])*1000,IF(P2,LOOKUP(A2,Load_Switch_PFET[PARTNUMBER],Load_Switch_PFET[RDSON45])*1000,IF(O2,LOOKUP(A2,Load_Switch_PFET[PARTNUMBER],Load_Switch_PFET[RDSON25])*1000,IF(N2,LOOKUP(A2,Load_Switch_PFET[PARTNUMBER],Load_Switch_PFET[RDSON18])*1000,IF(M2,LOOKUP(A2,Load_Switch_PFET[PARTNUMBER],Load_Switch_PFET[RDSON15])*1000,"")))))</calculatedColumnFormula>
    </tableColumn>
    <tableColumn id="19" xr3:uid="{00000000-0010-0000-0300-000013000000}" name="RDSONTJ" dataDxfId="14">
      <calculatedColumnFormula>IF(AND(A2&lt;&gt;0,A2&lt;&gt;""),R2*(1+(Tj-25)*(LOOKUP(A2,Load_Switch_PFET[PARTNUMBER],Load_Switch_PFET[RDSDELTA])/((LOOKUP(A2,Load_Switch_PFET[PARTNUMBER],Load_Switch_PFET[TJMAX])-25)))),"")</calculatedColumnFormula>
    </tableColumn>
    <tableColumn id="20" xr3:uid="{00000000-0010-0000-0300-000014000000}" name="VTHMAX" dataDxfId="13">
      <calculatedColumnFormula>IF(AND(A2&lt;&gt;0,A2&lt;&gt;""),LOOKUP(A2,Load_Switch_PFET[PARTNUMBER],Load_Switch_PFET[VTHMAX]),"")</calculatedColumnFormula>
    </tableColumn>
    <tableColumn id="21" xr3:uid="{00000000-0010-0000-0300-000015000000}" name="VTHMIN" dataDxfId="12">
      <calculatedColumnFormula>IF(AND(A2&lt;&gt;0,A2&lt;&gt;""),LOOKUP(A2,Load_Switch_PFET[PARTNUMBER],Load_Switch_PFET[VTHMIN]),"")</calculatedColumnFormula>
    </tableColumn>
    <tableColumn id="22" xr3:uid="{00000000-0010-0000-0300-000016000000}" name="VGSMIN" dataDxfId="11">
      <calculatedColumnFormula>IF(AND(A2&lt;&gt;0,A2&lt;&gt;""),IF(B2="1",-1.5,IF(C2="1",-1.8,IF(D2="1",-2.5,IF(E2="1",-4.5,IF(F2="1",-8))))),"#N/A")</calculatedColumnFormula>
    </tableColumn>
    <tableColumn id="23" xr3:uid="{00000000-0010-0000-0300-000017000000}" name="RGMAX" dataDxfId="10">
      <calculatedColumnFormula>IF(AND($A2&lt;&gt;0,$A2&lt;&gt;""),LOOKUP($A2,Load_Switch_PFET[PARTNUMBER],Load_Switch_PFET[RGIMAX]),"")</calculatedColumnFormula>
    </tableColumn>
    <tableColumn id="24" xr3:uid="{00000000-0010-0000-0300-000018000000}" name="QGTYP" dataDxfId="9">
      <calculatedColumnFormula>IF(AND($A2&lt;&gt;0,$A2&lt;&gt;""),LOOKUP($A2,Load_Switch_PFET[PARTNUMBER],Load_Switch_PFET[QGTYP]),"")</calculatedColumnFormula>
    </tableColumn>
    <tableColumn id="25" xr3:uid="{00000000-0010-0000-0300-000019000000}" name="QGS" dataDxfId="8">
      <calculatedColumnFormula>IF(AND($A2&lt;&gt;0,$A2&lt;&gt;""),LOOKUP($A2,Load_Switch_PFET[PARTNUMBER],Load_Switch_PFET[QGS]),"")</calculatedColumnFormula>
    </tableColumn>
    <tableColumn id="26" xr3:uid="{00000000-0010-0000-0300-00001A000000}" name="QGD" dataDxfId="7">
      <calculatedColumnFormula>IF(AND($A2&lt;&gt;0,$A2&lt;&gt;""),LOOKUP($A2,Load_Switch_PFET[PARTNUMBER],Load_Switch_PFET[QGD]),"")</calculatedColumnFormula>
    </tableColumn>
    <tableColumn id="27" xr3:uid="{00000000-0010-0000-0300-00001B000000}" name="COSS" dataDxfId="6">
      <calculatedColumnFormula>IF(AND($A2&lt;&gt;0,$A2&lt;&gt;""),LOOKUP($A2,Load_Switch_PFET[PARTNUMBER],Load_Switch_PFET[COSS_AT_VDSSPEC]),"")</calculatedColumnFormula>
    </tableColumn>
    <tableColumn id="28" xr3:uid="{00000000-0010-0000-0300-00001C000000}" name="VGTH" dataDxfId="5">
      <calculatedColumnFormula>IF(AND(A2&lt;&gt;0,A2&lt;&gt;""),(T2+U2)/2,"")</calculatedColumnFormula>
    </tableColumn>
    <tableColumn id="29" xr3:uid="{00000000-0010-0000-0300-00001D000000}" name="PCOND" dataDxfId="4">
      <calculatedColumnFormula>IF(AND($A2&lt;&gt;0,$A2&lt;&gt;""),Io^2*S2*m,"")</calculatedColumnFormula>
    </tableColumn>
    <tableColumn id="30" xr3:uid="{00000000-0010-0000-0300-00001E000000}" name="PTOT" dataDxfId="3">
      <calculatedColumnFormula>IF(AND($A2&lt;&gt;0,$A2&lt;&gt;""),ROUND(AC2,3),"")</calculatedColumnFormula>
    </tableColumn>
    <tableColumn id="31" xr3:uid="{00000000-0010-0000-0300-00001F000000}" name="1KPRICE" dataDxfId="2">
      <calculatedColumnFormula>IF(AND($A2&lt;&gt;0,$A2&lt;&gt;""),LOOKUP($A2,Load_Switch_PFET[PARTNUMBER],Load_Switch_PFET[1KPRICE]),"")</calculatedColumnFormula>
    </tableColumn>
    <tableColumn id="32" xr3:uid="{00000000-0010-0000-0300-000020000000}" name="PACKAGE" dataDxfId="1">
      <calculatedColumnFormula>IF(AND($A2&lt;&gt;0,$A2&lt;&gt;""),LOOKUP(A2,Load_Switch_PFET[PARTNUMBER],Load_Switch_PFET[TI_EQ_PACKAGE]),"")</calculatedColumnFormula>
    </tableColumn>
    <tableColumn id="33" xr3:uid="{00000000-0010-0000-0300-000021000000}" name="RESULTS" dataDxfId="0">
      <calculatedColumnFormula>IF(AND($A2&lt;&gt;0,$A2&lt;&gt;""),CONCATENATE(A2,", ",AF2,", ",AD2,"W, $",AE2),"Invalid Part")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2e.ti.com/blogs_/b/powerhouse/posts/selecting-the-right-power-mosfet-power-block-package-for-your-application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i.com/lit/ds/symlink/csd18543q3a.pdf" TargetMode="External"/><Relationship Id="rId13" Type="http://schemas.openxmlformats.org/officeDocument/2006/relationships/hyperlink" Target="http://www.ti.com/lit/ds/symlink/csd17507q5a.pdf" TargetMode="External"/><Relationship Id="rId18" Type="http://schemas.openxmlformats.org/officeDocument/2006/relationships/hyperlink" Target="http://www.ti.com/lit/ds/symlink/csd17551q5a.pdf" TargetMode="External"/><Relationship Id="rId3" Type="http://schemas.openxmlformats.org/officeDocument/2006/relationships/hyperlink" Target="http://www.ti.com/lit/ds/symlink/csd18510kcs.pdf" TargetMode="External"/><Relationship Id="rId21" Type="http://schemas.openxmlformats.org/officeDocument/2006/relationships/hyperlink" Target="http://www.ti.com/lit/ds/symlink/csd17553q5a.pdf" TargetMode="External"/><Relationship Id="rId7" Type="http://schemas.openxmlformats.org/officeDocument/2006/relationships/hyperlink" Target="http://www.ti.com/lit/ds/symlink/csd18511ktt.pdf" TargetMode="External"/><Relationship Id="rId12" Type="http://schemas.openxmlformats.org/officeDocument/2006/relationships/hyperlink" Target="http://www.ti.com/lit/ds/symlink/csd17506q5a.pdf" TargetMode="External"/><Relationship Id="rId17" Type="http://schemas.openxmlformats.org/officeDocument/2006/relationships/hyperlink" Target="http://www.ti.com/lit/ds/symlink/csd17551q3a.pdf" TargetMode="External"/><Relationship Id="rId25" Type="http://schemas.openxmlformats.org/officeDocument/2006/relationships/table" Target="../tables/table2.xml"/><Relationship Id="rId2" Type="http://schemas.openxmlformats.org/officeDocument/2006/relationships/hyperlink" Target="http://www.ti.com/lit/ds/symlink/csd17581q5a.pdf" TargetMode="External"/><Relationship Id="rId16" Type="http://schemas.openxmlformats.org/officeDocument/2006/relationships/hyperlink" Target="http://www.ti.com/lit/ds/symlink/csd17527q5a.pdf" TargetMode="External"/><Relationship Id="rId20" Type="http://schemas.openxmlformats.org/officeDocument/2006/relationships/hyperlink" Target="http://www.ti.com/lit/ds/symlink/csd17552q5a.pdf" TargetMode="External"/><Relationship Id="rId1" Type="http://schemas.openxmlformats.org/officeDocument/2006/relationships/hyperlink" Target="http://www.ti.com/lit/ds/symlink/csd17318q2.pdf" TargetMode="External"/><Relationship Id="rId6" Type="http://schemas.openxmlformats.org/officeDocument/2006/relationships/hyperlink" Target="http://www.ti.com/lit/ds/symlink/csd18511kcs.pdf" TargetMode="External"/><Relationship Id="rId11" Type="http://schemas.openxmlformats.org/officeDocument/2006/relationships/hyperlink" Target="http://www.ti.com/lit/ds/symlink/csd17505q5a.pdf" TargetMode="External"/><Relationship Id="rId24" Type="http://schemas.openxmlformats.org/officeDocument/2006/relationships/printerSettings" Target="../printerSettings/printerSettings4.bin"/><Relationship Id="rId5" Type="http://schemas.openxmlformats.org/officeDocument/2006/relationships/hyperlink" Target="http://www.ti.com/lit/ds/symlink/csd18510q5b.pdf" TargetMode="External"/><Relationship Id="rId15" Type="http://schemas.openxmlformats.org/officeDocument/2006/relationships/hyperlink" Target="http://www.ti.com/lit/ds/symlink/csd17522q5a.pdf" TargetMode="External"/><Relationship Id="rId23" Type="http://schemas.openxmlformats.org/officeDocument/2006/relationships/hyperlink" Target="http://www.ti.com/lit/ds/symlink/csd83325l.pdf" TargetMode="External"/><Relationship Id="rId10" Type="http://schemas.openxmlformats.org/officeDocument/2006/relationships/hyperlink" Target="http://www.ti.com/lit/ds/symlink/csd17501q5a.pdf" TargetMode="External"/><Relationship Id="rId19" Type="http://schemas.openxmlformats.org/officeDocument/2006/relationships/hyperlink" Target="http://www.ti.com/lit/ds/symlink/csd17552q3a.pdf" TargetMode="External"/><Relationship Id="rId4" Type="http://schemas.openxmlformats.org/officeDocument/2006/relationships/hyperlink" Target="http://www.ti.com/lit/ds/symlink/csd18510ktt.pdf" TargetMode="External"/><Relationship Id="rId9" Type="http://schemas.openxmlformats.org/officeDocument/2006/relationships/hyperlink" Target="http://www.ti.com/lit/ds/symlink/csd17485f5.pdf" TargetMode="External"/><Relationship Id="rId14" Type="http://schemas.openxmlformats.org/officeDocument/2006/relationships/hyperlink" Target="http://www.ti.com/lit/ds/symlink/csd17510q5a.pdf" TargetMode="External"/><Relationship Id="rId22" Type="http://schemas.openxmlformats.org/officeDocument/2006/relationships/hyperlink" Target="http://www.ti.com/lit/ds/symlink/csd17555q5a.pdf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http://www.ti.com/lit/ds/symlink/csd22206w.pdf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www.ti.com/lit/ds/symlink/csd22205l.pdf" TargetMode="External"/><Relationship Id="rId1" Type="http://schemas.openxmlformats.org/officeDocument/2006/relationships/hyperlink" Target="http://www.ti.com/lit/ds/symlink/csd25485f5.pdf" TargetMode="External"/><Relationship Id="rId6" Type="http://schemas.openxmlformats.org/officeDocument/2006/relationships/hyperlink" Target="https://www.ti.com/lit/ds/symlink/csd25404q3.pdf" TargetMode="External"/><Relationship Id="rId5" Type="http://schemas.openxmlformats.org/officeDocument/2006/relationships/hyperlink" Target="http://www.ti.com/lit/ds/symlink/csd25485f5.pdf" TargetMode="External"/><Relationship Id="rId4" Type="http://schemas.openxmlformats.org/officeDocument/2006/relationships/hyperlink" Target="http://www.ti.com/lit/ds/symlink/csd23285f5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8"/>
  <sheetViews>
    <sheetView tabSelected="1" zoomScale="115" zoomScaleNormal="115" workbookViewId="0">
      <selection activeCell="U10" sqref="U10"/>
    </sheetView>
  </sheetViews>
  <sheetFormatPr defaultColWidth="9.140625" defaultRowHeight="12.75" x14ac:dyDescent="0.2"/>
  <cols>
    <col min="1" max="16384" width="9.140625" style="57"/>
  </cols>
  <sheetData>
    <row r="1" spans="1:16" ht="12.6" customHeight="1" thickTop="1" x14ac:dyDescent="0.2">
      <c r="A1" s="135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7"/>
    </row>
    <row r="2" spans="1:16" x14ac:dyDescent="0.2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0"/>
    </row>
    <row r="3" spans="1:16" ht="30" x14ac:dyDescent="0.4">
      <c r="A3" s="138"/>
      <c r="B3" s="139"/>
      <c r="C3" s="139"/>
      <c r="D3" s="141"/>
      <c r="E3" s="139"/>
      <c r="F3" s="139"/>
      <c r="G3" s="139"/>
      <c r="H3" s="139"/>
      <c r="I3" s="139"/>
      <c r="J3" s="139"/>
      <c r="K3" s="139"/>
      <c r="L3" s="142"/>
      <c r="M3" s="139"/>
      <c r="N3" s="139"/>
      <c r="O3" s="139"/>
      <c r="P3" s="140"/>
    </row>
    <row r="4" spans="1:16" ht="23.25" x14ac:dyDescent="0.35">
      <c r="A4" s="138"/>
      <c r="B4" s="139"/>
      <c r="C4" s="139"/>
      <c r="D4" s="143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40"/>
    </row>
    <row r="5" spans="1:16" x14ac:dyDescent="0.2">
      <c r="A5" s="138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40"/>
    </row>
    <row r="6" spans="1:16" x14ac:dyDescent="0.2">
      <c r="A6" s="138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/>
    </row>
    <row r="7" spans="1:16" ht="15.75" x14ac:dyDescent="0.25">
      <c r="A7" s="138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42" t="s">
        <v>749</v>
      </c>
      <c r="N7" s="139"/>
      <c r="O7" s="139"/>
      <c r="P7" s="140"/>
    </row>
    <row r="8" spans="1:16" ht="30.75" thickBot="1" x14ac:dyDescent="0.45">
      <c r="A8" s="138"/>
      <c r="B8" s="141" t="s">
        <v>608</v>
      </c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40"/>
    </row>
    <row r="9" spans="1:16" x14ac:dyDescent="0.2">
      <c r="A9" s="150"/>
      <c r="B9" s="151" t="s">
        <v>669</v>
      </c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3"/>
      <c r="N9" s="153"/>
      <c r="O9" s="153"/>
      <c r="P9" s="154"/>
    </row>
    <row r="10" spans="1:16" x14ac:dyDescent="0.2">
      <c r="A10" s="155"/>
      <c r="B10" s="156" t="s">
        <v>668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8"/>
      <c r="N10" s="158"/>
      <c r="O10" s="158"/>
      <c r="P10" s="159"/>
    </row>
    <row r="11" spans="1:16" x14ac:dyDescent="0.2">
      <c r="A11" s="155"/>
      <c r="B11" s="158" t="s">
        <v>666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9"/>
    </row>
    <row r="12" spans="1:16" x14ac:dyDescent="0.2">
      <c r="A12" s="155"/>
      <c r="B12" s="158" t="s">
        <v>746</v>
      </c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9"/>
    </row>
    <row r="13" spans="1:16" x14ac:dyDescent="0.2">
      <c r="A13" s="155"/>
      <c r="B13" s="158" t="s">
        <v>667</v>
      </c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9"/>
    </row>
    <row r="14" spans="1:16" x14ac:dyDescent="0.2">
      <c r="A14" s="155"/>
      <c r="B14" s="158" t="s">
        <v>670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9"/>
    </row>
    <row r="15" spans="1:16" ht="13.5" thickBot="1" x14ac:dyDescent="0.25">
      <c r="A15" s="160"/>
      <c r="B15" s="161" t="s">
        <v>432</v>
      </c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3"/>
    </row>
    <row r="16" spans="1:16" x14ac:dyDescent="0.2">
      <c r="A16" s="138"/>
      <c r="B16" s="139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40"/>
    </row>
    <row r="17" spans="1:16" x14ac:dyDescent="0.2">
      <c r="A17" s="138"/>
      <c r="B17" s="144" t="s">
        <v>747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40"/>
    </row>
    <row r="18" spans="1:16" x14ac:dyDescent="0.2">
      <c r="A18" s="138"/>
      <c r="B18" s="145" t="s">
        <v>15</v>
      </c>
      <c r="C18" s="139" t="s">
        <v>14</v>
      </c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40"/>
    </row>
    <row r="19" spans="1:16" x14ac:dyDescent="0.2">
      <c r="A19" s="138"/>
      <c r="B19" s="139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40"/>
    </row>
    <row r="20" spans="1:16" ht="15.75" x14ac:dyDescent="0.25">
      <c r="A20" s="138"/>
      <c r="B20" s="139"/>
      <c r="C20" s="146" t="s">
        <v>13</v>
      </c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40"/>
    </row>
    <row r="21" spans="1:16" x14ac:dyDescent="0.2">
      <c r="A21" s="138"/>
      <c r="B21" s="139"/>
      <c r="C21" s="139" t="s">
        <v>12</v>
      </c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40"/>
    </row>
    <row r="22" spans="1:16" x14ac:dyDescent="0.2">
      <c r="A22" s="138"/>
      <c r="B22" s="139"/>
      <c r="C22" s="139" t="s">
        <v>11</v>
      </c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40"/>
    </row>
    <row r="23" spans="1:16" x14ac:dyDescent="0.2">
      <c r="A23" s="138"/>
      <c r="B23" s="139"/>
      <c r="C23" s="139" t="s">
        <v>10</v>
      </c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40"/>
    </row>
    <row r="24" spans="1:16" x14ac:dyDescent="0.2">
      <c r="A24" s="138"/>
      <c r="B24" s="139"/>
      <c r="C24" s="139" t="s">
        <v>9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40"/>
    </row>
    <row r="25" spans="1:16" x14ac:dyDescent="0.2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40"/>
    </row>
    <row r="26" spans="1:16" x14ac:dyDescent="0.2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40"/>
    </row>
    <row r="27" spans="1:16" ht="13.5" thickBot="1" x14ac:dyDescent="0.25">
      <c r="A27" s="147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9"/>
    </row>
    <row r="28" spans="1:16" ht="13.5" thickTop="1" x14ac:dyDescent="0.2"/>
  </sheetData>
  <sheetProtection algorithmName="SHA-512" hashValue="fCLyhr2vCslmVx47ue4NL3g/c/of+SvfNfXOHnuHlixHtnRmy7lzm1beU/h9u4cSC5z3FC0GL5YOZ7gisjaHyQ==" saltValue="0q1C3ihKqenP+tHluj1Zjw==" spinCount="100000" sheet="1" objects="1" scenarios="1"/>
  <pageMargins left="0.75" right="0.75" top="1" bottom="1" header="0.5" footer="0.5"/>
  <pageSetup scale="75" orientation="portrait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6"/>
  <sheetViews>
    <sheetView zoomScale="78" zoomScaleNormal="78" workbookViewId="0">
      <selection activeCell="D24" sqref="D24:G24"/>
    </sheetView>
  </sheetViews>
  <sheetFormatPr defaultColWidth="9.140625" defaultRowHeight="15" x14ac:dyDescent="0.25"/>
  <cols>
    <col min="1" max="1" width="40.7109375" style="52" bestFit="1" customWidth="1"/>
    <col min="2" max="2" width="8.42578125" style="52" bestFit="1" customWidth="1"/>
    <col min="3" max="3" width="6.42578125" style="53" customWidth="1"/>
    <col min="4" max="4" width="29.7109375" style="52" customWidth="1"/>
    <col min="5" max="7" width="45" style="52" bestFit="1" customWidth="1"/>
    <col min="8" max="8" width="9.5703125" style="52" bestFit="1" customWidth="1"/>
    <col min="9" max="9" width="16.5703125" style="52" customWidth="1"/>
    <col min="10" max="10" width="104.85546875" style="52" hidden="1" customWidth="1"/>
    <col min="11" max="16384" width="9.140625" style="52"/>
  </cols>
  <sheetData>
    <row r="1" spans="1:10" ht="15.75" thickBot="1" x14ac:dyDescent="0.3">
      <c r="A1" s="5"/>
      <c r="B1" s="5"/>
    </row>
    <row r="2" spans="1:10" ht="18" customHeight="1" x14ac:dyDescent="0.25">
      <c r="A2" s="174" t="s">
        <v>664</v>
      </c>
      <c r="B2" s="175"/>
      <c r="D2" s="119" t="s">
        <v>741</v>
      </c>
      <c r="E2" s="164" t="str">
        <f>IF(CH="N",HYPERLINK(J9,"Click Here for N-Channel MOSFET Selector on TI.com"),HYPERLINK(J10,"Click Here for P-Channel MOSFET Selector on TI.com"))</f>
        <v>Click Here for N-Channel MOSFET Selector on TI.com</v>
      </c>
      <c r="F2" s="164"/>
      <c r="G2" s="165"/>
    </row>
    <row r="3" spans="1:10" ht="15.75" customHeight="1" thickBot="1" x14ac:dyDescent="0.3">
      <c r="A3" s="176"/>
      <c r="B3" s="177"/>
      <c r="D3" s="96" t="s">
        <v>731</v>
      </c>
      <c r="E3" s="85" t="s">
        <v>732</v>
      </c>
      <c r="F3" s="85" t="s">
        <v>732</v>
      </c>
      <c r="G3" s="86" t="s">
        <v>732</v>
      </c>
    </row>
    <row r="4" spans="1:10" ht="15" customHeight="1" x14ac:dyDescent="0.25">
      <c r="A4" s="74" t="s">
        <v>672</v>
      </c>
      <c r="B4" s="75" t="s">
        <v>94</v>
      </c>
      <c r="D4" s="180" t="s">
        <v>748</v>
      </c>
      <c r="E4" s="47" t="s">
        <v>426</v>
      </c>
      <c r="F4" s="47" t="s">
        <v>427</v>
      </c>
      <c r="G4" s="48" t="s">
        <v>428</v>
      </c>
      <c r="J4" s="5" t="s">
        <v>94</v>
      </c>
    </row>
    <row r="5" spans="1:10" ht="15.75" customHeight="1" x14ac:dyDescent="0.25">
      <c r="A5" s="76" t="s">
        <v>673</v>
      </c>
      <c r="B5" s="77" t="s">
        <v>542</v>
      </c>
      <c r="D5" s="180"/>
      <c r="E5" s="47" t="s">
        <v>623</v>
      </c>
      <c r="F5" s="47" t="s">
        <v>623</v>
      </c>
      <c r="G5" s="48" t="s">
        <v>623</v>
      </c>
      <c r="J5" s="5" t="s">
        <v>472</v>
      </c>
    </row>
    <row r="6" spans="1:10" ht="16.5" x14ac:dyDescent="0.25">
      <c r="A6" s="76" t="s">
        <v>626</v>
      </c>
      <c r="B6" s="77">
        <v>5</v>
      </c>
      <c r="D6" s="80" t="s">
        <v>674</v>
      </c>
      <c r="E6" s="81"/>
      <c r="F6" s="81"/>
      <c r="G6" s="82"/>
      <c r="J6" s="5" t="s">
        <v>541</v>
      </c>
    </row>
    <row r="7" spans="1:10" ht="18" customHeight="1" x14ac:dyDescent="0.25">
      <c r="A7" s="76" t="s">
        <v>625</v>
      </c>
      <c r="B7" s="77">
        <v>5</v>
      </c>
      <c r="D7" s="59" t="s">
        <v>395</v>
      </c>
      <c r="E7" s="60" t="e">
        <f>IF(Part_Number&lt;&gt;"Invalid Part",IF(CH="N",LOOKUP(Part_Number,Load_Switch_NFET[PARTNUMBER],Load_Switch_NFET[VDSMAX]),LOOKUP(Part_Number,Load_Switch_PFET[PARTNUMBER],Load_Switch_PFET[VDSMAX])),"Not Allowed")</f>
        <v>#N/A</v>
      </c>
      <c r="F7" s="60" t="e">
        <f>IF(Part_Number2&lt;&gt;"Invalid Part",IF(CH="N",LOOKUP(Part_Number2,Load_Switch_NFET[PARTNUMBER],Load_Switch_NFET[VDSMAX]),LOOKUP(Part_Number2,Load_Switch_PFET[PARTNUMBER],Load_Switch_PFET[VDSMAX])),"Not Allowed")</f>
        <v>#N/A</v>
      </c>
      <c r="G7" s="61" t="e">
        <f>IF(Part_Number3&lt;&gt;"Invalid Part",IF(CH="N",LOOKUP(Part_Number3,Load_Switch_NFET[PARTNUMBER],Load_Switch_NFET[VDSMAX]),LOOKUP(Part_Number3,Load_Switch_PFET[PARTNUMBER],Load_Switch_PFET[VDSMAX])),"Not Allowed")</f>
        <v>#N/A</v>
      </c>
      <c r="J7" s="5" t="s">
        <v>542</v>
      </c>
    </row>
    <row r="8" spans="1:10" ht="16.5" x14ac:dyDescent="0.25">
      <c r="A8" s="76" t="s">
        <v>627</v>
      </c>
      <c r="B8" s="77">
        <v>2</v>
      </c>
      <c r="D8" s="59" t="s">
        <v>429</v>
      </c>
      <c r="E8" s="60" t="e">
        <f>IF(Part_Number&lt;&gt;"Invalid Part",IF(CH="N",LOOKUP(Part_Number,Load_Switch_NFET[PARTNUMBER],Load_Switch_NFET[VGSMAX]),LOOKUP(Part_Number,Load_Switch_PFET[PARTNUMBER],Load_Switch_PFET[VGSMAX])),"Not Allowed")</f>
        <v>#N/A</v>
      </c>
      <c r="F8" s="60" t="e">
        <f>IF(Part_Number2&lt;&gt;"Invalid Part",IF(CH="N",LOOKUP(Part_Number2,Load_Switch_NFET[PARTNUMBER],Load_Switch_NFET[VGSMAX]),LOOKUP(Part_Number2,Load_Switch_PFET[PARTNUMBER],Load_Switch_PFET[VGSMAX])),"Not Allowed")</f>
        <v>#N/A</v>
      </c>
      <c r="G8" s="61" t="e">
        <f>IF(Part_Number3&lt;&gt;"Invalid Part",IF(CH="N",LOOKUP(Part_Number3,Load_Switch_NFET[PARTNUMBER],Load_Switch_NFET[VGSMAX]),LOOKUP(Part_Number3,Load_Switch_PFET[PARTNUMBER],Load_Switch_PFET[VGSMAX])),"Not Allowed")</f>
        <v>#N/A</v>
      </c>
      <c r="J8" s="5"/>
    </row>
    <row r="9" spans="1:10" ht="17.25" thickBot="1" x14ac:dyDescent="0.3">
      <c r="A9" s="78" t="s">
        <v>633</v>
      </c>
      <c r="B9" s="79">
        <v>75</v>
      </c>
      <c r="D9" s="59" t="s">
        <v>663</v>
      </c>
      <c r="E9" s="60" t="str">
        <f>IF(Part_Number&lt;&gt;"Invalid Part",IF(CH="N",LOOKUP(Part_Number,NFET_PLOSS[PN],NFET_PLOSS[VGSMIN]),LOOKUP(Part_Number,PFET_PLOSS[PN],PFET_PLOSS[VGSMIN])),"Not Allowed")</f>
        <v>#N/A</v>
      </c>
      <c r="F9" s="60" t="str">
        <f>IF(Part_Number2&lt;&gt;"Invalid Part",IF(CH="N",LOOKUP(Part_Number2,NFET_PLOSS[PN],NFET_PLOSS[VGSMIN]),LOOKUP(Part_Number2,PFET_PLOSS[PN],PFET_PLOSS[VGSMIN])),"Not Allowed")</f>
        <v>#N/A</v>
      </c>
      <c r="G9" s="61" t="str">
        <f>IF(Part_Number3&lt;&gt;"Invalid Part",IF(CH="N",LOOKUP(Part_Number3,NFET_PLOSS[PN],NFET_PLOSS[VGSMIN]),LOOKUP(Part_Number3,PFET_PLOSS[PN],PFET_PLOSS[VGSMIN])),"Not Allowed")</f>
        <v>#N/A</v>
      </c>
      <c r="J9" s="5" t="s">
        <v>621</v>
      </c>
    </row>
    <row r="10" spans="1:10" ht="17.25" thickBot="1" x14ac:dyDescent="0.3">
      <c r="A10" s="178" t="s">
        <v>665</v>
      </c>
      <c r="B10" s="179"/>
      <c r="D10" s="59" t="s">
        <v>431</v>
      </c>
      <c r="E10" s="60" t="e">
        <f>IF(Part_Number&lt;&gt;"Invalid Part",IF(CH="N",LOOKUP(Part_Number,Load_Switch_NFET[PARTNUMBER],Load_Switch_NFET[VTHMIN]),LOOKUP(Part_Number,Load_Switch_PFET[PARTNUMBER],Load_Switch_PFET[VTHMIN])),"Not Allowed")</f>
        <v>#N/A</v>
      </c>
      <c r="F10" s="60" t="e">
        <f>IF(Part_Number2&lt;&gt;"Invalid Part",IF(CH="N",LOOKUP(Part_Number2,Load_Switch_NFET[PARTNUMBER],Load_Switch_NFET[VTHMIN]),LOOKUP(Part_Number2,Load_Switch_PFET[PARTNUMBER],Load_Switch_PFET[VTHMIN])),"Not Allowed")</f>
        <v>#N/A</v>
      </c>
      <c r="G10" s="61" t="e">
        <f>IF(Part_Number3&lt;&gt;"Invalid Part",IF(CH="N",LOOKUP(Part_Number3,Load_Switch_NFET[PARTNUMBER],Load_Switch_NFET[VTHMIN]),LOOKUP(Part_Number3,Load_Switch_PFET[PARTNUMBER],Load_Switch_PFET[VTHMIN])),"Not Allowed")</f>
        <v>#N/A</v>
      </c>
      <c r="J10" s="5" t="s">
        <v>622</v>
      </c>
    </row>
    <row r="11" spans="1:10" ht="16.5" x14ac:dyDescent="0.25">
      <c r="A11" s="181" t="s">
        <v>631</v>
      </c>
      <c r="B11" s="181"/>
      <c r="C11" s="20"/>
      <c r="D11" s="59" t="s">
        <v>430</v>
      </c>
      <c r="E11" s="60" t="e">
        <f>IF(Part_Number&lt;&gt;"Invalid Part",IF(CH="N",LOOKUP(Part_Number,Load_Switch_NFET[PARTNUMBER],Load_Switch_NFET[VTHMAX]),LOOKUP(Part_Number,Load_Switch_PFET[PARTNUMBER],Load_Switch_PFET[VTHMAX])),"Not Allowed")</f>
        <v>#N/A</v>
      </c>
      <c r="F11" s="60" t="e">
        <f>IF(Part_Number2&lt;&gt;"Invalid Part",IF(CH="N",LOOKUP(Part_Number2,Load_Switch_NFET[PARTNUMBER],Load_Switch_NFET[VTHMAX]),LOOKUP(Part_Number2,Load_Switch_PFET[PARTNUMBER],Load_Switch_PFET[VTHMAX])),"Not Allowed")</f>
        <v>#N/A</v>
      </c>
      <c r="G11" s="61" t="e">
        <f>IF(Part_Number3&lt;&gt;"Invalid Part",IF(CH="N",LOOKUP(Part_Number3,Load_Switch_NFET[PARTNUMBER],Load_Switch_NFET[VTHMAX]),LOOKUP(Part_Number3,Load_Switch_PFET[PARTNUMBER],Load_Switch_PFET[VTHMAX])),"Not Allowed")</f>
        <v>#N/A</v>
      </c>
    </row>
    <row r="12" spans="1:10" ht="16.5" x14ac:dyDescent="0.25">
      <c r="A12" s="58"/>
      <c r="B12" s="58"/>
      <c r="C12" s="20"/>
      <c r="D12" s="59" t="s">
        <v>424</v>
      </c>
      <c r="E12" s="62" t="e">
        <f>IF(Part_Number&lt;&gt;"Invalid Part",IF(CH="N",RDSON,RDSONP),"Not Allowed")</f>
        <v>#N/A</v>
      </c>
      <c r="F12" s="62" t="e">
        <f>IF(Part_Number2&lt;&gt;"Invalid Part",IF(CH="N",RDSON2,RDSONP2),"Not Allowed")</f>
        <v>#N/A</v>
      </c>
      <c r="G12" s="63" t="e">
        <f>IF(Part_Number3&lt;&gt;"Invalid Part",IF(CH="N",RDSON3,RDSONP3),"Not Allowed")</f>
        <v>#N/A</v>
      </c>
    </row>
    <row r="13" spans="1:10" ht="16.5" x14ac:dyDescent="0.25">
      <c r="A13" s="58"/>
      <c r="B13" s="58"/>
      <c r="C13" s="20"/>
      <c r="D13" s="59" t="s">
        <v>471</v>
      </c>
      <c r="E13" s="60" t="e">
        <f>IF(Part_Number&lt;&gt;"Invalid Part",IF(CH="N",LOOKUP(Part_Number,Load_Switch_NFET[PARTNUMBER],Load_Switch_NFET[RGITYP]),LOOKUP(Part_Number,Load_Switch_PFET[PARTNUMBER],Load_Switch_PFET[RGITYP])),"Not Allowed")</f>
        <v>#N/A</v>
      </c>
      <c r="F13" s="60" t="e">
        <f>IF(Part_Number2&lt;&gt;"Invalid Part",IF(CH="N",LOOKUP(Part_Number2,Load_Switch_NFET[PARTNUMBER],Load_Switch_NFET[RGITYP]),LOOKUP(Part_Number2,Load_Switch_PFET[PARTNUMBER],Load_Switch_PFET[RGITYP])),"Not Allowed")</f>
        <v>#N/A</v>
      </c>
      <c r="G13" s="61" t="e">
        <f>IF(Part_Number3&lt;&gt;"Invalid Part",IF(CH="N",LOOKUP(Part_Number3,Load_Switch_NFET[PARTNUMBER],Load_Switch_NFET[RGITYP]),LOOKUP(Part_Number3,Load_Switch_PFET[PARTNUMBER],Load_Switch_PFET[RGITYP])),"Not Allowed")</f>
        <v>#N/A</v>
      </c>
    </row>
    <row r="14" spans="1:10" ht="16.5" x14ac:dyDescent="0.25">
      <c r="A14" s="58"/>
      <c r="B14" s="58"/>
      <c r="C14" s="20"/>
      <c r="D14" s="59" t="s">
        <v>396</v>
      </c>
      <c r="E14" s="60" t="e">
        <f>IF(Part_Number&lt;&gt;"Invalid Part",IF(CH="N",LOOKUP(Part_Number,Load_Switch_NFET[PARTNUMBER],Load_Switch_NFET[QGTYP]),LOOKUP(Part_Number,Load_Switch_PFET[PARTNUMBER],Load_Switch_PFET[QGTYP])),"Not Allowed")</f>
        <v>#N/A</v>
      </c>
      <c r="F14" s="60" t="e">
        <f>IF(Part_Number2&lt;&gt;"Invalid Part",IF(CH="N",LOOKUP(Part_Number2,Load_Switch_NFET[PARTNUMBER],Load_Switch_NFET[QGTYP]),LOOKUP(Part_Number2,Load_Switch_PFET[PARTNUMBER],Load_Switch_PFET[QGTYP])),"Not Allowed")</f>
        <v>#N/A</v>
      </c>
      <c r="G14" s="61" t="e">
        <f>IF(Part_Number3&lt;&gt;"Invalid Part",IF(CH="N",LOOKUP(Part_Number3,Load_Switch_NFET[PARTNUMBER],Load_Switch_NFET[QGTYP]),LOOKUP(Part_Number3,Load_Switch_PFET[PARTNUMBER],Load_Switch_PFET[QGTYP])),"Not Allowed")</f>
        <v>#N/A</v>
      </c>
    </row>
    <row r="15" spans="1:10" ht="16.5" x14ac:dyDescent="0.25">
      <c r="A15" s="5"/>
      <c r="B15" s="5"/>
      <c r="C15" s="20"/>
      <c r="D15" s="59" t="s">
        <v>397</v>
      </c>
      <c r="E15" s="60" t="e">
        <f>IF(Part_Number&lt;&gt;"Invalid Part",IF(CH="N",LOOKUP(Part_Number,Load_Switch_NFET[PARTNUMBER],Load_Switch_NFET[QGD]),LOOKUP(Part_Number,Load_Switch_PFET[PARTNUMBER],Load_Switch_PFET[QGD])),"Not Allowed")</f>
        <v>#N/A</v>
      </c>
      <c r="F15" s="60" t="e">
        <f>IF(Part_Number2&lt;&gt;"Invalid Part",IF(CH="N",LOOKUP(Part_Number2,Load_Switch_NFET[PARTNUMBER],Load_Switch_NFET[QGD]),LOOKUP(Part_Number2,Load_Switch_PFET[PARTNUMBER],Load_Switch_PFET[QGD])),"Not Allowed")</f>
        <v>#N/A</v>
      </c>
      <c r="G15" s="61" t="e">
        <f>IF(Part_Number3&lt;&gt;"Invalid Part",IF(CH="N",LOOKUP(Part_Number3,Load_Switch_NFET[PARTNUMBER],Load_Switch_NFET[QGD]),LOOKUP(Part_Number3,Load_Switch_PFET[PARTNUMBER],Load_Switch_PFET[QGD])),"Not Allowed")</f>
        <v>#N/A</v>
      </c>
    </row>
    <row r="16" spans="1:10" ht="15" customHeight="1" x14ac:dyDescent="0.25">
      <c r="A16" s="182"/>
      <c r="B16" s="182"/>
      <c r="C16" s="20"/>
      <c r="D16" s="59" t="s">
        <v>422</v>
      </c>
      <c r="E16" s="64" t="e">
        <f>IF(Part_Number&lt;&gt;"Invalid Part",IF(CH="N",LOOKUP(Part_Number,Load_Switch_NFET[PARTNUMBER],Load_Switch_NFET[TJMAX]),LOOKUP(Part_Number,Load_Switch_PFET[PARTNUMBER],Load_Switch_PFET[TJMAX])),"Not Allowed")</f>
        <v>#N/A</v>
      </c>
      <c r="F16" s="64" t="e">
        <f>IF(Part_Number2&lt;&gt;"Invalid Part",IF(CH="N",LOOKUP(Part_Number2,Load_Switch_NFET[PARTNUMBER],Load_Switch_NFET[TJMAX]),LOOKUP(Part_Number2,Load_Switch_PFET[PARTNUMBER],Load_Switch_PFET[TJMAX])),"Not Allowed")</f>
        <v>#N/A</v>
      </c>
      <c r="G16" s="65" t="e">
        <f>IF(Part_Number3&lt;&gt;"Invalid Part",IF(CH="N",LOOKUP(Part_Number3,Load_Switch_NFET[PARTNUMBER],Load_Switch_NFET[TJMAX]),LOOKUP(Part_Number3,Load_Switch_PFET[PARTNUMBER],Load_Switch_PFET[TJMAX])),"Not Allowed")</f>
        <v>#N/A</v>
      </c>
    </row>
    <row r="17" spans="1:10" ht="16.5" thickBot="1" x14ac:dyDescent="0.3">
      <c r="A17" s="181" t="s">
        <v>632</v>
      </c>
      <c r="B17" s="181"/>
      <c r="C17" s="20"/>
      <c r="D17" s="59" t="s">
        <v>8</v>
      </c>
      <c r="E17" s="60" t="e">
        <f>IF(Part_Number&lt;&gt;"Invalid Part",IF(CH="N",LOOKUP(Part_Number,Load_Switch_NFET[PARTNUMBER],Load_Switch_NFET[TI_EQ_PACKAGE]),LOOKUP(Part_Number,Load_Switch_PFET[PARTNUMBER],Load_Switch_PFET[TI_EQ_PACKAGE])),"Not Allowed")</f>
        <v>#N/A</v>
      </c>
      <c r="F17" s="60" t="e">
        <f>IF(Part_Number2&lt;&gt;"Invalid Part",IF(CH="N",LOOKUP(Part_Number2,Load_Switch_NFET[PARTNUMBER],Load_Switch_NFET[TI_EQ_PACKAGE]),LOOKUP(Part_Number2,Load_Switch_PFET[PARTNUMBER],Load_Switch_PFET[TI_EQ_PACKAGE])),"Not Allowed")</f>
        <v>#N/A</v>
      </c>
      <c r="G17" s="61" t="e">
        <f>IF(Part_Number3&lt;&gt;"NInvalid Part",IF(CH="N",LOOKUP(Part_Number3,Load_Switch_NFET[PARTNUMBER],Load_Switch_NFET[TI_EQ_PACKAGE]),LOOKUP(Part_Number3,Load_Switch_PFET[PARTNUMBER],Load_Switch_PFET[TI_EQ_PACKAGE])),"Not Allowed")</f>
        <v>#N/A</v>
      </c>
    </row>
    <row r="18" spans="1:10" ht="15.75" thickBot="1" x14ac:dyDescent="0.3">
      <c r="A18" s="166" t="s">
        <v>419</v>
      </c>
      <c r="B18" s="167"/>
      <c r="D18" s="59" t="s">
        <v>729</v>
      </c>
      <c r="E18" s="66" t="e">
        <f>IF(Part_Number&lt;&gt;"Invalid Part",IF(CH="N",LOOKUP(Part_Number,Load_Switch_NFET[PARTNUMBER],Load_Switch_NFET[1KPRICE]),LOOKUP(Part_Number,Load_Switch_PFET[PARTNUMBER],Load_Switch_PFET[1KPRICE])),"Not Allowed")</f>
        <v>#N/A</v>
      </c>
      <c r="F18" s="66" t="e">
        <f>IF(Part_Number2&lt;&gt;"Invalid Part",IF(CH="N",LOOKUP(Part_Number2,Load_Switch_NFET[PARTNUMBER],Load_Switch_NFET[1KPRICE]),LOOKUP(Part_Number2,Load_Switch_PFET[PARTNUMBER],Load_Switch_PFET[1KPRICE])),"Not Allowed")</f>
        <v>#N/A</v>
      </c>
      <c r="G18" s="67" t="e">
        <f>IF(Part_Number3&lt;&gt;"Invalid Part",IF(CH="N",LOOKUP(Part_Number3,Load_Switch_NFET[PARTNUMBER],Load_Switch_NFET[1KPRICE]),LOOKUP(Part_Number3,Load_Switch_PFET[PARTNUMBER],Load_Switch_PFET[1KPRICE])),"Not Allowed")</f>
        <v>#N/A</v>
      </c>
    </row>
    <row r="19" spans="1:10" ht="15.75" thickBot="1" x14ac:dyDescent="0.3">
      <c r="A19" s="168" t="s">
        <v>420</v>
      </c>
      <c r="B19" s="169"/>
      <c r="D19" s="59" t="s">
        <v>378</v>
      </c>
      <c r="E19" s="68" t="e">
        <f>IF(Part_Number&lt;&gt;"Invalid Part",IF(CH="N",HYPERLINK(LOOKUP(Part_Number,Load_Switch_NFET[PARTNUMBER],Load_Switch_NFET[DATASHEET_URL]),Part_Number),HYPERLINK(LOOKUP(Part_Number,Load_Switch_PFET[PARTNUMBER],Load_Switch_PFET[DATASHEET_URL]),Part_Number)),"Not Allowed")</f>
        <v>#N/A</v>
      </c>
      <c r="F19" s="68" t="e">
        <f>IF(Part_Number2&lt;&gt;"Invalid Part",IF(CH="N",HYPERLINK(LOOKUP(Part_Number2,Load_Switch_NFET[PARTNUMBER],Load_Switch_NFET[DATASHEET_URL]),Part_Number2),HYPERLINK(LOOKUP(Part_Number2,Load_Switch_PFET[PARTNUMBER],Load_Switch_PFET[DATASHEET_URL]),Part_Number2)),"Not Allowed")</f>
        <v>#N/A</v>
      </c>
      <c r="G19" s="69" t="e">
        <f>IF(Part_Number3&lt;&gt;"Invalid Part",IF(CH="N",HYPERLINK(LOOKUP(Part_Number3,Load_Switch_NFET[PARTNUMBER],Load_Switch_NFET[DATASHEET_URL]),Part_Number3),HYPERLINK(LOOKUP(Part_Number3,Load_Switch_PFET[PARTNUMBER],Load_Switch_PFET[DATASHEET_URL]),Part_Number3)),"Not Allowed")</f>
        <v>#N/A</v>
      </c>
    </row>
    <row r="20" spans="1:10" ht="17.25" thickBot="1" x14ac:dyDescent="0.3">
      <c r="A20" s="170" t="s">
        <v>421</v>
      </c>
      <c r="B20" s="171"/>
      <c r="D20" s="70" t="s">
        <v>661</v>
      </c>
      <c r="E20" s="71">
        <f>IF(CH="N",VGS_DR,-VGS_DR)</f>
        <v>5</v>
      </c>
      <c r="F20" s="71">
        <f>IF(CH="N",VGS_DR,-VGS_DR)</f>
        <v>5</v>
      </c>
      <c r="G20" s="72">
        <f>IF(CH="N",VGS_DR,-VGS_DR)</f>
        <v>5</v>
      </c>
    </row>
    <row r="21" spans="1:10" ht="17.25" thickBot="1" x14ac:dyDescent="0.3">
      <c r="A21" s="172" t="s">
        <v>662</v>
      </c>
      <c r="B21" s="173"/>
      <c r="D21" s="70" t="s">
        <v>423</v>
      </c>
      <c r="E21" s="71" t="e">
        <f>IF(Part_Number&lt;&gt;"Invalid Part",RDSONTJ,"Not Allowed")</f>
        <v>#N/A</v>
      </c>
      <c r="F21" s="71" t="e">
        <f>IF(Part_Number2&lt;&gt;"Invalid Part",RDSONTJ2,"Not Allowed")</f>
        <v>#N/A</v>
      </c>
      <c r="G21" s="72" t="e">
        <f>IF(Part_Number3&lt;&gt;"Invalid Part",RDSONTJ3,"Not Allowed")</f>
        <v>#N/A</v>
      </c>
    </row>
    <row r="22" spans="1:10" ht="15.75" thickBot="1" x14ac:dyDescent="0.3">
      <c r="A22" s="183" t="s">
        <v>624</v>
      </c>
      <c r="B22" s="184"/>
      <c r="D22" s="73" t="s">
        <v>425</v>
      </c>
      <c r="E22" s="132" t="e">
        <f>IF(Part_Number&lt;&gt;"Invalid Part",PCOND,"Not Allowed")</f>
        <v>#N/A</v>
      </c>
      <c r="F22" s="132" t="e">
        <f>IF(Part_Number2&lt;&gt;"Invalid Part",PCOND2,"Not Allowed")</f>
        <v>#N/A</v>
      </c>
      <c r="G22" s="133" t="e">
        <f>IF(Part_Number3&lt;&gt;"Invalid Part",PCOND3,"Not Allowed")</f>
        <v>#N/A</v>
      </c>
    </row>
    <row r="23" spans="1:10" ht="16.5" x14ac:dyDescent="0.25">
      <c r="D23" s="128" t="s">
        <v>742</v>
      </c>
      <c r="E23" s="129" t="s">
        <v>743</v>
      </c>
      <c r="F23" s="130" t="s">
        <v>744</v>
      </c>
      <c r="G23" s="131" t="s">
        <v>745</v>
      </c>
    </row>
    <row r="24" spans="1:10" ht="18.75" thickBot="1" x14ac:dyDescent="0.3">
      <c r="D24" s="186" t="s">
        <v>671</v>
      </c>
      <c r="E24" s="187"/>
      <c r="F24" s="187"/>
      <c r="G24" s="188"/>
    </row>
    <row r="26" spans="1:10" ht="15.75" x14ac:dyDescent="0.25">
      <c r="D26" s="83" t="s">
        <v>730</v>
      </c>
      <c r="J26" s="54"/>
    </row>
    <row r="27" spans="1:10" x14ac:dyDescent="0.25">
      <c r="A27" s="53"/>
    </row>
    <row r="28" spans="1:10" x14ac:dyDescent="0.25">
      <c r="A28" s="53"/>
    </row>
    <row r="29" spans="1:10" x14ac:dyDescent="0.25">
      <c r="A29" s="55"/>
    </row>
    <row r="30" spans="1:10" x14ac:dyDescent="0.25">
      <c r="A30" s="55"/>
    </row>
    <row r="31" spans="1:10" x14ac:dyDescent="0.25">
      <c r="A31" s="55"/>
    </row>
    <row r="32" spans="1:10" x14ac:dyDescent="0.25">
      <c r="A32" s="55"/>
    </row>
    <row r="33" spans="1:5" x14ac:dyDescent="0.25">
      <c r="A33" s="53"/>
    </row>
    <row r="34" spans="1:5" x14ac:dyDescent="0.25">
      <c r="A34" s="53"/>
      <c r="E34" s="56"/>
    </row>
    <row r="35" spans="1:5" x14ac:dyDescent="0.25">
      <c r="A35" s="53"/>
    </row>
    <row r="36" spans="1:5" x14ac:dyDescent="0.25">
      <c r="A36" s="53"/>
    </row>
  </sheetData>
  <sheetProtection algorithmName="SHA-512" hashValue="b8nOIJWGG9ZTlQauiCfAHbHOBqQUtrDseZvZLsMELzhw1R3Nz7ElY0NwK9ZkZS8dE+zkVNxbUU2vCljb6JLZjQ==" saltValue="l7CSe0PBtGfw1CBFgeXjcA==" spinCount="100000" sheet="1" objects="1" scenarios="1"/>
  <dataConsolidate/>
  <mergeCells count="13">
    <mergeCell ref="D24:G24"/>
    <mergeCell ref="A17:B17"/>
    <mergeCell ref="A11:B11"/>
    <mergeCell ref="A16:B16"/>
    <mergeCell ref="A22:B22"/>
    <mergeCell ref="E2:G2"/>
    <mergeCell ref="A18:B18"/>
    <mergeCell ref="A19:B19"/>
    <mergeCell ref="A20:B20"/>
    <mergeCell ref="A21:B21"/>
    <mergeCell ref="A2:B3"/>
    <mergeCell ref="A10:B10"/>
    <mergeCell ref="D4:D5"/>
  </mergeCells>
  <conditionalFormatting sqref="B8">
    <cfRule type="expression" dxfId="265" priority="34">
      <formula>$B$8&gt;100</formula>
    </cfRule>
  </conditionalFormatting>
  <conditionalFormatting sqref="B9">
    <cfRule type="cellIs" dxfId="264" priority="33" operator="greaterThan">
      <formula>125</formula>
    </cfRule>
  </conditionalFormatting>
  <conditionalFormatting sqref="B6">
    <cfRule type="cellIs" dxfId="263" priority="25" operator="notBetween">
      <formula>1.5</formula>
      <formula>100</formula>
    </cfRule>
  </conditionalFormatting>
  <conditionalFormatting sqref="B7">
    <cfRule type="expression" dxfId="262" priority="16">
      <formula>AND($B$4="N",$B$5="LOW",$B$7&lt;1.8)</formula>
    </cfRule>
    <cfRule type="expression" dxfId="261" priority="17">
      <formula>AND($B$4="P",$B$7&gt;$B$6-1.5)</formula>
    </cfRule>
    <cfRule type="expression" dxfId="260" priority="24">
      <formula>AND($B$4="N",$B$5="HIGH",$B$7&lt;$B$6+1.8)</formula>
    </cfRule>
  </conditionalFormatting>
  <conditionalFormatting sqref="E7">
    <cfRule type="expression" dxfId="259" priority="20">
      <formula>$E$6="Invalid Part"</formula>
    </cfRule>
  </conditionalFormatting>
  <conditionalFormatting sqref="F7">
    <cfRule type="expression" dxfId="258" priority="19">
      <formula>$F$6="Invalid Part"</formula>
    </cfRule>
  </conditionalFormatting>
  <conditionalFormatting sqref="G7">
    <cfRule type="expression" dxfId="257" priority="18">
      <formula>$G$6="Invalid Part"</formula>
    </cfRule>
  </conditionalFormatting>
  <conditionalFormatting sqref="A5:B5">
    <cfRule type="expression" dxfId="256" priority="35">
      <formula>($B$4="P")</formula>
    </cfRule>
  </conditionalFormatting>
  <conditionalFormatting sqref="E20">
    <cfRule type="expression" dxfId="255" priority="15">
      <formula>OR(AND(CH="N",VGS_DR&lt;=0),AND(CH="P",($B$7-$B$6)&gt;=0))</formula>
    </cfRule>
  </conditionalFormatting>
  <conditionalFormatting sqref="F20">
    <cfRule type="expression" dxfId="254" priority="14">
      <formula>OR(AND(CH="N",VGS_DR&lt;=0),AND(CH="P",($B$7-$B$6)&gt;=0))</formula>
    </cfRule>
  </conditionalFormatting>
  <conditionalFormatting sqref="G20">
    <cfRule type="expression" dxfId="253" priority="13">
      <formula>OR(AND(CH="N",VGS_DR&lt;=0),AND(CH="P",($B$7-$B$6)&gt;=0))</formula>
    </cfRule>
  </conditionalFormatting>
  <conditionalFormatting sqref="E22">
    <cfRule type="expression" dxfId="252" priority="11">
      <formula>$E$22&gt;PDmax1</formula>
    </cfRule>
    <cfRule type="expression" dxfId="251" priority="12">
      <formula>$E$22&gt;=0.8*PDmax1</formula>
    </cfRule>
  </conditionalFormatting>
  <conditionalFormatting sqref="F22">
    <cfRule type="expression" dxfId="250" priority="9">
      <formula>$F$22&gt;PDmax2</formula>
    </cfRule>
    <cfRule type="expression" dxfId="249" priority="10">
      <formula>$F$22&gt;=0.8*PDmax2</formula>
    </cfRule>
  </conditionalFormatting>
  <conditionalFormatting sqref="G22">
    <cfRule type="expression" dxfId="248" priority="8">
      <formula>$G$22&gt;=0.8*PDmax3</formula>
    </cfRule>
    <cfRule type="expression" dxfId="247" priority="7">
      <formula>$G$22&gt;PDmax3</formula>
    </cfRule>
  </conditionalFormatting>
  <dataValidations xWindow="858" yWindow="332" count="2">
    <dataValidation type="list" allowBlank="1" showInputMessage="1" showErrorMessage="1" sqref="B4" xr:uid="{00000000-0002-0000-0100-000000000000}">
      <formula1>$J$4:$J$5</formula1>
    </dataValidation>
    <dataValidation type="list" allowBlank="1" showInputMessage="1" showErrorMessage="1" sqref="B5" xr:uid="{00000000-0002-0000-0100-000001000000}">
      <formula1>$J$6:$J$7</formula1>
    </dataValidation>
  </dataValidations>
  <hyperlinks>
    <hyperlink ref="D24:G24" r:id="rId1" display="Click Here to See FET Power Loss Capability by Package" xr:uid="{13A0EFC9-3C1C-477C-BCFA-C97E7BC1EA08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" r:id="rId5" name="Option Button 36">
              <controlPr defaultSize="0" autoFill="0" autoLine="0" autoPict="0" macro="[0]!FET_sort1_price">
                <anchor moveWithCells="1">
                  <from>
                    <xdr:col>4</xdr:col>
                    <xdr:colOff>114300</xdr:colOff>
                    <xdr:row>2</xdr:row>
                    <xdr:rowOff>28575</xdr:rowOff>
                  </from>
                  <to>
                    <xdr:col>4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Option Button 37">
              <controlPr defaultSize="0" autoFill="0" autoLine="0" autoPict="0" macro="[0]!FET_sort1_ploss">
                <anchor moveWithCells="1">
                  <from>
                    <xdr:col>4</xdr:col>
                    <xdr:colOff>1000125</xdr:colOff>
                    <xdr:row>2</xdr:row>
                    <xdr:rowOff>19050</xdr:rowOff>
                  </from>
                  <to>
                    <xdr:col>4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7" name="Option Button 38">
              <controlPr defaultSize="0" autoFill="0" autoLine="0" autoPict="0" macro="[0]!FET_sort1_pkg">
                <anchor moveWithCells="1">
                  <from>
                    <xdr:col>4</xdr:col>
                    <xdr:colOff>1990725</xdr:colOff>
                    <xdr:row>2</xdr:row>
                    <xdr:rowOff>28575</xdr:rowOff>
                  </from>
                  <to>
                    <xdr:col>4</xdr:col>
                    <xdr:colOff>2200275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8" name="Option Button 39">
              <controlPr defaultSize="0" autoFill="0" autoLine="0" autoPict="0" macro="[0]!FET_sort2_price">
                <anchor moveWithCells="1">
                  <from>
                    <xdr:col>5</xdr:col>
                    <xdr:colOff>114300</xdr:colOff>
                    <xdr:row>2</xdr:row>
                    <xdr:rowOff>28575</xdr:rowOff>
                  </from>
                  <to>
                    <xdr:col>5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Option Button 40">
              <controlPr defaultSize="0" autoFill="0" autoLine="0" autoPict="0" macro="[0]!FET_sort2_ploss">
                <anchor moveWithCells="1">
                  <from>
                    <xdr:col>5</xdr:col>
                    <xdr:colOff>1000125</xdr:colOff>
                    <xdr:row>2</xdr:row>
                    <xdr:rowOff>19050</xdr:rowOff>
                  </from>
                  <to>
                    <xdr:col>5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0" name="Option Button 41">
              <controlPr defaultSize="0" autoFill="0" autoLine="0" autoPict="0" macro="[0]!FET_sort2_pkg">
                <anchor moveWithCells="1">
                  <from>
                    <xdr:col>5</xdr:col>
                    <xdr:colOff>1990725</xdr:colOff>
                    <xdr:row>2</xdr:row>
                    <xdr:rowOff>28575</xdr:rowOff>
                  </from>
                  <to>
                    <xdr:col>5</xdr:col>
                    <xdr:colOff>2200275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1" name="Option Button 42">
              <controlPr defaultSize="0" autoFill="0" autoLine="0" autoPict="0" macro="[0]!FET_sort3_price">
                <anchor moveWithCells="1">
                  <from>
                    <xdr:col>6</xdr:col>
                    <xdr:colOff>114300</xdr:colOff>
                    <xdr:row>2</xdr:row>
                    <xdr:rowOff>28575</xdr:rowOff>
                  </from>
                  <to>
                    <xdr:col>6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2" name="Option Button 43">
              <controlPr defaultSize="0" autoFill="0" autoLine="0" autoPict="0" macro="[0]!FET_sort3_ploss">
                <anchor moveWithCells="1">
                  <from>
                    <xdr:col>6</xdr:col>
                    <xdr:colOff>1000125</xdr:colOff>
                    <xdr:row>2</xdr:row>
                    <xdr:rowOff>19050</xdr:rowOff>
                  </from>
                  <to>
                    <xdr:col>6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3" name="Option Button 44">
              <controlPr defaultSize="0" autoFill="0" autoLine="0" autoPict="0" macro="[0]!FET_sort3_pkg">
                <anchor moveWithCells="1">
                  <from>
                    <xdr:col>6</xdr:col>
                    <xdr:colOff>1990725</xdr:colOff>
                    <xdr:row>2</xdr:row>
                    <xdr:rowOff>28575</xdr:rowOff>
                  </from>
                  <to>
                    <xdr:col>6</xdr:col>
                    <xdr:colOff>2200275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58" yWindow="332" count="3">
        <x14:dataValidation type="list" showInputMessage="1" showErrorMessage="1" xr:uid="{00000000-0002-0000-0100-000002000000}">
          <x14:formula1>
            <xm:f>FET_List3!$B$1:$B$169</xm:f>
          </x14:formula1>
          <xm:sqref>G6</xm:sqref>
        </x14:dataValidation>
        <x14:dataValidation type="list" showInputMessage="1" showErrorMessage="1" xr:uid="{00000000-0002-0000-0100-000003000000}">
          <x14:formula1>
            <xm:f>FET_List2!$B$1:$B$169</xm:f>
          </x14:formula1>
          <xm:sqref>F6</xm:sqref>
        </x14:dataValidation>
        <x14:dataValidation type="list" errorStyle="warning" allowBlank="1" showInputMessage="1" showErrorMessage="1" xr:uid="{00000000-0002-0000-0100-000004000000}">
          <x14:formula1>
            <xm:f>FET_List1!$B$1:$B$169</xm:f>
          </x14:formula1>
          <xm:sqref>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"/>
  <sheetViews>
    <sheetView zoomScale="80" zoomScaleNormal="80" workbookViewId="0">
      <selection activeCell="R19" sqref="R19"/>
    </sheetView>
  </sheetViews>
  <sheetFormatPr defaultRowHeight="15" x14ac:dyDescent="0.25"/>
  <sheetData/>
  <sheetProtection password="87C7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20"/>
  <sheetViews>
    <sheetView zoomScale="90" zoomScaleNormal="90" workbookViewId="0">
      <selection activeCell="I16" sqref="I16"/>
    </sheetView>
  </sheetViews>
  <sheetFormatPr defaultRowHeight="15" x14ac:dyDescent="0.25"/>
  <cols>
    <col min="2" max="2" width="16.42578125" bestFit="1" customWidth="1"/>
    <col min="3" max="3" width="12.140625" bestFit="1" customWidth="1"/>
    <col min="6" max="6" width="10.7109375" bestFit="1" customWidth="1"/>
    <col min="7" max="7" width="10.7109375" customWidth="1"/>
    <col min="8" max="8" width="9.140625" customWidth="1"/>
    <col min="9" max="9" width="16.140625" customWidth="1"/>
    <col min="10" max="10" width="23.5703125" bestFit="1" customWidth="1"/>
    <col min="11" max="11" width="9" customWidth="1"/>
  </cols>
  <sheetData>
    <row r="1" spans="1:10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87" t="s">
        <v>733</v>
      </c>
      <c r="B2" s="87" t="s">
        <v>734</v>
      </c>
      <c r="C2" s="91" t="s">
        <v>382</v>
      </c>
      <c r="D2" s="91" t="s">
        <v>735</v>
      </c>
      <c r="E2" s="91" t="s">
        <v>740</v>
      </c>
      <c r="F2" s="91" t="s">
        <v>738</v>
      </c>
      <c r="G2" s="91" t="s">
        <v>737</v>
      </c>
      <c r="H2" s="87"/>
      <c r="I2" s="87"/>
    </row>
    <row r="3" spans="1:10" x14ac:dyDescent="0.25">
      <c r="A3" s="87">
        <v>1</v>
      </c>
      <c r="B3" s="87" t="e">
        <f>IF(CH="P",H3,I3)</f>
        <v>#VALUE!</v>
      </c>
      <c r="C3" s="88" t="e">
        <f>IF(CH="N",RDSON*(1+(Tj-25)*(LOOKUP(Part_Number,Load_Switch_NFET[PARTNUMBER],Load_Switch_NFET[RDSDELTA])/((LOOKUP(Part_Number,Load_Switch_NFET[PARTNUMBER],Load_Switch_NFET[TJMAX])-25)))),RDSONP*(1+(Tj-25)*(LOOKUP(Part_Number,Load_Switch_PFET[PARTNUMBER],Load_Switch_PFET[RDSDELTA])/((LOOKUP(Part_Number,Load_Switch_PFET[PARTNUMBER],Load_Switch_PFET[TJMAX])-25)))))</f>
        <v>#N/A</v>
      </c>
      <c r="D3" s="88" t="e">
        <f>Io^2*RDSONTJ*m</f>
        <v>#N/A</v>
      </c>
      <c r="E3" s="88" t="e">
        <f>RIGHT(B3,2)</f>
        <v>#VALUE!</v>
      </c>
      <c r="F3" s="88" t="e">
        <f>IF(CH="N",LOOKUP(B3,Load_Switch_NFET[PARTNUMBER],Load_Switch_NFET[TI_EQ_PACKAGE]),LOOKUP(B3,Load_Switch_PFET[PARTNUMBER],Load_Switch_PFET[TI_EQ_PACKAGE]))</f>
        <v>#VALUE!</v>
      </c>
      <c r="G3" s="88" t="e">
        <f>LOOKUP(F3,Table3[Package],Table3[Pdmax])</f>
        <v>#VALUE!</v>
      </c>
      <c r="H3" s="87" t="e">
        <f>IF(Part_Number&lt;&gt;"Invalid Part",LOOKUP(MID(Part_Number,FIND("CSD",Part_Number),19),Load_Switch_PFET[PARTNUMBER],Load_Switch_PFET[PARTNUMBER]),"Not Allowed")</f>
        <v>#VALUE!</v>
      </c>
      <c r="I3" s="87" t="e">
        <f>IF(Part_Number&lt;&gt;"Invalid Part",LOOKUP(MID(Part_Number,FIND("CSD",Part_Number),19),Load_Switch_NFET[PARTNUMBER],Load_Switch_NFET[PARTNUMBER]),"Not Allowed")</f>
        <v>#VALUE!</v>
      </c>
    </row>
    <row r="4" spans="1:10" x14ac:dyDescent="0.25">
      <c r="A4" s="87">
        <v>2</v>
      </c>
      <c r="B4" s="87" t="e">
        <f>IF(CH="P",H4,I4)</f>
        <v>#VALUE!</v>
      </c>
      <c r="C4" s="88" t="e">
        <f>IF(CH="N",RDSON2*(1+(Tj-25)*(LOOKUP(Part_Number2,Load_Switch_NFET[PARTNUMBER],Load_Switch_NFET[RDSDELTA])/((LOOKUP(Part_Number2,Load_Switch_NFET[PARTNUMBER],Load_Switch_NFET[TJMAX])-25)))),RDSONP2*(1+(Tj-25)*(LOOKUP(Part_Number2,Load_Switch_PFET[PARTNUMBER],Load_Switch_PFET[RDSDELTA])/((LOOKUP(Part_Number2,Load_Switch_PFET[PARTNUMBER],Load_Switch_PFET[TJMAX])-25)))))</f>
        <v>#N/A</v>
      </c>
      <c r="D4" s="88" t="e">
        <f>Io^2*RDSONTJ2*m</f>
        <v>#N/A</v>
      </c>
      <c r="E4" s="88" t="e">
        <f t="shared" ref="E4:E5" si="0">RIGHT(B4,2)</f>
        <v>#VALUE!</v>
      </c>
      <c r="F4" s="88" t="e">
        <f>IF(CH="N",LOOKUP(B4,Load_Switch_NFET[PARTNUMBER],Load_Switch_NFET[TI_EQ_PACKAGE]),LOOKUP(B4,Load_Switch_PFET[PARTNUMBER],Load_Switch_PFET[TI_EQ_PACKAGE]))</f>
        <v>#VALUE!</v>
      </c>
      <c r="G4" s="88" t="e">
        <f>LOOKUP(F4,Table3[Package],Table3[Pdmax])</f>
        <v>#VALUE!</v>
      </c>
      <c r="H4" s="87" t="e">
        <f>IF(Part_Number2&lt;&gt;"Invalid Part",LOOKUP(MID(Part_Number2,FIND("CSD",Part_Number),19),Load_Switch_PFET[PARTNUMBER],Load_Switch_PFET[PARTNUMBER]),"Not Allowed")</f>
        <v>#VALUE!</v>
      </c>
      <c r="I4" s="87" t="e">
        <f>IF(Part_Number2&lt;&gt;"Invalid Part",LOOKUP(MID(Part_Number2,FIND("CSD",Part_Number2),19),Load_Switch_NFET[PARTNUMBER],Load_Switch_NFET[PARTNUMBER]),"Not Allowed")</f>
        <v>#VALUE!</v>
      </c>
    </row>
    <row r="5" spans="1:10" x14ac:dyDescent="0.25">
      <c r="A5" s="87">
        <v>3</v>
      </c>
      <c r="B5" s="87" t="e">
        <f>IF(CH="P",H5,I5)</f>
        <v>#VALUE!</v>
      </c>
      <c r="C5" s="88" t="e">
        <f>IF(CH="N",RDSON3*(1+(Tj-25)*(LOOKUP(Part_Number3,Load_Switch_NFET[PARTNUMBER],Load_Switch_NFET[RDSDELTA])/((LOOKUP(Part_Number3,Load_Switch_NFET[PARTNUMBER],Load_Switch_NFET[TJMAX])-25)))),RDSONP3*(1+(Tj-25)*(LOOKUP(Part_Number3,Load_Switch_PFET[PARTNUMBER],Load_Switch_PFET[RDSDELTA])/((LOOKUP(Part_Number3,Load_Switch_PFET[PARTNUMBER],Load_Switch_PFET[TJMAX])-25)))))</f>
        <v>#N/A</v>
      </c>
      <c r="D5" s="88" t="e">
        <f>Io^2*RDSONTJ3*m</f>
        <v>#N/A</v>
      </c>
      <c r="E5" s="88" t="e">
        <f t="shared" si="0"/>
        <v>#VALUE!</v>
      </c>
      <c r="F5" s="88" t="e">
        <f>IF(CH="N",LOOKUP(B5,Load_Switch_NFET[PARTNUMBER],Load_Switch_NFET[TI_EQ_PACKAGE]),LOOKUP(B5,Load_Switch_PFET[PARTNUMBER],Load_Switch_PFET[TI_EQ_PACKAGE]))</f>
        <v>#VALUE!</v>
      </c>
      <c r="G5" s="88" t="e">
        <f>LOOKUP(F5,Table3[Package],Table3[Pdmax])</f>
        <v>#VALUE!</v>
      </c>
      <c r="H5" s="87" t="e">
        <f>IF(Part_Number3&lt;&gt;"Invalid Part",LOOKUP(MID(Part_Number3,FIND("CSD",Part_Number3),19),Load_Switch_PFET[PARTNUMBER],Load_Switch_PFET[PARTNUMBER]),"Not Allowed")</f>
        <v>#VALUE!</v>
      </c>
      <c r="I5" s="87" t="e">
        <f>IF(Part_Number3&lt;&gt;"Invalid Part",LOOKUP(MID(Part_Number3,FIND("CSD",Part_Number3),19),Load_Switch_NFET[PARTNUMBER],Load_Switch_NFET[PARTNUMBER]),"Not Allowed")</f>
        <v>#VALUE!</v>
      </c>
    </row>
    <row r="6" spans="1:10" x14ac:dyDescent="0.25">
      <c r="A6" s="89"/>
      <c r="B6" s="90"/>
      <c r="C6" s="87"/>
      <c r="D6" s="87"/>
      <c r="E6" s="87"/>
      <c r="F6" s="87"/>
      <c r="G6" s="87"/>
      <c r="H6" s="87"/>
      <c r="I6" s="87"/>
    </row>
    <row r="7" spans="1:10" ht="14.45" customHeight="1" x14ac:dyDescent="0.25">
      <c r="A7" t="s">
        <v>736</v>
      </c>
      <c r="B7" s="87">
        <f>IF(CH="P",Vi-VG,IF(SW_TYPE="LOW",VG,VG-Vi))</f>
        <v>5</v>
      </c>
      <c r="C7" s="87"/>
      <c r="D7" s="87"/>
      <c r="E7" s="87"/>
      <c r="F7" s="87"/>
      <c r="G7" s="87"/>
      <c r="H7" s="87" t="s">
        <v>8</v>
      </c>
      <c r="I7" t="s">
        <v>739</v>
      </c>
    </row>
    <row r="8" spans="1:10" ht="14.45" customHeight="1" x14ac:dyDescent="0.3">
      <c r="A8" s="4" t="s">
        <v>0</v>
      </c>
      <c r="B8" s="4"/>
      <c r="H8" s="95" t="s">
        <v>309</v>
      </c>
      <c r="I8">
        <v>4</v>
      </c>
    </row>
    <row r="9" spans="1:10" ht="18" customHeight="1" x14ac:dyDescent="0.25">
      <c r="A9" s="1" t="s">
        <v>1</v>
      </c>
      <c r="B9" s="2">
        <v>9.9999999999999998E-13</v>
      </c>
      <c r="H9" s="95" t="s">
        <v>486</v>
      </c>
      <c r="I9">
        <v>0.5</v>
      </c>
    </row>
    <row r="10" spans="1:10" ht="14.45" customHeight="1" x14ac:dyDescent="0.25">
      <c r="A10" s="1" t="s">
        <v>2</v>
      </c>
      <c r="B10" s="2">
        <v>1.0000000000000001E-9</v>
      </c>
      <c r="H10" s="94" t="s">
        <v>563</v>
      </c>
      <c r="I10">
        <v>0.5</v>
      </c>
    </row>
    <row r="11" spans="1:10" ht="14.45" customHeight="1" x14ac:dyDescent="0.25">
      <c r="A11" s="1" t="s">
        <v>3</v>
      </c>
      <c r="B11" s="2">
        <v>9.9999999999999995E-7</v>
      </c>
      <c r="H11" s="94" t="s">
        <v>550</v>
      </c>
      <c r="I11">
        <v>0.5</v>
      </c>
    </row>
    <row r="12" spans="1:10" ht="18" customHeight="1" x14ac:dyDescent="0.25">
      <c r="A12" s="1" t="s">
        <v>4</v>
      </c>
      <c r="B12" s="2">
        <v>1E-3</v>
      </c>
      <c r="H12" s="95" t="s">
        <v>499</v>
      </c>
      <c r="I12">
        <v>0.5</v>
      </c>
    </row>
    <row r="13" spans="1:10" ht="14.45" customHeight="1" x14ac:dyDescent="0.25">
      <c r="A13" s="1" t="s">
        <v>5</v>
      </c>
      <c r="B13" s="2">
        <v>1000</v>
      </c>
      <c r="H13" s="92" t="s">
        <v>475</v>
      </c>
      <c r="I13">
        <v>0.5</v>
      </c>
    </row>
    <row r="14" spans="1:10" ht="14.45" customHeight="1" x14ac:dyDescent="0.25">
      <c r="A14" s="1" t="s">
        <v>7</v>
      </c>
      <c r="B14" s="2">
        <v>1000000</v>
      </c>
      <c r="H14" s="92" t="s">
        <v>101</v>
      </c>
      <c r="I14">
        <v>2.2000000000000002</v>
      </c>
    </row>
    <row r="15" spans="1:10" x14ac:dyDescent="0.25">
      <c r="A15" s="1" t="s">
        <v>6</v>
      </c>
      <c r="B15" s="2">
        <v>1000000000</v>
      </c>
      <c r="H15" s="92" t="s">
        <v>122</v>
      </c>
      <c r="I15">
        <v>2.5</v>
      </c>
    </row>
    <row r="16" spans="1:10" x14ac:dyDescent="0.25">
      <c r="H16" s="92" t="s">
        <v>115</v>
      </c>
      <c r="I16">
        <v>3</v>
      </c>
    </row>
    <row r="17" spans="8:9" x14ac:dyDescent="0.25">
      <c r="H17" s="92" t="s">
        <v>255</v>
      </c>
      <c r="I17">
        <v>5</v>
      </c>
    </row>
    <row r="18" spans="8:9" x14ac:dyDescent="0.25">
      <c r="H18" s="93" t="s">
        <v>545</v>
      </c>
      <c r="I18">
        <v>0.5</v>
      </c>
    </row>
    <row r="19" spans="8:9" ht="14.45" customHeight="1" x14ac:dyDescent="0.25">
      <c r="H19" s="92" t="s">
        <v>506</v>
      </c>
      <c r="I19">
        <v>0.4</v>
      </c>
    </row>
    <row r="20" spans="8:9" x14ac:dyDescent="0.25">
      <c r="H20" s="92" t="s">
        <v>514</v>
      </c>
      <c r="I20">
        <v>0.5</v>
      </c>
    </row>
  </sheetData>
  <sheetProtection algorithmName="SHA-512" hashValue="+1mb1D1/bptOBFZfdv+f84mZLou08oat1BMW40k15Ohd7ts3oyNAl/PcQUI92adT78a7C7LAHWgngULJ95wYVQ==" saltValue="b8SRq0TAY6Nt4NlXt3/e8g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166"/>
  <sheetViews>
    <sheetView zoomScaleNormal="100" workbookViewId="0">
      <pane xSplit="1" topLeftCell="BP1" activePane="topRight" state="frozen"/>
      <selection activeCell="K27" sqref="K27"/>
      <selection pane="topRight" activeCell="BV32" sqref="BV32"/>
    </sheetView>
  </sheetViews>
  <sheetFormatPr defaultColWidth="9.140625" defaultRowHeight="15" x14ac:dyDescent="0.25"/>
  <cols>
    <col min="1" max="1" width="15" style="99" customWidth="1"/>
    <col min="2" max="2" width="9.140625" style="99" customWidth="1"/>
    <col min="3" max="3" width="18.5703125" style="99" customWidth="1"/>
    <col min="4" max="4" width="12.42578125" style="99" customWidth="1"/>
    <col min="5" max="5" width="21" style="99" customWidth="1"/>
    <col min="6" max="6" width="13.85546875" style="99" customWidth="1"/>
    <col min="7" max="7" width="13.42578125" style="99" customWidth="1"/>
    <col min="8" max="8" width="9.42578125" style="99" customWidth="1"/>
    <col min="9" max="9" width="9.5703125" style="99" customWidth="1"/>
    <col min="10" max="10" width="9.140625" style="99"/>
    <col min="11" max="11" width="9.5703125" style="99" customWidth="1"/>
    <col min="12" max="13" width="10.42578125" style="99" customWidth="1"/>
    <col min="14" max="14" width="9.5703125" style="99" customWidth="1"/>
    <col min="15" max="15" width="10.5703125" style="99" customWidth="1"/>
    <col min="16" max="16" width="9.140625" style="99"/>
    <col min="17" max="17" width="9.42578125" style="99" customWidth="1"/>
    <col min="18" max="19" width="9.140625" style="99"/>
    <col min="20" max="20" width="10" style="99" customWidth="1"/>
    <col min="21" max="22" width="10.42578125" style="99" customWidth="1"/>
    <col min="23" max="23" width="9.140625" style="99" customWidth="1"/>
    <col min="24" max="24" width="9.42578125" style="99" customWidth="1"/>
    <col min="25" max="26" width="9.140625" style="99"/>
    <col min="27" max="27" width="9.140625" style="99" customWidth="1"/>
    <col min="28" max="28" width="9.140625" style="99"/>
    <col min="29" max="32" width="10.85546875" style="99" customWidth="1"/>
    <col min="33" max="33" width="9.85546875" style="99" customWidth="1"/>
    <col min="34" max="34" width="10.85546875" style="99" customWidth="1"/>
    <col min="35" max="35" width="11.5703125" style="99" customWidth="1"/>
    <col min="36" max="36" width="9.140625" style="99"/>
    <col min="37" max="37" width="11.5703125" style="99" customWidth="1"/>
    <col min="38" max="38" width="10.5703125" style="99" customWidth="1"/>
    <col min="39" max="39" width="13" style="99" customWidth="1"/>
    <col min="40" max="40" width="18.42578125" style="99" customWidth="1"/>
    <col min="41" max="41" width="10.5703125" style="99" customWidth="1"/>
    <col min="42" max="42" width="13.5703125" style="99" customWidth="1"/>
    <col min="43" max="43" width="19.42578125" style="99" customWidth="1"/>
    <col min="44" max="44" width="11.42578125" style="99" customWidth="1"/>
    <col min="45" max="45" width="13.5703125" style="99" customWidth="1"/>
    <col min="46" max="46" width="19" style="99" customWidth="1"/>
    <col min="47" max="47" width="11.42578125" style="99" customWidth="1"/>
    <col min="48" max="48" width="10.5703125" style="99" customWidth="1"/>
    <col min="49" max="49" width="14.5703125" style="99" customWidth="1"/>
    <col min="50" max="50" width="12.5703125" style="99" customWidth="1"/>
    <col min="51" max="51" width="11" style="99" customWidth="1"/>
    <col min="52" max="52" width="15.140625" style="99" customWidth="1"/>
    <col min="53" max="53" width="13.42578125" style="99" customWidth="1"/>
    <col min="54" max="54" width="15.5703125" style="99" customWidth="1"/>
    <col min="55" max="55" width="14" style="99" customWidth="1"/>
    <col min="56" max="56" width="15.42578125" style="99" customWidth="1"/>
    <col min="57" max="57" width="13.5703125" style="99" customWidth="1"/>
    <col min="58" max="58" width="10.85546875" style="99" customWidth="1"/>
    <col min="59" max="59" width="9.42578125" style="99" customWidth="1"/>
    <col min="60" max="60" width="9.140625" style="99"/>
    <col min="61" max="61" width="14.5703125" style="99" customWidth="1"/>
    <col min="62" max="62" width="9.140625" style="99" customWidth="1"/>
    <col min="63" max="63" width="15.5703125" style="99" customWidth="1"/>
    <col min="64" max="64" width="10.85546875" style="99" customWidth="1"/>
    <col min="65" max="66" width="9.140625" style="99"/>
    <col min="67" max="67" width="17.140625" style="99" customWidth="1"/>
    <col min="68" max="68" width="9.140625" style="99"/>
    <col min="69" max="69" width="9.85546875" style="99" customWidth="1"/>
    <col min="70" max="70" width="16" style="99" customWidth="1"/>
    <col min="71" max="73" width="9.140625" style="99"/>
    <col min="74" max="74" width="17.5703125" style="99" customWidth="1"/>
    <col min="75" max="75" width="16.5703125" style="99" customWidth="1"/>
    <col min="76" max="76" width="14.5703125" style="99" customWidth="1"/>
    <col min="77" max="77" width="17.85546875" style="99" bestFit="1" customWidth="1"/>
    <col min="78" max="78" width="14.85546875" style="99" bestFit="1" customWidth="1"/>
    <col min="79" max="79" width="15.85546875" style="99" customWidth="1"/>
    <col min="80" max="80" width="9.140625" style="99"/>
    <col min="81" max="81" width="9.42578125" style="99" bestFit="1" customWidth="1"/>
    <col min="82" max="16384" width="9.140625" style="99"/>
  </cols>
  <sheetData>
    <row r="1" spans="1:83" x14ac:dyDescent="0.25">
      <c r="A1" s="99" t="s">
        <v>16</v>
      </c>
      <c r="B1" s="99" t="s">
        <v>17</v>
      </c>
      <c r="C1" s="99" t="s">
        <v>18</v>
      </c>
      <c r="D1" s="99" t="s">
        <v>19</v>
      </c>
      <c r="E1" s="99" t="s">
        <v>20</v>
      </c>
      <c r="F1" s="99" t="s">
        <v>21</v>
      </c>
      <c r="G1" s="99" t="s">
        <v>22</v>
      </c>
      <c r="H1" s="99" t="s">
        <v>23</v>
      </c>
      <c r="I1" s="99" t="s">
        <v>24</v>
      </c>
      <c r="J1" s="99" t="s">
        <v>25</v>
      </c>
      <c r="K1" s="99" t="s">
        <v>26</v>
      </c>
      <c r="L1" s="99" t="s">
        <v>27</v>
      </c>
      <c r="M1" s="99" t="s">
        <v>28</v>
      </c>
      <c r="N1" s="99" t="s">
        <v>29</v>
      </c>
      <c r="O1" s="99" t="s">
        <v>30</v>
      </c>
      <c r="P1" s="99" t="s">
        <v>31</v>
      </c>
      <c r="Q1" s="99" t="s">
        <v>32</v>
      </c>
      <c r="R1" s="99" t="s">
        <v>33</v>
      </c>
      <c r="S1" s="99" t="s">
        <v>34</v>
      </c>
      <c r="T1" s="99" t="s">
        <v>35</v>
      </c>
      <c r="U1" s="99" t="s">
        <v>36</v>
      </c>
      <c r="V1" s="99" t="s">
        <v>468</v>
      </c>
      <c r="W1" s="99" t="s">
        <v>37</v>
      </c>
      <c r="X1" s="99" t="s">
        <v>38</v>
      </c>
      <c r="Y1" s="99" t="s">
        <v>39</v>
      </c>
      <c r="Z1" s="99" t="s">
        <v>40</v>
      </c>
      <c r="AA1" s="99" t="s">
        <v>41</v>
      </c>
      <c r="AB1" s="99" t="s">
        <v>42</v>
      </c>
      <c r="AC1" s="99" t="s">
        <v>520</v>
      </c>
      <c r="AD1" s="99" t="s">
        <v>43</v>
      </c>
      <c r="AE1" s="99" t="s">
        <v>398</v>
      </c>
      <c r="AF1" s="99" t="s">
        <v>44</v>
      </c>
      <c r="AG1" s="99" t="s">
        <v>380</v>
      </c>
      <c r="AH1" s="99" t="s">
        <v>45</v>
      </c>
      <c r="AI1" s="99" t="s">
        <v>46</v>
      </c>
      <c r="AJ1" s="99" t="s">
        <v>47</v>
      </c>
      <c r="AK1" s="99" t="s">
        <v>48</v>
      </c>
      <c r="AL1" s="99" t="s">
        <v>49</v>
      </c>
      <c r="AM1" s="99" t="s">
        <v>469</v>
      </c>
      <c r="AN1" s="99" t="s">
        <v>50</v>
      </c>
      <c r="AO1" s="99" t="s">
        <v>51</v>
      </c>
      <c r="AP1" s="99" t="s">
        <v>52</v>
      </c>
      <c r="AQ1" s="99" t="s">
        <v>53</v>
      </c>
      <c r="AR1" s="99" t="s">
        <v>54</v>
      </c>
      <c r="AS1" s="99" t="s">
        <v>55</v>
      </c>
      <c r="AT1" s="99" t="s">
        <v>56</v>
      </c>
      <c r="AU1" s="99" t="s">
        <v>57</v>
      </c>
      <c r="AV1" s="99" t="s">
        <v>58</v>
      </c>
      <c r="AW1" s="99" t="s">
        <v>59</v>
      </c>
      <c r="AX1" s="99" t="s">
        <v>60</v>
      </c>
      <c r="AY1" s="99" t="s">
        <v>61</v>
      </c>
      <c r="AZ1" s="99" t="s">
        <v>62</v>
      </c>
      <c r="BA1" s="99" t="s">
        <v>63</v>
      </c>
      <c r="BB1" s="99" t="s">
        <v>64</v>
      </c>
      <c r="BC1" s="99" t="s">
        <v>65</v>
      </c>
      <c r="BD1" s="99" t="s">
        <v>66</v>
      </c>
      <c r="BE1" s="99" t="s">
        <v>67</v>
      </c>
      <c r="BF1" s="99" t="s">
        <v>68</v>
      </c>
      <c r="BG1" s="99" t="s">
        <v>69</v>
      </c>
      <c r="BH1" s="99" t="s">
        <v>70</v>
      </c>
      <c r="BI1" s="99" t="s">
        <v>71</v>
      </c>
      <c r="BJ1" s="99" t="s">
        <v>72</v>
      </c>
      <c r="BK1" s="99" t="s">
        <v>73</v>
      </c>
      <c r="BL1" s="99" t="s">
        <v>74</v>
      </c>
      <c r="BM1" s="99" t="s">
        <v>75</v>
      </c>
      <c r="BN1" s="99" t="s">
        <v>76</v>
      </c>
      <c r="BO1" s="99" t="s">
        <v>77</v>
      </c>
      <c r="BP1" s="99" t="s">
        <v>78</v>
      </c>
      <c r="BQ1" s="99" t="s">
        <v>79</v>
      </c>
      <c r="BR1" s="99" t="s">
        <v>80</v>
      </c>
      <c r="BS1" s="99" t="s">
        <v>81</v>
      </c>
      <c r="BT1" s="99" t="s">
        <v>82</v>
      </c>
      <c r="BU1" s="99" t="s">
        <v>83</v>
      </c>
      <c r="BV1" s="99" t="s">
        <v>84</v>
      </c>
      <c r="BW1" s="99" t="s">
        <v>85</v>
      </c>
      <c r="BX1" s="99" t="s">
        <v>86</v>
      </c>
      <c r="BY1" s="99" t="s">
        <v>87</v>
      </c>
      <c r="BZ1" s="99" t="s">
        <v>88</v>
      </c>
      <c r="CA1" s="99" t="s">
        <v>89</v>
      </c>
      <c r="CB1" s="99" t="s">
        <v>90</v>
      </c>
      <c r="CC1" s="99" t="s">
        <v>91</v>
      </c>
      <c r="CD1" s="99" t="s">
        <v>92</v>
      </c>
      <c r="CE1" s="99" t="s">
        <v>394</v>
      </c>
    </row>
    <row r="2" spans="1:83" x14ac:dyDescent="0.25">
      <c r="A2" s="100" t="s">
        <v>503</v>
      </c>
      <c r="B2" s="100">
        <v>146</v>
      </c>
      <c r="C2" s="100" t="s">
        <v>93</v>
      </c>
      <c r="D2" s="100" t="s">
        <v>94</v>
      </c>
      <c r="E2" s="100" t="s">
        <v>95</v>
      </c>
      <c r="F2" s="100" t="s">
        <v>95</v>
      </c>
      <c r="G2" s="100" t="s">
        <v>504</v>
      </c>
      <c r="H2" s="100" t="s">
        <v>94</v>
      </c>
      <c r="I2" s="100">
        <v>1</v>
      </c>
      <c r="J2" s="100">
        <v>0</v>
      </c>
      <c r="K2" s="100" t="s">
        <v>95</v>
      </c>
      <c r="L2" s="100">
        <v>12</v>
      </c>
      <c r="M2" s="100">
        <v>8</v>
      </c>
      <c r="N2" s="100">
        <v>1.6</v>
      </c>
      <c r="O2" s="100">
        <v>20.2</v>
      </c>
      <c r="P2" s="100">
        <v>150</v>
      </c>
      <c r="Q2" s="100">
        <v>1.2</v>
      </c>
      <c r="R2" s="100">
        <v>90</v>
      </c>
      <c r="S2" s="100">
        <v>228.6</v>
      </c>
      <c r="T2" s="100">
        <v>0.65</v>
      </c>
      <c r="U2" s="100">
        <v>1.1000000000000001</v>
      </c>
      <c r="V2" s="100" t="s">
        <v>95</v>
      </c>
      <c r="W2" s="100">
        <v>1</v>
      </c>
      <c r="X2" s="100">
        <v>11.5</v>
      </c>
      <c r="Y2" s="100">
        <v>1</v>
      </c>
      <c r="Z2" s="100">
        <v>100</v>
      </c>
      <c r="AA2" s="100">
        <v>23</v>
      </c>
      <c r="AB2" s="100">
        <v>3</v>
      </c>
      <c r="AC2" s="100">
        <v>5.2999999999999999E-2</v>
      </c>
      <c r="AD2" s="100">
        <v>3.9E-2</v>
      </c>
      <c r="AE2" s="100" t="s">
        <v>95</v>
      </c>
      <c r="AF2" s="100">
        <v>3.4000000000000002E-2</v>
      </c>
      <c r="AG2" s="100" t="s">
        <v>95</v>
      </c>
      <c r="AH2" s="100" t="s">
        <v>95</v>
      </c>
      <c r="AI2" s="100" t="s">
        <v>95</v>
      </c>
      <c r="AJ2" s="100">
        <v>0.36</v>
      </c>
      <c r="AK2" s="100">
        <v>2.2999999999999998</v>
      </c>
      <c r="AL2" s="100">
        <v>1.25</v>
      </c>
      <c r="AM2" s="100">
        <v>5.07</v>
      </c>
      <c r="AN2" s="100" t="s">
        <v>95</v>
      </c>
      <c r="AO2" s="100">
        <v>0.36299999999999999</v>
      </c>
      <c r="AP2" s="100">
        <v>0.38500000000000001</v>
      </c>
      <c r="AQ2" s="100">
        <v>0.371</v>
      </c>
      <c r="AR2" s="100">
        <v>0.38600000000000001</v>
      </c>
      <c r="AS2" s="100">
        <v>0.245</v>
      </c>
      <c r="AT2" s="100">
        <v>0.45300000000000001</v>
      </c>
      <c r="AU2" s="100">
        <v>3.04E-2</v>
      </c>
      <c r="AV2" s="100">
        <v>1.8100000000000002E-2</v>
      </c>
      <c r="AW2" s="100">
        <v>3.8800000000000001E-2</v>
      </c>
      <c r="AX2" s="100">
        <v>6</v>
      </c>
      <c r="AY2" s="100">
        <v>10</v>
      </c>
      <c r="AZ2" s="100">
        <v>0.01</v>
      </c>
      <c r="BA2" s="100">
        <v>0.25</v>
      </c>
      <c r="BB2" s="100">
        <v>0.5</v>
      </c>
      <c r="BC2" s="100">
        <v>15</v>
      </c>
      <c r="BD2" s="100">
        <v>0.5</v>
      </c>
      <c r="BE2" s="100">
        <v>15</v>
      </c>
      <c r="BF2" s="100">
        <v>15</v>
      </c>
      <c r="BG2" s="100">
        <v>0.5</v>
      </c>
      <c r="BH2" s="100">
        <v>15</v>
      </c>
      <c r="BI2" s="100">
        <v>0</v>
      </c>
      <c r="BJ2" s="100">
        <v>1.97</v>
      </c>
      <c r="BK2" s="100" t="s">
        <v>94</v>
      </c>
      <c r="BL2" s="100">
        <v>0.7</v>
      </c>
      <c r="BM2" s="100" t="s">
        <v>95</v>
      </c>
      <c r="BN2" s="100" t="s">
        <v>95</v>
      </c>
      <c r="BO2" s="100" t="s">
        <v>95</v>
      </c>
      <c r="BP2" s="100" t="s">
        <v>93</v>
      </c>
      <c r="BQ2" s="100" t="s">
        <v>505</v>
      </c>
      <c r="BR2" s="100" t="s">
        <v>95</v>
      </c>
      <c r="BS2" s="100">
        <v>3</v>
      </c>
      <c r="BT2" s="100">
        <v>1.5</v>
      </c>
      <c r="BU2" s="100">
        <v>2.4</v>
      </c>
      <c r="BV2" s="100">
        <v>0.3</v>
      </c>
      <c r="BW2" s="100">
        <v>0.5</v>
      </c>
      <c r="BX2" s="100" t="s">
        <v>95</v>
      </c>
      <c r="BY2" s="100" t="s">
        <v>506</v>
      </c>
      <c r="BZ2" s="100" t="s">
        <v>95</v>
      </c>
      <c r="CA2" s="100" t="s">
        <v>95</v>
      </c>
      <c r="CB2" s="100">
        <v>42577</v>
      </c>
      <c r="CC2" s="100">
        <v>42577</v>
      </c>
      <c r="CD2" s="100">
        <v>2472</v>
      </c>
      <c r="CE2" s="100">
        <v>8.2000000000000003E-2</v>
      </c>
    </row>
    <row r="3" spans="1:83" x14ac:dyDescent="0.25">
      <c r="A3" s="99" t="s">
        <v>96</v>
      </c>
      <c r="B3" s="99">
        <v>146</v>
      </c>
      <c r="C3" s="99" t="s">
        <v>93</v>
      </c>
      <c r="D3" s="99" t="s">
        <v>93</v>
      </c>
      <c r="E3" s="99" t="s">
        <v>97</v>
      </c>
      <c r="F3" s="99" t="s">
        <v>98</v>
      </c>
      <c r="G3" s="99" t="s">
        <v>99</v>
      </c>
      <c r="H3" s="99" t="s">
        <v>94</v>
      </c>
      <c r="I3" s="99">
        <v>1</v>
      </c>
      <c r="J3" s="99">
        <v>0</v>
      </c>
      <c r="K3" s="99">
        <v>1</v>
      </c>
      <c r="L3" s="99">
        <v>12</v>
      </c>
      <c r="M3" s="99">
        <v>8</v>
      </c>
      <c r="N3" s="99">
        <v>22</v>
      </c>
      <c r="O3" s="99">
        <v>76</v>
      </c>
      <c r="P3" s="99">
        <v>150</v>
      </c>
      <c r="Q3" s="99">
        <v>2.7</v>
      </c>
      <c r="R3" s="99">
        <v>60</v>
      </c>
      <c r="S3" s="99">
        <v>6.4</v>
      </c>
      <c r="T3" s="99">
        <v>0.57999999999999996</v>
      </c>
      <c r="U3" s="99">
        <v>1.1000000000000001</v>
      </c>
      <c r="V3" s="99">
        <v>1.4</v>
      </c>
      <c r="W3" s="99">
        <v>1</v>
      </c>
      <c r="X3" s="99">
        <v>28</v>
      </c>
      <c r="Y3" s="99">
        <v>5</v>
      </c>
      <c r="Z3" s="99">
        <v>200</v>
      </c>
      <c r="AA3" s="99">
        <v>44</v>
      </c>
      <c r="AB3" s="99">
        <v>0.7</v>
      </c>
      <c r="AC3" s="99" t="s">
        <v>95</v>
      </c>
      <c r="AD3" s="99">
        <v>1.1599999999999999E-2</v>
      </c>
      <c r="AE3" s="99">
        <v>1.04E-2</v>
      </c>
      <c r="AF3" s="99">
        <v>9.2999999999999992E-3</v>
      </c>
      <c r="AG3" s="99" t="s">
        <v>95</v>
      </c>
      <c r="AH3" s="99" t="s">
        <v>95</v>
      </c>
      <c r="AI3" s="99" t="s">
        <v>95</v>
      </c>
      <c r="AJ3" s="99">
        <v>0.39</v>
      </c>
      <c r="AK3" s="99">
        <v>5.0999999999999996</v>
      </c>
      <c r="AL3" s="99">
        <v>2.9</v>
      </c>
      <c r="AM3" s="99">
        <v>0.56999999999999995</v>
      </c>
      <c r="AN3" s="99" t="s">
        <v>95</v>
      </c>
      <c r="AO3" s="99">
        <v>0.78100000000000003</v>
      </c>
      <c r="AP3" s="99">
        <v>0.76700000000000002</v>
      </c>
      <c r="AQ3" s="99">
        <v>0.80600000000000005</v>
      </c>
      <c r="AR3" s="99">
        <v>0.81399999999999995</v>
      </c>
      <c r="AS3" s="99">
        <v>0.50600000000000001</v>
      </c>
      <c r="AT3" s="99">
        <v>0.97699999999999998</v>
      </c>
      <c r="AU3" s="99">
        <v>6.9599999999999995E-2</v>
      </c>
      <c r="AV3" s="99">
        <v>4.2999999999999997E-2</v>
      </c>
      <c r="AW3" s="99">
        <v>9.6799999999999997E-2</v>
      </c>
      <c r="AX3" s="99">
        <v>6</v>
      </c>
      <c r="AY3" s="99">
        <v>10</v>
      </c>
      <c r="AZ3" s="99">
        <v>0.01</v>
      </c>
      <c r="BA3" s="99">
        <v>0.9</v>
      </c>
      <c r="BB3" s="99">
        <v>0.5</v>
      </c>
      <c r="BC3" s="99">
        <v>45</v>
      </c>
      <c r="BD3" s="99">
        <v>1</v>
      </c>
      <c r="BE3" s="99">
        <v>22</v>
      </c>
      <c r="BF3" s="99">
        <v>13</v>
      </c>
      <c r="BG3" s="99">
        <v>2</v>
      </c>
      <c r="BH3" s="99">
        <v>13</v>
      </c>
      <c r="BI3" s="99">
        <v>0.01</v>
      </c>
      <c r="BJ3" s="99">
        <v>0.98</v>
      </c>
      <c r="BK3" s="99" t="s">
        <v>94</v>
      </c>
      <c r="BL3" s="99">
        <v>0.75</v>
      </c>
      <c r="BM3" s="99" t="s">
        <v>95</v>
      </c>
      <c r="BN3" s="99" t="s">
        <v>95</v>
      </c>
      <c r="BO3" s="99" t="s">
        <v>95</v>
      </c>
      <c r="BP3" s="99" t="s">
        <v>93</v>
      </c>
      <c r="BQ3" s="99" t="s">
        <v>100</v>
      </c>
      <c r="BR3" s="99" t="s">
        <v>95</v>
      </c>
      <c r="BS3" s="99">
        <v>1.4</v>
      </c>
      <c r="BT3" s="99">
        <v>1.7</v>
      </c>
      <c r="BU3" s="99">
        <v>13</v>
      </c>
      <c r="BV3" s="99">
        <v>0.76</v>
      </c>
      <c r="BW3" s="99">
        <v>0.98</v>
      </c>
      <c r="BX3" s="99" t="s">
        <v>95</v>
      </c>
      <c r="BY3" s="99" t="s">
        <v>101</v>
      </c>
      <c r="BZ3" s="99" t="s">
        <v>94</v>
      </c>
      <c r="CA3" s="99" t="s">
        <v>95</v>
      </c>
      <c r="CB3" s="99">
        <v>42577</v>
      </c>
      <c r="CC3" s="99">
        <v>42662</v>
      </c>
      <c r="CD3" s="99">
        <v>2585</v>
      </c>
      <c r="CE3" s="99">
        <v>0.127</v>
      </c>
    </row>
    <row r="4" spans="1:83" x14ac:dyDescent="0.25">
      <c r="A4" s="100" t="s">
        <v>507</v>
      </c>
      <c r="B4" s="100">
        <v>146</v>
      </c>
      <c r="C4" s="100" t="s">
        <v>93</v>
      </c>
      <c r="D4" s="100" t="s">
        <v>102</v>
      </c>
      <c r="E4" s="100" t="s">
        <v>508</v>
      </c>
      <c r="F4" s="100" t="s">
        <v>509</v>
      </c>
      <c r="G4" s="100" t="s">
        <v>510</v>
      </c>
      <c r="H4" s="100" t="s">
        <v>94</v>
      </c>
      <c r="I4" s="100">
        <v>1</v>
      </c>
      <c r="J4" s="100">
        <v>0</v>
      </c>
      <c r="K4" s="100">
        <v>1</v>
      </c>
      <c r="L4" s="100">
        <v>12</v>
      </c>
      <c r="M4" s="100">
        <v>10</v>
      </c>
      <c r="N4" s="100">
        <v>1.6</v>
      </c>
      <c r="O4" s="100">
        <v>29</v>
      </c>
      <c r="P4" s="100">
        <v>150</v>
      </c>
      <c r="Q4" s="100">
        <v>1.8</v>
      </c>
      <c r="R4" s="100">
        <v>90</v>
      </c>
      <c r="S4" s="100" t="s">
        <v>95</v>
      </c>
      <c r="T4" s="100">
        <v>0.7</v>
      </c>
      <c r="U4" s="100">
        <v>1.3</v>
      </c>
      <c r="V4" s="100" t="s">
        <v>95</v>
      </c>
      <c r="W4" s="100">
        <v>1</v>
      </c>
      <c r="X4" s="100">
        <v>19.600000000000001</v>
      </c>
      <c r="Y4" s="100">
        <v>1</v>
      </c>
      <c r="Z4" s="100">
        <v>200</v>
      </c>
      <c r="AA4" s="100">
        <v>10</v>
      </c>
      <c r="AB4" s="100">
        <v>3.6</v>
      </c>
      <c r="AC4" s="100" t="s">
        <v>95</v>
      </c>
      <c r="AD4" s="100">
        <v>2.58E-2</v>
      </c>
      <c r="AE4" s="100" t="s">
        <v>95</v>
      </c>
      <c r="AF4" s="100">
        <v>1.7100000000000001E-2</v>
      </c>
      <c r="AG4" s="100" t="s">
        <v>95</v>
      </c>
      <c r="AH4" s="100" t="s">
        <v>95</v>
      </c>
      <c r="AI4" s="100" t="s">
        <v>95</v>
      </c>
      <c r="AJ4" s="100">
        <v>0.36</v>
      </c>
      <c r="AK4" s="100">
        <v>6</v>
      </c>
      <c r="AL4" s="100">
        <v>3.7</v>
      </c>
      <c r="AM4" s="100" t="s">
        <v>95</v>
      </c>
      <c r="AN4" s="100" t="s">
        <v>95</v>
      </c>
      <c r="AO4" s="100">
        <v>0.8</v>
      </c>
      <c r="AP4" s="100">
        <v>0.66300000000000003</v>
      </c>
      <c r="AQ4" s="100">
        <v>0.91200000000000003</v>
      </c>
      <c r="AR4" s="100">
        <v>0.39</v>
      </c>
      <c r="AS4" s="100">
        <v>0.21099999999999999</v>
      </c>
      <c r="AT4" s="100">
        <v>0.53</v>
      </c>
      <c r="AU4" s="100">
        <v>0.28999999999999998</v>
      </c>
      <c r="AV4" s="100">
        <v>0.151</v>
      </c>
      <c r="AW4" s="100">
        <v>0.37</v>
      </c>
      <c r="AX4" s="100">
        <v>6</v>
      </c>
      <c r="AY4" s="100">
        <v>10</v>
      </c>
      <c r="AZ4" s="100">
        <v>0.1</v>
      </c>
      <c r="BA4" s="100">
        <v>4.5</v>
      </c>
      <c r="BB4" s="100">
        <v>0.24</v>
      </c>
      <c r="BC4" s="100">
        <v>10</v>
      </c>
      <c r="BD4" s="100">
        <v>2</v>
      </c>
      <c r="BE4" s="100">
        <v>10</v>
      </c>
      <c r="BF4" s="100">
        <v>12</v>
      </c>
      <c r="BG4" s="100">
        <v>1.2</v>
      </c>
      <c r="BH4" s="100">
        <v>12</v>
      </c>
      <c r="BI4" s="100">
        <v>0.1</v>
      </c>
      <c r="BJ4" s="100">
        <v>0.91</v>
      </c>
      <c r="BK4" s="100" t="s">
        <v>94</v>
      </c>
      <c r="BL4" s="100">
        <v>0.7</v>
      </c>
      <c r="BM4" s="100" t="s">
        <v>95</v>
      </c>
      <c r="BN4" s="100" t="s">
        <v>95</v>
      </c>
      <c r="BO4" s="100" t="s">
        <v>95</v>
      </c>
      <c r="BP4" s="100" t="s">
        <v>93</v>
      </c>
      <c r="BQ4" s="100" t="s">
        <v>511</v>
      </c>
      <c r="BR4" s="100" t="s">
        <v>95</v>
      </c>
      <c r="BS4" s="100">
        <v>7.2</v>
      </c>
      <c r="BT4" s="100">
        <v>2</v>
      </c>
      <c r="BU4" s="100">
        <v>11.6</v>
      </c>
      <c r="BV4" s="100">
        <v>2.1</v>
      </c>
      <c r="BW4" s="100">
        <v>0.7</v>
      </c>
      <c r="BX4" s="100" t="s">
        <v>95</v>
      </c>
      <c r="BY4" s="100" t="s">
        <v>506</v>
      </c>
      <c r="BZ4" s="100" t="s">
        <v>94</v>
      </c>
      <c r="CA4" s="100" t="s">
        <v>95</v>
      </c>
      <c r="CB4" s="100">
        <v>42577</v>
      </c>
      <c r="CC4" s="100">
        <v>42663</v>
      </c>
      <c r="CD4" s="100">
        <v>2586</v>
      </c>
      <c r="CE4" s="100">
        <v>8.1000000000000003E-2</v>
      </c>
    </row>
    <row r="5" spans="1:83" x14ac:dyDescent="0.25">
      <c r="A5" s="100" t="s">
        <v>512</v>
      </c>
      <c r="B5" s="100">
        <v>146</v>
      </c>
      <c r="C5" s="100" t="s">
        <v>93</v>
      </c>
      <c r="D5" s="100" t="s">
        <v>94</v>
      </c>
      <c r="E5" s="100" t="s">
        <v>95</v>
      </c>
      <c r="F5" s="100" t="s">
        <v>95</v>
      </c>
      <c r="G5" s="100" t="s">
        <v>504</v>
      </c>
      <c r="H5" s="100" t="s">
        <v>94</v>
      </c>
      <c r="I5" s="100">
        <v>1</v>
      </c>
      <c r="J5" s="100">
        <v>0</v>
      </c>
      <c r="K5" s="100" t="s">
        <v>95</v>
      </c>
      <c r="L5" s="100">
        <v>12</v>
      </c>
      <c r="M5" s="100">
        <v>8</v>
      </c>
      <c r="N5" s="100">
        <v>3.5</v>
      </c>
      <c r="O5" s="100">
        <v>31</v>
      </c>
      <c r="P5" s="100">
        <v>150</v>
      </c>
      <c r="Q5" s="100">
        <v>1.65</v>
      </c>
      <c r="R5" s="100">
        <v>90</v>
      </c>
      <c r="S5" s="100">
        <v>295.5</v>
      </c>
      <c r="T5" s="100">
        <v>0.65</v>
      </c>
      <c r="U5" s="100">
        <v>1.2</v>
      </c>
      <c r="V5" s="100" t="s">
        <v>95</v>
      </c>
      <c r="W5" s="100">
        <v>1</v>
      </c>
      <c r="X5" s="100">
        <v>38.700000000000003</v>
      </c>
      <c r="Y5" s="100">
        <v>1.5</v>
      </c>
      <c r="Z5" s="100">
        <v>200</v>
      </c>
      <c r="AA5" s="100">
        <v>14</v>
      </c>
      <c r="AB5" s="100">
        <v>3</v>
      </c>
      <c r="AC5" s="100" t="s">
        <v>95</v>
      </c>
      <c r="AD5" s="100">
        <v>2.3E-2</v>
      </c>
      <c r="AE5" s="100" t="s">
        <v>95</v>
      </c>
      <c r="AF5" s="100">
        <v>0.02</v>
      </c>
      <c r="AG5" s="100" t="s">
        <v>95</v>
      </c>
      <c r="AH5" s="100" t="s">
        <v>95</v>
      </c>
      <c r="AI5" s="100" t="s">
        <v>95</v>
      </c>
      <c r="AJ5" s="100">
        <v>0.36</v>
      </c>
      <c r="AK5" s="100">
        <v>3.9</v>
      </c>
      <c r="AL5" s="100">
        <v>2.5</v>
      </c>
      <c r="AM5" s="100">
        <v>8.6999999999999993</v>
      </c>
      <c r="AN5" s="100" t="s">
        <v>95</v>
      </c>
      <c r="AO5" s="100">
        <v>0.64900000000000002</v>
      </c>
      <c r="AP5" s="100">
        <v>0.55000000000000004</v>
      </c>
      <c r="AQ5" s="100">
        <v>0.66</v>
      </c>
      <c r="AR5" s="100">
        <v>0.59299999999999997</v>
      </c>
      <c r="AS5" s="100">
        <v>0.4</v>
      </c>
      <c r="AT5" s="100">
        <v>0.71</v>
      </c>
      <c r="AU5" s="100">
        <v>4.3099999999999999E-2</v>
      </c>
      <c r="AV5" s="100">
        <v>2.9000000000000001E-2</v>
      </c>
      <c r="AW5" s="100">
        <v>5.4199999999999998E-2</v>
      </c>
      <c r="AX5" s="100">
        <v>6</v>
      </c>
      <c r="AY5" s="100">
        <v>10</v>
      </c>
      <c r="AZ5" s="100">
        <v>0.01</v>
      </c>
      <c r="BA5" s="100">
        <v>0.45</v>
      </c>
      <c r="BB5" s="100">
        <v>0.3</v>
      </c>
      <c r="BC5" s="100">
        <v>15</v>
      </c>
      <c r="BD5" s="100">
        <v>0.9</v>
      </c>
      <c r="BE5" s="100">
        <v>15</v>
      </c>
      <c r="BF5" s="100">
        <v>12</v>
      </c>
      <c r="BG5" s="100">
        <v>1</v>
      </c>
      <c r="BH5" s="100">
        <v>12</v>
      </c>
      <c r="BI5" s="100">
        <v>0.01</v>
      </c>
      <c r="BJ5" s="100">
        <v>1.1599999999999999</v>
      </c>
      <c r="BK5" s="100" t="s">
        <v>94</v>
      </c>
      <c r="BL5" s="100">
        <v>0.7</v>
      </c>
      <c r="BM5" s="100" t="s">
        <v>95</v>
      </c>
      <c r="BN5" s="100" t="s">
        <v>95</v>
      </c>
      <c r="BO5" s="100" t="s">
        <v>95</v>
      </c>
      <c r="BP5" s="100" t="s">
        <v>93</v>
      </c>
      <c r="BQ5" s="100" t="s">
        <v>513</v>
      </c>
      <c r="BR5" s="100" t="s">
        <v>95</v>
      </c>
      <c r="BS5" s="100">
        <v>4.5999999999999996</v>
      </c>
      <c r="BT5" s="100">
        <v>1.5</v>
      </c>
      <c r="BU5" s="100">
        <v>14</v>
      </c>
      <c r="BV5" s="100">
        <v>0.4</v>
      </c>
      <c r="BW5" s="100">
        <v>1</v>
      </c>
      <c r="BX5" s="100" t="s">
        <v>95</v>
      </c>
      <c r="BY5" s="100" t="s">
        <v>514</v>
      </c>
      <c r="BZ5" s="100" t="s">
        <v>95</v>
      </c>
      <c r="CA5" s="100" t="s">
        <v>95</v>
      </c>
      <c r="CB5" s="100">
        <v>42577</v>
      </c>
      <c r="CC5" s="100">
        <v>42577</v>
      </c>
      <c r="CD5" s="100">
        <v>2473</v>
      </c>
      <c r="CE5" s="100">
        <v>0.12</v>
      </c>
    </row>
    <row r="6" spans="1:83" x14ac:dyDescent="0.25">
      <c r="A6" s="100" t="s">
        <v>515</v>
      </c>
      <c r="B6" s="100">
        <v>146</v>
      </c>
      <c r="C6" s="100" t="s">
        <v>93</v>
      </c>
      <c r="D6" s="100" t="s">
        <v>102</v>
      </c>
      <c r="E6" s="100" t="s">
        <v>516</v>
      </c>
      <c r="F6" s="100" t="s">
        <v>517</v>
      </c>
      <c r="G6" s="100" t="s">
        <v>518</v>
      </c>
      <c r="H6" s="100" t="s">
        <v>94</v>
      </c>
      <c r="I6" s="100">
        <v>1</v>
      </c>
      <c r="J6" s="100">
        <v>0</v>
      </c>
      <c r="K6" s="100">
        <v>1</v>
      </c>
      <c r="L6" s="100">
        <v>12</v>
      </c>
      <c r="M6" s="100">
        <v>10</v>
      </c>
      <c r="N6" s="100">
        <v>3.5</v>
      </c>
      <c r="O6" s="100">
        <v>44</v>
      </c>
      <c r="P6" s="100">
        <v>150</v>
      </c>
      <c r="Q6" s="100">
        <v>1.8</v>
      </c>
      <c r="R6" s="100">
        <v>90</v>
      </c>
      <c r="S6" s="100" t="s">
        <v>95</v>
      </c>
      <c r="T6" s="100">
        <v>0.7</v>
      </c>
      <c r="U6" s="100">
        <v>1.3</v>
      </c>
      <c r="V6" s="100" t="s">
        <v>95</v>
      </c>
      <c r="W6" s="100">
        <v>1</v>
      </c>
      <c r="X6" s="100">
        <v>23</v>
      </c>
      <c r="Y6" s="100">
        <v>1.5</v>
      </c>
      <c r="Z6" s="100">
        <v>200</v>
      </c>
      <c r="AA6" s="100">
        <v>15</v>
      </c>
      <c r="AB6" s="100">
        <v>4.2</v>
      </c>
      <c r="AC6" s="100" t="s">
        <v>95</v>
      </c>
      <c r="AD6" s="100">
        <v>1.55E-2</v>
      </c>
      <c r="AE6" s="100" t="s">
        <v>95</v>
      </c>
      <c r="AF6" s="100">
        <v>1.0200000000000001E-2</v>
      </c>
      <c r="AG6" s="100" t="s">
        <v>95</v>
      </c>
      <c r="AH6" s="100" t="s">
        <v>95</v>
      </c>
      <c r="AI6" s="100" t="s">
        <v>95</v>
      </c>
      <c r="AJ6" s="100">
        <v>0.36</v>
      </c>
      <c r="AK6" s="100">
        <v>8.6</v>
      </c>
      <c r="AL6" s="100">
        <v>5.3</v>
      </c>
      <c r="AM6" s="100" t="s">
        <v>95</v>
      </c>
      <c r="AN6" s="100" t="s">
        <v>95</v>
      </c>
      <c r="AO6" s="100">
        <v>1.3</v>
      </c>
      <c r="AP6" s="100">
        <v>1.05</v>
      </c>
      <c r="AQ6" s="100">
        <v>1.5</v>
      </c>
      <c r="AR6" s="100">
        <v>0.6</v>
      </c>
      <c r="AS6" s="100">
        <v>0.32400000000000001</v>
      </c>
      <c r="AT6" s="100">
        <v>0.8</v>
      </c>
      <c r="AU6" s="100">
        <v>0.4</v>
      </c>
      <c r="AV6" s="100">
        <v>0.22600000000000001</v>
      </c>
      <c r="AW6" s="100">
        <v>0.53</v>
      </c>
      <c r="AX6" s="100">
        <v>6</v>
      </c>
      <c r="AY6" s="100">
        <v>10</v>
      </c>
      <c r="AZ6" s="100">
        <v>0.1</v>
      </c>
      <c r="BA6" s="100">
        <v>7</v>
      </c>
      <c r="BB6" s="100">
        <v>0.21</v>
      </c>
      <c r="BC6" s="100">
        <v>17</v>
      </c>
      <c r="BD6" s="100">
        <v>1.7</v>
      </c>
      <c r="BE6" s="100">
        <v>17</v>
      </c>
      <c r="BF6" s="100">
        <v>12</v>
      </c>
      <c r="BG6" s="100">
        <v>5</v>
      </c>
      <c r="BH6" s="100">
        <v>12</v>
      </c>
      <c r="BI6" s="100">
        <v>0.1</v>
      </c>
      <c r="BJ6" s="100">
        <v>0.71</v>
      </c>
      <c r="BK6" s="100" t="s">
        <v>94</v>
      </c>
      <c r="BL6" s="100">
        <v>0.7</v>
      </c>
      <c r="BM6" s="100" t="s">
        <v>95</v>
      </c>
      <c r="BN6" s="100" t="s">
        <v>95</v>
      </c>
      <c r="BO6" s="100" t="s">
        <v>95</v>
      </c>
      <c r="BP6" s="100" t="s">
        <v>93</v>
      </c>
      <c r="BQ6" s="100" t="s">
        <v>519</v>
      </c>
      <c r="BR6" s="100" t="s">
        <v>95</v>
      </c>
      <c r="BS6" s="100">
        <v>8.4</v>
      </c>
      <c r="BT6" s="100">
        <v>1.5</v>
      </c>
      <c r="BU6" s="100">
        <v>14.8</v>
      </c>
      <c r="BV6" s="100">
        <v>3</v>
      </c>
      <c r="BW6" s="100">
        <v>1.1000000000000001</v>
      </c>
      <c r="BX6" s="100" t="s">
        <v>94</v>
      </c>
      <c r="BY6" s="100" t="s">
        <v>514</v>
      </c>
      <c r="BZ6" s="100" t="s">
        <v>94</v>
      </c>
      <c r="CA6" s="100" t="s">
        <v>95</v>
      </c>
      <c r="CB6" s="100">
        <v>42577</v>
      </c>
      <c r="CC6" s="100">
        <v>42663</v>
      </c>
      <c r="CD6" s="100">
        <v>2587</v>
      </c>
      <c r="CE6" s="100">
        <v>0.11700000000000001</v>
      </c>
    </row>
    <row r="7" spans="1:83" x14ac:dyDescent="0.25">
      <c r="A7" s="101" t="s">
        <v>500</v>
      </c>
      <c r="B7" s="101">
        <v>146</v>
      </c>
      <c r="C7" s="101" t="s">
        <v>93</v>
      </c>
      <c r="D7" s="101" t="s">
        <v>94</v>
      </c>
      <c r="E7" s="101" t="s">
        <v>95</v>
      </c>
      <c r="F7" s="101" t="s">
        <v>95</v>
      </c>
      <c r="G7" s="101" t="s">
        <v>400</v>
      </c>
      <c r="H7" s="101" t="s">
        <v>94</v>
      </c>
      <c r="I7" s="101">
        <v>1</v>
      </c>
      <c r="J7" s="101">
        <v>0</v>
      </c>
      <c r="K7" s="101" t="s">
        <v>95</v>
      </c>
      <c r="L7" s="101">
        <v>12</v>
      </c>
      <c r="M7" s="101">
        <v>8</v>
      </c>
      <c r="N7" s="101">
        <v>2.1</v>
      </c>
      <c r="O7" s="101">
        <v>13.5</v>
      </c>
      <c r="P7" s="101">
        <v>150</v>
      </c>
      <c r="Q7" s="101">
        <v>0.5</v>
      </c>
      <c r="R7" s="101">
        <v>90</v>
      </c>
      <c r="S7" s="101" t="s">
        <v>95</v>
      </c>
      <c r="T7" s="101">
        <v>0.55000000000000004</v>
      </c>
      <c r="U7" s="101">
        <v>1.3</v>
      </c>
      <c r="V7" s="101" t="s">
        <v>95</v>
      </c>
      <c r="W7" s="101">
        <v>1</v>
      </c>
      <c r="X7" s="101">
        <v>8</v>
      </c>
      <c r="Y7" s="101">
        <v>0.4</v>
      </c>
      <c r="Z7" s="101">
        <v>100</v>
      </c>
      <c r="AA7" s="101">
        <v>4.3</v>
      </c>
      <c r="AB7" s="101">
        <v>16</v>
      </c>
      <c r="AC7" s="101">
        <v>0.13500000000000001</v>
      </c>
      <c r="AD7" s="101">
        <v>9.1999999999999998E-2</v>
      </c>
      <c r="AE7" s="101" t="s">
        <v>95</v>
      </c>
      <c r="AF7" s="101">
        <v>7.5999999999999998E-2</v>
      </c>
      <c r="AG7" s="101" t="s">
        <v>95</v>
      </c>
      <c r="AH7" s="101" t="s">
        <v>95</v>
      </c>
      <c r="AI7" s="101" t="s">
        <v>95</v>
      </c>
      <c r="AJ7" s="101">
        <v>0.33</v>
      </c>
      <c r="AK7" s="101">
        <v>0.91</v>
      </c>
      <c r="AL7" s="101">
        <v>0.52</v>
      </c>
      <c r="AM7" s="101">
        <v>0.15</v>
      </c>
      <c r="AN7" s="101" t="s">
        <v>95</v>
      </c>
      <c r="AO7" s="101" t="s">
        <v>95</v>
      </c>
      <c r="AP7" s="101" t="s">
        <v>95</v>
      </c>
      <c r="AQ7" s="101" t="s">
        <v>95</v>
      </c>
      <c r="AR7" s="101" t="s">
        <v>95</v>
      </c>
      <c r="AS7" s="101" t="s">
        <v>95</v>
      </c>
      <c r="AT7" s="101" t="s">
        <v>95</v>
      </c>
      <c r="AU7" s="101" t="s">
        <v>95</v>
      </c>
      <c r="AV7" s="101" t="s">
        <v>95</v>
      </c>
      <c r="AW7" s="101">
        <v>1.4999999999999999E-2</v>
      </c>
      <c r="AX7" s="101" t="s">
        <v>95</v>
      </c>
      <c r="AY7" s="101" t="s">
        <v>95</v>
      </c>
      <c r="AZ7" s="101" t="s">
        <v>95</v>
      </c>
      <c r="BA7" s="101" t="s">
        <v>95</v>
      </c>
      <c r="BB7" s="101" t="s">
        <v>95</v>
      </c>
      <c r="BC7" s="101" t="s">
        <v>95</v>
      </c>
      <c r="BD7" s="101" t="s">
        <v>95</v>
      </c>
      <c r="BE7" s="101" t="s">
        <v>95</v>
      </c>
      <c r="BF7" s="101" t="s">
        <v>95</v>
      </c>
      <c r="BG7" s="101" t="s">
        <v>95</v>
      </c>
      <c r="BH7" s="101" t="s">
        <v>95</v>
      </c>
      <c r="BI7" s="101" t="s">
        <v>95</v>
      </c>
      <c r="BJ7" s="101" t="s">
        <v>95</v>
      </c>
      <c r="BK7" s="101" t="s">
        <v>94</v>
      </c>
      <c r="BL7" s="101">
        <v>0.71</v>
      </c>
      <c r="BM7" s="101" t="s">
        <v>95</v>
      </c>
      <c r="BN7" s="101" t="s">
        <v>95</v>
      </c>
      <c r="BO7" s="101" t="s">
        <v>95</v>
      </c>
      <c r="BP7" s="101" t="s">
        <v>93</v>
      </c>
      <c r="BQ7" s="102" t="s">
        <v>521</v>
      </c>
      <c r="BR7" s="101" t="s">
        <v>95</v>
      </c>
      <c r="BS7" s="101" t="s">
        <v>95</v>
      </c>
      <c r="BT7" s="101" t="s">
        <v>95</v>
      </c>
      <c r="BU7" s="101">
        <v>2.1</v>
      </c>
      <c r="BV7" s="101">
        <v>0.15</v>
      </c>
      <c r="BW7" s="101">
        <v>0.19</v>
      </c>
      <c r="BX7" s="101" t="s">
        <v>95</v>
      </c>
      <c r="BY7" s="101" t="s">
        <v>486</v>
      </c>
      <c r="BZ7" s="101" t="s">
        <v>95</v>
      </c>
      <c r="CA7" s="101" t="s">
        <v>95</v>
      </c>
      <c r="CB7" s="101">
        <v>42577</v>
      </c>
      <c r="CC7" s="101" t="s">
        <v>95</v>
      </c>
      <c r="CD7" s="101" t="s">
        <v>95</v>
      </c>
      <c r="CE7" s="101">
        <v>0.04</v>
      </c>
    </row>
    <row r="8" spans="1:83" x14ac:dyDescent="0.25">
      <c r="A8" s="100" t="s">
        <v>473</v>
      </c>
      <c r="B8" s="100">
        <v>146</v>
      </c>
      <c r="C8" s="100" t="s">
        <v>93</v>
      </c>
      <c r="D8" s="100" t="s">
        <v>94</v>
      </c>
      <c r="E8" s="100" t="s">
        <v>95</v>
      </c>
      <c r="F8" s="100" t="s">
        <v>95</v>
      </c>
      <c r="G8" s="100" t="s">
        <v>103</v>
      </c>
      <c r="H8" s="100" t="s">
        <v>94</v>
      </c>
      <c r="I8" s="100">
        <v>1</v>
      </c>
      <c r="J8" s="100">
        <v>0</v>
      </c>
      <c r="K8" s="100" t="s">
        <v>95</v>
      </c>
      <c r="L8" s="100">
        <v>12</v>
      </c>
      <c r="M8" s="100">
        <v>8</v>
      </c>
      <c r="N8" s="100">
        <v>2.1</v>
      </c>
      <c r="O8" s="100">
        <v>7</v>
      </c>
      <c r="P8" s="100">
        <v>150</v>
      </c>
      <c r="Q8" s="100">
        <v>0.5</v>
      </c>
      <c r="R8" s="100">
        <v>110</v>
      </c>
      <c r="S8" s="100" t="s">
        <v>95</v>
      </c>
      <c r="T8" s="100">
        <v>0.65</v>
      </c>
      <c r="U8" s="100">
        <v>1.1000000000000001</v>
      </c>
      <c r="V8" s="100" t="s">
        <v>95</v>
      </c>
      <c r="W8" s="100">
        <v>0.9</v>
      </c>
      <c r="X8" s="100">
        <v>6</v>
      </c>
      <c r="Y8" s="100">
        <v>0.5</v>
      </c>
      <c r="Z8" s="100">
        <v>300</v>
      </c>
      <c r="AA8" s="100">
        <v>3.2</v>
      </c>
      <c r="AB8" s="100">
        <v>23</v>
      </c>
      <c r="AC8" s="100">
        <v>0.4</v>
      </c>
      <c r="AD8" s="100">
        <v>0.22500000000000001</v>
      </c>
      <c r="AE8" s="100" t="s">
        <v>95</v>
      </c>
      <c r="AF8" s="100">
        <v>0.18</v>
      </c>
      <c r="AG8" s="100" t="s">
        <v>95</v>
      </c>
      <c r="AH8" s="100" t="s">
        <v>95</v>
      </c>
      <c r="AI8" s="100" t="s">
        <v>95</v>
      </c>
      <c r="AJ8" s="100">
        <v>0.33</v>
      </c>
      <c r="AK8" s="100">
        <v>1.06</v>
      </c>
      <c r="AL8" s="100">
        <v>0.52</v>
      </c>
      <c r="AM8" s="100" t="s">
        <v>95</v>
      </c>
      <c r="AN8" s="100"/>
      <c r="AO8" s="100">
        <v>0.157</v>
      </c>
      <c r="AP8" s="100">
        <v>0.155</v>
      </c>
      <c r="AQ8" s="100">
        <v>0.16</v>
      </c>
      <c r="AR8" s="100">
        <v>0.09</v>
      </c>
      <c r="AS8" s="100">
        <v>4.7E-2</v>
      </c>
      <c r="AT8" s="100">
        <v>0.11</v>
      </c>
      <c r="AU8" s="100">
        <v>0.01</v>
      </c>
      <c r="AV8" s="100">
        <v>2.5000000000000001E-3</v>
      </c>
      <c r="AW8" s="100">
        <v>1.4999999999999999E-2</v>
      </c>
      <c r="AX8" s="100">
        <v>6</v>
      </c>
      <c r="AY8" s="100">
        <v>10</v>
      </c>
      <c r="AZ8" s="100">
        <v>0.01</v>
      </c>
      <c r="BA8" s="100">
        <v>0.06</v>
      </c>
      <c r="BB8" s="100">
        <v>0.8</v>
      </c>
      <c r="BC8" s="100">
        <v>4</v>
      </c>
      <c r="BD8" s="100">
        <v>1.5</v>
      </c>
      <c r="BE8" s="100">
        <v>4</v>
      </c>
      <c r="BF8" s="100">
        <v>12</v>
      </c>
      <c r="BG8" s="100">
        <v>0.5</v>
      </c>
      <c r="BH8" s="100">
        <v>12</v>
      </c>
      <c r="BI8" s="100">
        <v>0.01</v>
      </c>
      <c r="BJ8" s="100">
        <v>5.3</v>
      </c>
      <c r="BK8" s="100" t="s">
        <v>94</v>
      </c>
      <c r="BL8" s="100">
        <v>0.73</v>
      </c>
      <c r="BM8" s="100" t="s">
        <v>95</v>
      </c>
      <c r="BN8" s="100" t="s">
        <v>95</v>
      </c>
      <c r="BO8" s="100" t="s">
        <v>95</v>
      </c>
      <c r="BP8" s="100" t="s">
        <v>93</v>
      </c>
      <c r="BQ8" s="100" t="s">
        <v>474</v>
      </c>
      <c r="BR8" s="100" t="s">
        <v>95</v>
      </c>
      <c r="BS8" s="100">
        <v>23</v>
      </c>
      <c r="BT8" s="100">
        <v>1.6</v>
      </c>
      <c r="BU8" s="100">
        <v>1.55</v>
      </c>
      <c r="BV8" s="100">
        <v>0.14000000000000001</v>
      </c>
      <c r="BW8" s="100">
        <v>0.23</v>
      </c>
      <c r="BX8" s="100" t="s">
        <v>95</v>
      </c>
      <c r="BY8" s="100" t="s">
        <v>475</v>
      </c>
      <c r="BZ8" s="100" t="s">
        <v>95</v>
      </c>
      <c r="CA8" s="100" t="s">
        <v>95</v>
      </c>
      <c r="CB8" s="100" t="s">
        <v>95</v>
      </c>
      <c r="CC8" s="100" t="s">
        <v>95</v>
      </c>
      <c r="CD8" s="100" t="s">
        <v>95</v>
      </c>
      <c r="CE8" s="100">
        <v>3.9E-2</v>
      </c>
    </row>
    <row r="9" spans="1:83" x14ac:dyDescent="0.25">
      <c r="A9" s="100" t="s">
        <v>476</v>
      </c>
      <c r="B9" s="100">
        <v>146</v>
      </c>
      <c r="C9" s="100" t="s">
        <v>95</v>
      </c>
      <c r="D9" s="100" t="s">
        <v>102</v>
      </c>
      <c r="E9" s="100" t="s">
        <v>477</v>
      </c>
      <c r="F9" s="100" t="s">
        <v>478</v>
      </c>
      <c r="G9" s="100" t="s">
        <v>479</v>
      </c>
      <c r="H9" s="100" t="s">
        <v>94</v>
      </c>
      <c r="I9" s="100">
        <v>1</v>
      </c>
      <c r="J9" s="100">
        <v>0</v>
      </c>
      <c r="K9" s="100">
        <v>1</v>
      </c>
      <c r="L9" s="100">
        <v>12</v>
      </c>
      <c r="M9" s="100">
        <v>10</v>
      </c>
      <c r="N9" s="100">
        <v>2.9</v>
      </c>
      <c r="O9" s="100">
        <v>27</v>
      </c>
      <c r="P9" s="100">
        <v>150</v>
      </c>
      <c r="Q9" s="100">
        <v>0.5</v>
      </c>
      <c r="R9" s="100">
        <v>90</v>
      </c>
      <c r="S9" s="100" t="s">
        <v>95</v>
      </c>
      <c r="T9" s="100">
        <v>0.7</v>
      </c>
      <c r="U9" s="100">
        <v>1.25</v>
      </c>
      <c r="V9" s="100" t="s">
        <v>95</v>
      </c>
      <c r="W9" s="100">
        <v>1</v>
      </c>
      <c r="X9" s="100" t="s">
        <v>95</v>
      </c>
      <c r="Y9" s="100" t="s">
        <v>95</v>
      </c>
      <c r="Z9" s="100" t="s">
        <v>95</v>
      </c>
      <c r="AA9" s="100">
        <v>5.4</v>
      </c>
      <c r="AB9" s="100">
        <v>240</v>
      </c>
      <c r="AC9" s="100" t="s">
        <v>95</v>
      </c>
      <c r="AD9" s="100">
        <v>6.5000000000000002E-2</v>
      </c>
      <c r="AE9" s="100" t="s">
        <v>95</v>
      </c>
      <c r="AF9" s="100">
        <v>4.3999999999999997E-2</v>
      </c>
      <c r="AG9" s="100" t="s">
        <v>95</v>
      </c>
      <c r="AH9" s="100" t="s">
        <v>95</v>
      </c>
      <c r="AI9" s="100" t="s">
        <v>95</v>
      </c>
      <c r="AJ9" s="100">
        <v>0.35</v>
      </c>
      <c r="AK9" s="100">
        <v>2</v>
      </c>
      <c r="AL9" s="100" t="s">
        <v>95</v>
      </c>
      <c r="AM9" s="100" t="s">
        <v>95</v>
      </c>
      <c r="AN9" s="100"/>
      <c r="AO9" s="100" t="s">
        <v>95</v>
      </c>
      <c r="AP9" s="100" t="s">
        <v>95</v>
      </c>
      <c r="AQ9" s="100">
        <v>291</v>
      </c>
      <c r="AR9" s="100" t="s">
        <v>95</v>
      </c>
      <c r="AS9" s="100" t="s">
        <v>95</v>
      </c>
      <c r="AT9" s="100">
        <v>88</v>
      </c>
      <c r="AU9" s="100" t="s">
        <v>95</v>
      </c>
      <c r="AV9" s="100" t="s">
        <v>95</v>
      </c>
      <c r="AW9" s="100">
        <v>61</v>
      </c>
      <c r="AX9" s="100" t="s">
        <v>95</v>
      </c>
      <c r="AY9" s="100" t="s">
        <v>95</v>
      </c>
      <c r="AZ9" s="100" t="s">
        <v>95</v>
      </c>
      <c r="BA9" s="100" t="s">
        <v>95</v>
      </c>
      <c r="BB9" s="100" t="s">
        <v>95</v>
      </c>
      <c r="BC9" s="100" t="s">
        <v>95</v>
      </c>
      <c r="BD9" s="100" t="s">
        <v>95</v>
      </c>
      <c r="BE9" s="100" t="s">
        <v>95</v>
      </c>
      <c r="BF9" s="100" t="s">
        <v>95</v>
      </c>
      <c r="BG9" s="100" t="s">
        <v>95</v>
      </c>
      <c r="BH9" s="100" t="s">
        <v>95</v>
      </c>
      <c r="BI9" s="100" t="s">
        <v>95</v>
      </c>
      <c r="BJ9" s="100" t="s">
        <v>95</v>
      </c>
      <c r="BK9" s="100" t="s">
        <v>95</v>
      </c>
      <c r="BL9" s="100" t="s">
        <v>95</v>
      </c>
      <c r="BM9" s="100" t="s">
        <v>95</v>
      </c>
      <c r="BN9" s="100" t="s">
        <v>95</v>
      </c>
      <c r="BO9" s="100" t="s">
        <v>95</v>
      </c>
      <c r="BP9" s="100" t="s">
        <v>93</v>
      </c>
      <c r="BQ9" s="100" t="s">
        <v>480</v>
      </c>
      <c r="BR9" s="100" t="s">
        <v>95</v>
      </c>
      <c r="BS9" s="100" t="s">
        <v>95</v>
      </c>
      <c r="BT9" s="100" t="s">
        <v>95</v>
      </c>
      <c r="BU9" s="100" t="s">
        <v>95</v>
      </c>
      <c r="BV9" s="100">
        <v>0.6</v>
      </c>
      <c r="BW9" s="100">
        <v>0.4</v>
      </c>
      <c r="BX9" s="100" t="s">
        <v>95</v>
      </c>
      <c r="BY9" s="100" t="s">
        <v>475</v>
      </c>
      <c r="BZ9" s="100" t="s">
        <v>94</v>
      </c>
      <c r="CA9" s="100" t="s">
        <v>95</v>
      </c>
      <c r="CB9" s="100">
        <v>42432</v>
      </c>
      <c r="CC9" s="100" t="s">
        <v>95</v>
      </c>
      <c r="CD9" s="100">
        <v>2160</v>
      </c>
      <c r="CE9" s="100">
        <v>5.8999999999999997E-2</v>
      </c>
    </row>
    <row r="10" spans="1:83" x14ac:dyDescent="0.25">
      <c r="A10" s="101" t="s">
        <v>501</v>
      </c>
      <c r="B10" s="101">
        <v>146</v>
      </c>
      <c r="C10" s="101" t="s">
        <v>95</v>
      </c>
      <c r="D10" s="101" t="s">
        <v>102</v>
      </c>
      <c r="E10" s="101" t="s">
        <v>95</v>
      </c>
      <c r="F10" s="101" t="s">
        <v>495</v>
      </c>
      <c r="G10" s="101" t="s">
        <v>400</v>
      </c>
      <c r="H10" s="101" t="s">
        <v>94</v>
      </c>
      <c r="I10" s="101">
        <v>1</v>
      </c>
      <c r="J10" s="101">
        <v>0</v>
      </c>
      <c r="K10" s="101">
        <v>1</v>
      </c>
      <c r="L10" s="101">
        <v>12</v>
      </c>
      <c r="M10" s="101">
        <v>8</v>
      </c>
      <c r="N10" s="101">
        <v>4.3</v>
      </c>
      <c r="O10" s="101">
        <v>41</v>
      </c>
      <c r="P10" s="101">
        <v>150</v>
      </c>
      <c r="Q10" s="101">
        <v>0.5</v>
      </c>
      <c r="R10" s="101">
        <v>90</v>
      </c>
      <c r="S10" s="101" t="s">
        <v>95</v>
      </c>
      <c r="T10" s="101">
        <v>0.5</v>
      </c>
      <c r="U10" s="101">
        <v>1.2</v>
      </c>
      <c r="V10" s="101" t="s">
        <v>95</v>
      </c>
      <c r="W10" s="101">
        <v>1</v>
      </c>
      <c r="X10" s="101" t="s">
        <v>95</v>
      </c>
      <c r="Y10" s="101" t="s">
        <v>95</v>
      </c>
      <c r="Z10" s="101" t="s">
        <v>95</v>
      </c>
      <c r="AA10" s="101">
        <v>11.3</v>
      </c>
      <c r="AB10" s="101">
        <v>20</v>
      </c>
      <c r="AC10" s="101">
        <v>0.05</v>
      </c>
      <c r="AD10" s="101">
        <v>2.3E-2</v>
      </c>
      <c r="AE10" s="101" t="s">
        <v>95</v>
      </c>
      <c r="AF10" s="101">
        <v>1.9E-2</v>
      </c>
      <c r="AG10" s="101" t="s">
        <v>95</v>
      </c>
      <c r="AH10" s="101" t="s">
        <v>95</v>
      </c>
      <c r="AI10" s="101" t="s">
        <v>95</v>
      </c>
      <c r="AJ10" s="101">
        <v>0.44</v>
      </c>
      <c r="AK10" s="101">
        <v>3.9</v>
      </c>
      <c r="AL10" s="101" t="s">
        <v>95</v>
      </c>
      <c r="AM10" s="101">
        <v>0.46</v>
      </c>
      <c r="AN10" s="101" t="s">
        <v>95</v>
      </c>
      <c r="AO10" s="101" t="s">
        <v>95</v>
      </c>
      <c r="AP10" s="101" t="s">
        <v>95</v>
      </c>
      <c r="AQ10" s="101" t="s">
        <v>95</v>
      </c>
      <c r="AR10" s="101" t="s">
        <v>95</v>
      </c>
      <c r="AS10" s="101" t="s">
        <v>95</v>
      </c>
      <c r="AT10" s="101" t="s">
        <v>95</v>
      </c>
      <c r="AU10" s="101" t="s">
        <v>95</v>
      </c>
      <c r="AV10" s="101" t="s">
        <v>95</v>
      </c>
      <c r="AW10" s="101" t="s">
        <v>95</v>
      </c>
      <c r="AX10" s="101" t="s">
        <v>95</v>
      </c>
      <c r="AY10" s="101" t="s">
        <v>95</v>
      </c>
      <c r="AZ10" s="101" t="s">
        <v>95</v>
      </c>
      <c r="BA10" s="101" t="s">
        <v>95</v>
      </c>
      <c r="BB10" s="101" t="s">
        <v>95</v>
      </c>
      <c r="BC10" s="101" t="s">
        <v>95</v>
      </c>
      <c r="BD10" s="101" t="s">
        <v>95</v>
      </c>
      <c r="BE10" s="101" t="s">
        <v>95</v>
      </c>
      <c r="BF10" s="101" t="s">
        <v>95</v>
      </c>
      <c r="BG10" s="101" t="s">
        <v>95</v>
      </c>
      <c r="BH10" s="101" t="s">
        <v>95</v>
      </c>
      <c r="BI10" s="101" t="s">
        <v>95</v>
      </c>
      <c r="BJ10" s="101" t="s">
        <v>95</v>
      </c>
      <c r="BK10" s="101" t="s">
        <v>95</v>
      </c>
      <c r="BL10" s="101" t="s">
        <v>95</v>
      </c>
      <c r="BM10" s="101" t="s">
        <v>95</v>
      </c>
      <c r="BN10" s="101" t="s">
        <v>95</v>
      </c>
      <c r="BO10" s="101" t="s">
        <v>95</v>
      </c>
      <c r="BP10" s="101" t="s">
        <v>93</v>
      </c>
      <c r="BQ10" s="101" t="s">
        <v>522</v>
      </c>
      <c r="BR10" s="101" t="s">
        <v>95</v>
      </c>
      <c r="BS10" s="101" t="s">
        <v>95</v>
      </c>
      <c r="BT10" s="101" t="s">
        <v>95</v>
      </c>
      <c r="BU10" s="101" t="s">
        <v>95</v>
      </c>
      <c r="BV10" s="101">
        <v>0.39</v>
      </c>
      <c r="BW10" s="101">
        <v>0.74</v>
      </c>
      <c r="BX10" s="101" t="s">
        <v>95</v>
      </c>
      <c r="BY10" s="101" t="s">
        <v>499</v>
      </c>
      <c r="BZ10" s="101" t="s">
        <v>94</v>
      </c>
      <c r="CA10" s="101" t="s">
        <v>95</v>
      </c>
      <c r="CB10" s="101" t="s">
        <v>95</v>
      </c>
      <c r="CC10" s="101" t="s">
        <v>95</v>
      </c>
      <c r="CD10" s="101" t="s">
        <v>95</v>
      </c>
      <c r="CE10" s="101">
        <v>0.08</v>
      </c>
    </row>
    <row r="11" spans="1:83" x14ac:dyDescent="0.25">
      <c r="A11" s="100" t="s">
        <v>481</v>
      </c>
      <c r="B11" s="100">
        <v>146</v>
      </c>
      <c r="C11" s="100" t="s">
        <v>93</v>
      </c>
      <c r="D11" s="100" t="s">
        <v>102</v>
      </c>
      <c r="E11" s="100" t="s">
        <v>482</v>
      </c>
      <c r="F11" s="100" t="s">
        <v>483</v>
      </c>
      <c r="G11" s="100" t="s">
        <v>484</v>
      </c>
      <c r="H11" s="100" t="s">
        <v>94</v>
      </c>
      <c r="I11" s="100">
        <v>1</v>
      </c>
      <c r="J11" s="100">
        <v>0</v>
      </c>
      <c r="K11" s="100">
        <v>1</v>
      </c>
      <c r="L11" s="100">
        <v>20</v>
      </c>
      <c r="M11" s="100">
        <v>10</v>
      </c>
      <c r="N11" s="100">
        <v>0.5</v>
      </c>
      <c r="O11" s="100">
        <v>1.6</v>
      </c>
      <c r="P11" s="100">
        <v>150</v>
      </c>
      <c r="Q11" s="100">
        <v>0.5</v>
      </c>
      <c r="R11" s="100">
        <v>110</v>
      </c>
      <c r="S11" s="100" t="s">
        <v>95</v>
      </c>
      <c r="T11" s="100">
        <v>0.85</v>
      </c>
      <c r="U11" s="100">
        <v>1.35</v>
      </c>
      <c r="V11" s="100" t="s">
        <v>95</v>
      </c>
      <c r="W11" s="100">
        <v>1</v>
      </c>
      <c r="X11" s="100" t="s">
        <v>95</v>
      </c>
      <c r="Y11" s="100" t="s">
        <v>95</v>
      </c>
      <c r="Z11" s="100" t="s">
        <v>95</v>
      </c>
      <c r="AA11" s="100">
        <v>0.64</v>
      </c>
      <c r="AB11" s="100">
        <v>9.6</v>
      </c>
      <c r="AC11" s="100" t="s">
        <v>95</v>
      </c>
      <c r="AD11" s="100">
        <v>4</v>
      </c>
      <c r="AE11" s="100" t="s">
        <v>95</v>
      </c>
      <c r="AF11" s="100">
        <v>1.46</v>
      </c>
      <c r="AG11" s="100" t="s">
        <v>95</v>
      </c>
      <c r="AH11" s="100">
        <v>1.19</v>
      </c>
      <c r="AI11" s="100" t="s">
        <v>95</v>
      </c>
      <c r="AJ11" s="100">
        <v>0.44</v>
      </c>
      <c r="AK11" s="100">
        <v>0.216</v>
      </c>
      <c r="AL11" s="100">
        <v>0.125</v>
      </c>
      <c r="AM11" s="100" t="s">
        <v>95</v>
      </c>
      <c r="AN11" s="100"/>
      <c r="AO11" s="100">
        <v>8.5000000000000006E-3</v>
      </c>
      <c r="AP11" s="100">
        <v>8.0999999999999996E-3</v>
      </c>
      <c r="AQ11" s="100">
        <v>8.8000000000000005E-3</v>
      </c>
      <c r="AR11" s="100">
        <v>7.4000000000000003E-3</v>
      </c>
      <c r="AS11" s="100">
        <v>5.8999999999999999E-3</v>
      </c>
      <c r="AT11" s="100">
        <v>8.9999999999999993E-3</v>
      </c>
      <c r="AU11" s="100">
        <v>4.0000000000000002E-4</v>
      </c>
      <c r="AV11" s="100">
        <v>1E-4</v>
      </c>
      <c r="AW11" s="100">
        <v>7.0000000000000001E-3</v>
      </c>
      <c r="AX11" s="100">
        <v>10</v>
      </c>
      <c r="AY11" s="100">
        <v>10</v>
      </c>
      <c r="AZ11" s="100">
        <v>0.17</v>
      </c>
      <c r="BA11" s="100">
        <v>0.1</v>
      </c>
      <c r="BB11" s="100">
        <v>1.7</v>
      </c>
      <c r="BC11" s="100">
        <v>0.95</v>
      </c>
      <c r="BD11" s="100">
        <v>3.1</v>
      </c>
      <c r="BE11" s="100">
        <v>0.95</v>
      </c>
      <c r="BF11" s="100">
        <v>20</v>
      </c>
      <c r="BG11" s="100">
        <v>0.16</v>
      </c>
      <c r="BH11" s="100">
        <v>20</v>
      </c>
      <c r="BI11" s="100">
        <v>0.1</v>
      </c>
      <c r="BJ11" s="100">
        <v>20</v>
      </c>
      <c r="BK11" s="100" t="s">
        <v>94</v>
      </c>
      <c r="BL11" s="100">
        <v>0.85</v>
      </c>
      <c r="BM11" s="100" t="s">
        <v>95</v>
      </c>
      <c r="BN11" s="100" t="s">
        <v>95</v>
      </c>
      <c r="BO11" s="100" t="s">
        <v>95</v>
      </c>
      <c r="BP11" s="100" t="s">
        <v>93</v>
      </c>
      <c r="BQ11" s="100" t="s">
        <v>485</v>
      </c>
      <c r="BR11" s="100" t="s">
        <v>95</v>
      </c>
      <c r="BS11" s="100">
        <v>9.6</v>
      </c>
      <c r="BT11" s="100">
        <v>2.2000000000000002</v>
      </c>
      <c r="BU11" s="100" t="s">
        <v>95</v>
      </c>
      <c r="BV11" s="100">
        <v>2.7E-2</v>
      </c>
      <c r="BW11" s="100">
        <v>7.6999999999999999E-2</v>
      </c>
      <c r="BX11" s="100" t="s">
        <v>95</v>
      </c>
      <c r="BY11" s="100" t="s">
        <v>486</v>
      </c>
      <c r="BZ11" s="100" t="s">
        <v>94</v>
      </c>
      <c r="CA11" s="100" t="s">
        <v>95</v>
      </c>
      <c r="CB11" s="100">
        <v>42578</v>
      </c>
      <c r="CC11" s="100" t="s">
        <v>95</v>
      </c>
      <c r="CD11" s="100">
        <v>2605</v>
      </c>
      <c r="CE11" s="100">
        <v>0.04</v>
      </c>
    </row>
    <row r="12" spans="1:83" x14ac:dyDescent="0.25">
      <c r="A12" s="99" t="s">
        <v>104</v>
      </c>
      <c r="B12" s="99">
        <v>146</v>
      </c>
      <c r="C12" s="99" t="s">
        <v>93</v>
      </c>
      <c r="D12" s="99" t="s">
        <v>94</v>
      </c>
      <c r="E12" s="99" t="s">
        <v>105</v>
      </c>
      <c r="F12" s="99" t="s">
        <v>98</v>
      </c>
      <c r="G12" s="99" t="s">
        <v>103</v>
      </c>
      <c r="H12" s="99" t="s">
        <v>94</v>
      </c>
      <c r="I12" s="99">
        <v>1</v>
      </c>
      <c r="J12" s="99">
        <v>0</v>
      </c>
      <c r="K12" s="99" t="s">
        <v>95</v>
      </c>
      <c r="L12" s="99">
        <v>20</v>
      </c>
      <c r="M12" s="99">
        <v>20</v>
      </c>
      <c r="N12" s="99">
        <v>22</v>
      </c>
      <c r="O12" s="99">
        <v>52</v>
      </c>
      <c r="P12" s="99">
        <v>150</v>
      </c>
      <c r="Q12" s="99">
        <v>2.5</v>
      </c>
      <c r="R12" s="99">
        <v>65</v>
      </c>
      <c r="S12" s="99">
        <v>4.5</v>
      </c>
      <c r="T12" s="99">
        <v>1.1000000000000001</v>
      </c>
      <c r="U12" s="99">
        <v>1.9</v>
      </c>
      <c r="V12" s="99">
        <v>2.5</v>
      </c>
      <c r="W12" s="99">
        <v>1</v>
      </c>
      <c r="X12" s="99">
        <v>19</v>
      </c>
      <c r="Y12" s="99">
        <v>5</v>
      </c>
      <c r="Z12" s="99">
        <v>300</v>
      </c>
      <c r="AA12" s="99">
        <v>25</v>
      </c>
      <c r="AB12" s="99">
        <v>3.8</v>
      </c>
      <c r="AC12" s="99" t="s">
        <v>95</v>
      </c>
      <c r="AD12" s="99" t="s">
        <v>95</v>
      </c>
      <c r="AE12" s="99" t="s">
        <v>95</v>
      </c>
      <c r="AF12" s="99">
        <v>1.9199999999999998E-2</v>
      </c>
      <c r="AG12" s="99" t="s">
        <v>95</v>
      </c>
      <c r="AH12" s="99" t="s">
        <v>95</v>
      </c>
      <c r="AI12" s="99">
        <v>1.4999999999999999E-2</v>
      </c>
      <c r="AJ12" s="99">
        <v>0.63</v>
      </c>
      <c r="AK12" s="99">
        <v>2.5</v>
      </c>
      <c r="AL12" s="99">
        <v>1.3</v>
      </c>
      <c r="AM12" s="99">
        <v>0.52</v>
      </c>
      <c r="AN12" s="99">
        <v>5.0999999999999996</v>
      </c>
      <c r="AO12" s="99">
        <v>0.36099999999999999</v>
      </c>
      <c r="AP12" s="99">
        <v>0.32</v>
      </c>
      <c r="AQ12" s="99">
        <v>0.39200000000000002</v>
      </c>
      <c r="AR12" s="99">
        <v>0.42299999999999999</v>
      </c>
      <c r="AS12" s="99">
        <v>0.184</v>
      </c>
      <c r="AT12" s="99">
        <v>0.51900000000000002</v>
      </c>
      <c r="AU12" s="99">
        <v>7.3499999999999996E-2</v>
      </c>
      <c r="AV12" s="99">
        <v>3.2000000000000001E-2</v>
      </c>
      <c r="AW12" s="99">
        <v>9.6600000000000005E-2</v>
      </c>
      <c r="AX12" s="99">
        <v>10</v>
      </c>
      <c r="AY12" s="99">
        <v>10</v>
      </c>
      <c r="AZ12" s="99">
        <v>0.01</v>
      </c>
      <c r="BA12" s="99">
        <v>0.5</v>
      </c>
      <c r="BB12" s="99">
        <v>0.6</v>
      </c>
      <c r="BC12" s="99">
        <v>30</v>
      </c>
      <c r="BD12" s="99">
        <v>20</v>
      </c>
      <c r="BE12" s="99">
        <v>0.9</v>
      </c>
      <c r="BF12" s="99">
        <v>20</v>
      </c>
      <c r="BG12" s="99">
        <v>0.01</v>
      </c>
      <c r="BH12" s="99">
        <v>20</v>
      </c>
      <c r="BI12" s="99">
        <v>0.01</v>
      </c>
      <c r="BJ12" s="99">
        <v>2.0299999999999998</v>
      </c>
      <c r="BK12" s="99" t="s">
        <v>94</v>
      </c>
      <c r="BL12" s="99">
        <v>0.82</v>
      </c>
      <c r="BM12" s="99" t="s">
        <v>95</v>
      </c>
      <c r="BN12" s="99" t="s">
        <v>95</v>
      </c>
      <c r="BO12" s="99" t="s">
        <v>95</v>
      </c>
      <c r="BP12" s="99" t="s">
        <v>93</v>
      </c>
      <c r="BQ12" s="99" t="s">
        <v>106</v>
      </c>
      <c r="BR12" s="99" t="s">
        <v>95</v>
      </c>
      <c r="BS12" s="99">
        <v>7.6</v>
      </c>
      <c r="BT12" s="99">
        <v>3</v>
      </c>
      <c r="BU12" s="99">
        <v>10.7</v>
      </c>
      <c r="BV12" s="99">
        <v>0.66</v>
      </c>
      <c r="BW12" s="99">
        <v>0.93</v>
      </c>
      <c r="BX12" s="99" t="s">
        <v>95</v>
      </c>
      <c r="BY12" s="99" t="s">
        <v>101</v>
      </c>
      <c r="BZ12" s="99" t="s">
        <v>95</v>
      </c>
      <c r="CA12" s="99" t="s">
        <v>95</v>
      </c>
      <c r="CB12" s="99">
        <v>42577</v>
      </c>
      <c r="CC12" s="99" t="s">
        <v>95</v>
      </c>
      <c r="CD12" s="99">
        <v>2590</v>
      </c>
      <c r="CE12" s="99">
        <v>0.104</v>
      </c>
    </row>
    <row r="13" spans="1:83" x14ac:dyDescent="0.25">
      <c r="A13" s="99" t="s">
        <v>107</v>
      </c>
      <c r="B13" s="99">
        <v>146</v>
      </c>
      <c r="C13" s="99" t="s">
        <v>93</v>
      </c>
      <c r="D13" s="99" t="s">
        <v>93</v>
      </c>
      <c r="E13" s="99" t="s">
        <v>97</v>
      </c>
      <c r="F13" s="99" t="s">
        <v>98</v>
      </c>
      <c r="G13" s="99" t="s">
        <v>108</v>
      </c>
      <c r="H13" s="99" t="s">
        <v>94</v>
      </c>
      <c r="I13" s="99">
        <v>1</v>
      </c>
      <c r="J13" s="99">
        <v>0</v>
      </c>
      <c r="K13" s="99">
        <v>1</v>
      </c>
      <c r="L13" s="99">
        <v>25</v>
      </c>
      <c r="M13" s="99">
        <v>10</v>
      </c>
      <c r="N13" s="99">
        <v>5</v>
      </c>
      <c r="O13" s="99">
        <v>85</v>
      </c>
      <c r="P13" s="99">
        <v>150</v>
      </c>
      <c r="Q13" s="99">
        <v>2.5</v>
      </c>
      <c r="R13" s="99">
        <v>65</v>
      </c>
      <c r="S13" s="99">
        <v>8.4</v>
      </c>
      <c r="T13" s="99">
        <v>0.9</v>
      </c>
      <c r="U13" s="99">
        <v>1.55</v>
      </c>
      <c r="V13" s="99">
        <v>1.94</v>
      </c>
      <c r="W13" s="99">
        <v>1</v>
      </c>
      <c r="X13" s="99">
        <v>11</v>
      </c>
      <c r="Y13" s="99">
        <v>4</v>
      </c>
      <c r="Z13" s="99">
        <v>200</v>
      </c>
      <c r="AA13" s="99">
        <v>16.5</v>
      </c>
      <c r="AB13" s="99">
        <v>1.3</v>
      </c>
      <c r="AC13" s="99" t="s">
        <v>95</v>
      </c>
      <c r="AD13" s="99" t="s">
        <v>95</v>
      </c>
      <c r="AE13" s="99">
        <v>3.4000000000000002E-2</v>
      </c>
      <c r="AF13" s="99">
        <v>2.9000000000000001E-2</v>
      </c>
      <c r="AG13" s="99" t="s">
        <v>95</v>
      </c>
      <c r="AH13" s="99">
        <v>2.4E-2</v>
      </c>
      <c r="AI13" s="99" t="s">
        <v>95</v>
      </c>
      <c r="AJ13" s="99">
        <v>0.56999999999999995</v>
      </c>
      <c r="AK13" s="99">
        <v>2</v>
      </c>
      <c r="AL13" s="99">
        <v>1.25</v>
      </c>
      <c r="AM13" s="99">
        <v>0.3</v>
      </c>
      <c r="AN13" s="99">
        <v>4</v>
      </c>
      <c r="AO13" s="99">
        <v>0.28499999999999998</v>
      </c>
      <c r="AP13" s="99">
        <v>0.26</v>
      </c>
      <c r="AQ13" s="99">
        <v>0.31</v>
      </c>
      <c r="AR13" s="99">
        <v>0.40600000000000003</v>
      </c>
      <c r="AS13" s="99">
        <v>0.16500000000000001</v>
      </c>
      <c r="AT13" s="99">
        <v>0.56000000000000005</v>
      </c>
      <c r="AU13" s="99">
        <v>4.0599999999999997E-2</v>
      </c>
      <c r="AV13" s="99">
        <v>1.2999999999999999E-2</v>
      </c>
      <c r="AW13" s="99">
        <v>0.05</v>
      </c>
      <c r="AX13" s="99">
        <v>12.5</v>
      </c>
      <c r="AY13" s="99">
        <v>10</v>
      </c>
      <c r="AZ13" s="99">
        <v>0.1</v>
      </c>
      <c r="BA13" s="99">
        <v>22.5</v>
      </c>
      <c r="BB13" s="99">
        <v>1.69</v>
      </c>
      <c r="BC13" s="99">
        <v>278</v>
      </c>
      <c r="BD13" s="99">
        <v>2.41</v>
      </c>
      <c r="BE13" s="99">
        <v>194</v>
      </c>
      <c r="BF13" s="99">
        <v>60</v>
      </c>
      <c r="BG13" s="99">
        <v>1.53</v>
      </c>
      <c r="BH13" s="99">
        <v>60</v>
      </c>
      <c r="BI13" s="99">
        <v>0.1</v>
      </c>
      <c r="BJ13" s="99">
        <v>2.66</v>
      </c>
      <c r="BK13" s="99" t="s">
        <v>94</v>
      </c>
      <c r="BL13" s="99">
        <v>0.8</v>
      </c>
      <c r="BM13" s="99" t="s">
        <v>95</v>
      </c>
      <c r="BN13" s="99">
        <v>1156</v>
      </c>
      <c r="BO13" s="99">
        <v>0.26</v>
      </c>
      <c r="BP13" s="99" t="s">
        <v>93</v>
      </c>
      <c r="BQ13" s="99" t="s">
        <v>109</v>
      </c>
      <c r="BR13" s="99" t="s">
        <v>95</v>
      </c>
      <c r="BS13" s="99">
        <v>2.6</v>
      </c>
      <c r="BT13" s="99">
        <v>2</v>
      </c>
      <c r="BU13" s="99">
        <v>5.0999999999999996</v>
      </c>
      <c r="BV13" s="99">
        <v>0.4</v>
      </c>
      <c r="BW13" s="99">
        <v>0.6</v>
      </c>
      <c r="BX13" s="99" t="s">
        <v>95</v>
      </c>
      <c r="BY13" s="99" t="s">
        <v>101</v>
      </c>
      <c r="BZ13" s="99" t="s">
        <v>95</v>
      </c>
      <c r="CA13" s="99" t="s">
        <v>95</v>
      </c>
      <c r="CB13" s="99">
        <v>40760</v>
      </c>
      <c r="CC13" s="99">
        <v>42577</v>
      </c>
      <c r="CD13" s="99">
        <v>2474</v>
      </c>
      <c r="CE13" s="99">
        <v>0.126</v>
      </c>
    </row>
    <row r="14" spans="1:83" x14ac:dyDescent="0.25">
      <c r="A14" s="99" t="s">
        <v>110</v>
      </c>
      <c r="B14" s="99">
        <v>146</v>
      </c>
      <c r="C14" s="99" t="s">
        <v>93</v>
      </c>
      <c r="D14" s="99" t="s">
        <v>93</v>
      </c>
      <c r="E14" s="99" t="s">
        <v>111</v>
      </c>
      <c r="F14" s="99" t="s">
        <v>112</v>
      </c>
      <c r="G14" s="99" t="s">
        <v>113</v>
      </c>
      <c r="H14" s="99" t="s">
        <v>94</v>
      </c>
      <c r="I14" s="99">
        <v>1</v>
      </c>
      <c r="J14" s="99">
        <v>0</v>
      </c>
      <c r="K14" s="99">
        <v>1</v>
      </c>
      <c r="L14" s="99">
        <v>25</v>
      </c>
      <c r="M14" s="99">
        <v>10</v>
      </c>
      <c r="N14" s="99">
        <v>100</v>
      </c>
      <c r="O14" s="99">
        <v>200</v>
      </c>
      <c r="P14" s="99">
        <v>150</v>
      </c>
      <c r="Q14" s="99">
        <v>3.125</v>
      </c>
      <c r="R14" s="99">
        <v>50</v>
      </c>
      <c r="S14" s="99">
        <v>0.9</v>
      </c>
      <c r="T14" s="99">
        <v>0.9</v>
      </c>
      <c r="U14" s="99">
        <v>1.4</v>
      </c>
      <c r="V14" s="99">
        <v>2.1</v>
      </c>
      <c r="W14" s="99">
        <v>1</v>
      </c>
      <c r="X14" s="99">
        <v>32</v>
      </c>
      <c r="Y14" s="99">
        <v>25</v>
      </c>
      <c r="Z14" s="99">
        <v>300</v>
      </c>
      <c r="AA14" s="99">
        <v>150</v>
      </c>
      <c r="AB14" s="99">
        <v>1.5</v>
      </c>
      <c r="AC14" s="99" t="s">
        <v>95</v>
      </c>
      <c r="AD14" s="99" t="s">
        <v>95</v>
      </c>
      <c r="AE14" s="99">
        <v>3.8E-3</v>
      </c>
      <c r="AF14" s="99">
        <v>2.5999999999999999E-3</v>
      </c>
      <c r="AG14" s="99" t="s">
        <v>95</v>
      </c>
      <c r="AH14" s="99">
        <v>2.3999999999999998E-3</v>
      </c>
      <c r="AI14" s="99" t="s">
        <v>95</v>
      </c>
      <c r="AJ14" s="99">
        <v>0.53</v>
      </c>
      <c r="AK14" s="99">
        <v>14</v>
      </c>
      <c r="AL14" s="99">
        <v>6</v>
      </c>
      <c r="AM14" s="99">
        <v>2.1</v>
      </c>
      <c r="AN14" s="99">
        <v>25.15</v>
      </c>
      <c r="AO14" s="99">
        <v>2.4500000000000002</v>
      </c>
      <c r="AP14" s="99">
        <v>2.36</v>
      </c>
      <c r="AQ14" s="99">
        <v>2.56</v>
      </c>
      <c r="AR14" s="99">
        <v>4.12</v>
      </c>
      <c r="AS14" s="99">
        <v>1.7</v>
      </c>
      <c r="AT14" s="99">
        <v>5.62</v>
      </c>
      <c r="AU14" s="99">
        <v>0.252</v>
      </c>
      <c r="AV14" s="99">
        <v>0.115</v>
      </c>
      <c r="AW14" s="99">
        <v>0.39100000000000001</v>
      </c>
      <c r="AX14" s="99">
        <v>12.5</v>
      </c>
      <c r="AY14" s="99">
        <v>10</v>
      </c>
      <c r="AZ14" s="99">
        <v>0.01</v>
      </c>
      <c r="BA14" s="99">
        <v>3</v>
      </c>
      <c r="BB14" s="99">
        <v>0.4</v>
      </c>
      <c r="BC14" s="99">
        <v>175</v>
      </c>
      <c r="BD14" s="99">
        <v>1.4</v>
      </c>
      <c r="BE14" s="99">
        <v>175</v>
      </c>
      <c r="BF14" s="99">
        <v>25</v>
      </c>
      <c r="BG14" s="99">
        <v>8.5</v>
      </c>
      <c r="BH14" s="99">
        <v>25</v>
      </c>
      <c r="BI14" s="99">
        <v>0.01</v>
      </c>
      <c r="BJ14" s="99">
        <v>0.44</v>
      </c>
      <c r="BK14" s="99" t="s">
        <v>94</v>
      </c>
      <c r="BL14" s="99">
        <v>0.8</v>
      </c>
      <c r="BM14" s="99" t="s">
        <v>95</v>
      </c>
      <c r="BN14" s="99">
        <v>1155</v>
      </c>
      <c r="BO14" s="99">
        <v>3.1</v>
      </c>
      <c r="BP14" s="99" t="s">
        <v>93</v>
      </c>
      <c r="BQ14" s="99" t="s">
        <v>114</v>
      </c>
      <c r="BR14" s="99" t="s">
        <v>95</v>
      </c>
      <c r="BS14" s="99">
        <v>3</v>
      </c>
      <c r="BT14" s="99">
        <v>2.1</v>
      </c>
      <c r="BU14" s="99">
        <v>33</v>
      </c>
      <c r="BV14" s="99">
        <v>2.5</v>
      </c>
      <c r="BW14" s="99">
        <v>4</v>
      </c>
      <c r="BX14" s="99" t="s">
        <v>95</v>
      </c>
      <c r="BY14" s="99" t="s">
        <v>115</v>
      </c>
      <c r="BZ14" s="99" t="s">
        <v>95</v>
      </c>
      <c r="CA14" s="99" t="s">
        <v>95</v>
      </c>
      <c r="CB14" s="99">
        <v>40764</v>
      </c>
      <c r="CC14" s="99">
        <v>42577</v>
      </c>
      <c r="CD14" s="99">
        <v>2475</v>
      </c>
      <c r="CE14" s="99">
        <v>0.56299999999999994</v>
      </c>
    </row>
    <row r="15" spans="1:83" x14ac:dyDescent="0.25">
      <c r="A15" s="99" t="s">
        <v>116</v>
      </c>
      <c r="B15" s="99">
        <v>146</v>
      </c>
      <c r="C15" s="99" t="s">
        <v>93</v>
      </c>
      <c r="D15" s="99" t="s">
        <v>93</v>
      </c>
      <c r="E15" s="99" t="s">
        <v>111</v>
      </c>
      <c r="F15" s="99" t="s">
        <v>112</v>
      </c>
      <c r="G15" s="99" t="s">
        <v>117</v>
      </c>
      <c r="H15" s="99" t="s">
        <v>94</v>
      </c>
      <c r="I15" s="99">
        <v>1</v>
      </c>
      <c r="J15" s="99">
        <v>0</v>
      </c>
      <c r="K15" s="99">
        <v>1</v>
      </c>
      <c r="L15" s="99">
        <v>25</v>
      </c>
      <c r="M15" s="99">
        <v>10</v>
      </c>
      <c r="N15" s="99">
        <v>97</v>
      </c>
      <c r="O15" s="99">
        <v>136</v>
      </c>
      <c r="P15" s="99">
        <v>150</v>
      </c>
      <c r="Q15" s="99">
        <v>3.125</v>
      </c>
      <c r="R15" s="99">
        <v>50</v>
      </c>
      <c r="S15" s="99">
        <v>2.4</v>
      </c>
      <c r="T15" s="99">
        <v>0.9</v>
      </c>
      <c r="U15" s="99">
        <v>1.4</v>
      </c>
      <c r="V15" s="99">
        <v>2.3199999999999998</v>
      </c>
      <c r="W15" s="99">
        <v>1</v>
      </c>
      <c r="X15" s="99">
        <v>21</v>
      </c>
      <c r="Y15" s="99">
        <v>20</v>
      </c>
      <c r="Z15" s="99">
        <v>300</v>
      </c>
      <c r="AA15" s="99">
        <v>106</v>
      </c>
      <c r="AB15" s="99">
        <v>1.1000000000000001</v>
      </c>
      <c r="AC15" s="99" t="s">
        <v>95</v>
      </c>
      <c r="AD15" s="99" t="s">
        <v>95</v>
      </c>
      <c r="AE15" s="99">
        <v>7.1999999999999998E-3</v>
      </c>
      <c r="AF15" s="99">
        <v>5.7999999999999996E-3</v>
      </c>
      <c r="AG15" s="99" t="s">
        <v>95</v>
      </c>
      <c r="AH15" s="99">
        <v>5.0000000000000001E-3</v>
      </c>
      <c r="AI15" s="99" t="s">
        <v>95</v>
      </c>
      <c r="AJ15" s="99">
        <v>0.3</v>
      </c>
      <c r="AK15" s="99">
        <v>6.8</v>
      </c>
      <c r="AL15" s="99">
        <v>3.9</v>
      </c>
      <c r="AM15" s="99">
        <v>1.3</v>
      </c>
      <c r="AN15" s="99">
        <v>14.5</v>
      </c>
      <c r="AO15" s="99">
        <v>1.1100000000000001</v>
      </c>
      <c r="AP15" s="99">
        <v>1.05</v>
      </c>
      <c r="AQ15" s="99">
        <v>1.1599999999999999</v>
      </c>
      <c r="AR15" s="99">
        <v>1.8</v>
      </c>
      <c r="AS15" s="99">
        <v>0.74</v>
      </c>
      <c r="AT15" s="99">
        <v>2.46</v>
      </c>
      <c r="AU15" s="99">
        <v>0.114</v>
      </c>
      <c r="AV15" s="99">
        <v>5.5E-2</v>
      </c>
      <c r="AW15" s="99">
        <v>0.17</v>
      </c>
      <c r="AX15" s="99">
        <v>12.5</v>
      </c>
      <c r="AY15" s="99">
        <v>10</v>
      </c>
      <c r="AZ15" s="99">
        <v>0.01</v>
      </c>
      <c r="BA15" s="99">
        <v>2</v>
      </c>
      <c r="BB15" s="99">
        <v>0.6</v>
      </c>
      <c r="BC15" s="99">
        <v>110</v>
      </c>
      <c r="BD15" s="99">
        <v>0.8</v>
      </c>
      <c r="BE15" s="99">
        <v>110</v>
      </c>
      <c r="BF15" s="99">
        <v>25</v>
      </c>
      <c r="BG15" s="99">
        <v>3.7</v>
      </c>
      <c r="BH15" s="99">
        <v>25</v>
      </c>
      <c r="BI15" s="99">
        <v>0.01</v>
      </c>
      <c r="BJ15" s="99">
        <v>0.71</v>
      </c>
      <c r="BK15" s="99" t="s">
        <v>94</v>
      </c>
      <c r="BL15" s="99">
        <v>0.8</v>
      </c>
      <c r="BM15" s="99" t="s">
        <v>95</v>
      </c>
      <c r="BN15" s="99">
        <v>1155</v>
      </c>
      <c r="BO15" s="99">
        <v>1.365</v>
      </c>
      <c r="BP15" s="99" t="s">
        <v>93</v>
      </c>
      <c r="BQ15" s="99" t="s">
        <v>118</v>
      </c>
      <c r="BR15" s="99" t="s">
        <v>95</v>
      </c>
      <c r="BS15" s="99">
        <v>2.2000000000000002</v>
      </c>
      <c r="BT15" s="99">
        <v>2.2000000000000002</v>
      </c>
      <c r="BU15" s="99">
        <v>19</v>
      </c>
      <c r="BV15" s="99">
        <v>1.3</v>
      </c>
      <c r="BW15" s="99">
        <v>2.4</v>
      </c>
      <c r="BX15" s="99" t="s">
        <v>95</v>
      </c>
      <c r="BY15" s="99" t="s">
        <v>115</v>
      </c>
      <c r="BZ15" s="99" t="s">
        <v>95</v>
      </c>
      <c r="CA15" s="99" t="s">
        <v>95</v>
      </c>
      <c r="CB15" s="99">
        <v>40777</v>
      </c>
      <c r="CC15" s="99">
        <v>42577</v>
      </c>
      <c r="CD15" s="99">
        <v>2477</v>
      </c>
      <c r="CE15" s="99">
        <v>0.36899999999999999</v>
      </c>
    </row>
    <row r="16" spans="1:83" x14ac:dyDescent="0.25">
      <c r="A16" s="99" t="s">
        <v>119</v>
      </c>
      <c r="B16" s="99">
        <v>146</v>
      </c>
      <c r="C16" s="99" t="s">
        <v>93</v>
      </c>
      <c r="D16" s="99" t="s">
        <v>93</v>
      </c>
      <c r="E16" s="99" t="s">
        <v>111</v>
      </c>
      <c r="F16" s="99" t="s">
        <v>120</v>
      </c>
      <c r="G16" s="99" t="s">
        <v>121</v>
      </c>
      <c r="H16" s="99" t="s">
        <v>94</v>
      </c>
      <c r="I16" s="99">
        <v>1</v>
      </c>
      <c r="J16" s="99">
        <v>0</v>
      </c>
      <c r="K16" s="99">
        <v>1</v>
      </c>
      <c r="L16" s="99">
        <v>25</v>
      </c>
      <c r="M16" s="99">
        <v>10</v>
      </c>
      <c r="N16" s="99">
        <v>60</v>
      </c>
      <c r="O16" s="99">
        <v>240</v>
      </c>
      <c r="P16" s="99">
        <v>150</v>
      </c>
      <c r="Q16" s="99">
        <v>2.8</v>
      </c>
      <c r="R16" s="99">
        <v>55</v>
      </c>
      <c r="S16" s="99">
        <v>1.7</v>
      </c>
      <c r="T16" s="99">
        <v>0.9</v>
      </c>
      <c r="U16" s="99">
        <v>1.4</v>
      </c>
      <c r="V16" s="99">
        <v>2.06</v>
      </c>
      <c r="W16" s="99">
        <v>1</v>
      </c>
      <c r="X16" s="99">
        <v>16</v>
      </c>
      <c r="Y16" s="99">
        <v>24</v>
      </c>
      <c r="Z16" s="99">
        <v>300</v>
      </c>
      <c r="AA16" s="99">
        <v>108</v>
      </c>
      <c r="AB16" s="99">
        <v>1.4</v>
      </c>
      <c r="AC16" s="99" t="s">
        <v>95</v>
      </c>
      <c r="AD16" s="99" t="s">
        <v>95</v>
      </c>
      <c r="AE16" s="99">
        <v>7.1999999999999998E-3</v>
      </c>
      <c r="AF16" s="99">
        <v>5.4999999999999997E-3</v>
      </c>
      <c r="AG16" s="99" t="s">
        <v>95</v>
      </c>
      <c r="AH16" s="99">
        <v>4.4999999999999997E-3</v>
      </c>
      <c r="AI16" s="99" t="s">
        <v>95</v>
      </c>
      <c r="AJ16" s="99">
        <v>0.49</v>
      </c>
      <c r="AK16" s="99">
        <v>6.2</v>
      </c>
      <c r="AL16" s="99">
        <v>4</v>
      </c>
      <c r="AM16" s="99">
        <v>1</v>
      </c>
      <c r="AN16" s="99" t="s">
        <v>95</v>
      </c>
      <c r="AO16" s="99">
        <v>1.08</v>
      </c>
      <c r="AP16" s="99">
        <v>1.02</v>
      </c>
      <c r="AQ16" s="99">
        <v>1.1000000000000001</v>
      </c>
      <c r="AR16" s="99">
        <v>1.73</v>
      </c>
      <c r="AS16" s="99">
        <v>0.74</v>
      </c>
      <c r="AT16" s="99">
        <v>2.2000000000000002</v>
      </c>
      <c r="AU16" s="99">
        <v>0.1</v>
      </c>
      <c r="AV16" s="99">
        <v>0.05</v>
      </c>
      <c r="AW16" s="99">
        <v>0.15</v>
      </c>
      <c r="AX16" s="99">
        <v>12.5</v>
      </c>
      <c r="AY16" s="99">
        <v>10</v>
      </c>
      <c r="AZ16" s="99">
        <v>0.1</v>
      </c>
      <c r="BA16" s="99">
        <v>16</v>
      </c>
      <c r="BB16" s="99">
        <v>1.1000000000000001</v>
      </c>
      <c r="BC16" s="99">
        <v>160</v>
      </c>
      <c r="BD16" s="99">
        <v>9</v>
      </c>
      <c r="BE16" s="99">
        <v>18</v>
      </c>
      <c r="BF16" s="99">
        <v>25</v>
      </c>
      <c r="BG16" s="99">
        <v>2.6</v>
      </c>
      <c r="BH16" s="99">
        <v>25</v>
      </c>
      <c r="BI16" s="99">
        <v>0.1</v>
      </c>
      <c r="BJ16" s="99">
        <v>0.94699999999999995</v>
      </c>
      <c r="BK16" s="99" t="s">
        <v>94</v>
      </c>
      <c r="BL16" s="99">
        <v>0.85</v>
      </c>
      <c r="BM16" s="99" t="s">
        <v>95</v>
      </c>
      <c r="BN16" s="99">
        <v>1154</v>
      </c>
      <c r="BO16" s="99">
        <v>0.95</v>
      </c>
      <c r="BP16" s="99" t="s">
        <v>93</v>
      </c>
      <c r="BQ16" s="99" t="s">
        <v>383</v>
      </c>
      <c r="BR16" s="99" t="s">
        <v>95</v>
      </c>
      <c r="BS16" s="99">
        <v>2.8</v>
      </c>
      <c r="BT16" s="99">
        <v>2</v>
      </c>
      <c r="BU16" s="99">
        <v>21</v>
      </c>
      <c r="BV16" s="99">
        <v>1.1000000000000001</v>
      </c>
      <c r="BW16" s="99">
        <v>1.8</v>
      </c>
      <c r="BX16" s="99" t="s">
        <v>95</v>
      </c>
      <c r="BY16" s="99" t="s">
        <v>122</v>
      </c>
      <c r="BZ16" s="99" t="s">
        <v>95</v>
      </c>
      <c r="CA16" s="99" t="s">
        <v>95</v>
      </c>
      <c r="CB16" s="99">
        <v>40744</v>
      </c>
      <c r="CC16" s="99">
        <v>42599</v>
      </c>
      <c r="CD16" s="99">
        <v>1987</v>
      </c>
      <c r="CE16" s="99">
        <v>0.33600000000000002</v>
      </c>
    </row>
    <row r="17" spans="1:83" x14ac:dyDescent="0.25">
      <c r="A17" s="99" t="s">
        <v>123</v>
      </c>
      <c r="B17" s="99">
        <v>146</v>
      </c>
      <c r="C17" s="99" t="s">
        <v>93</v>
      </c>
      <c r="D17" s="99" t="s">
        <v>93</v>
      </c>
      <c r="E17" s="99" t="s">
        <v>111</v>
      </c>
      <c r="F17" s="99" t="s">
        <v>112</v>
      </c>
      <c r="G17" s="99" t="s">
        <v>117</v>
      </c>
      <c r="H17" s="99" t="s">
        <v>94</v>
      </c>
      <c r="I17" s="99">
        <v>1</v>
      </c>
      <c r="J17" s="99">
        <v>0</v>
      </c>
      <c r="K17" s="99">
        <v>1</v>
      </c>
      <c r="L17" s="99">
        <v>25</v>
      </c>
      <c r="M17" s="99">
        <v>10</v>
      </c>
      <c r="N17" s="99">
        <v>100</v>
      </c>
      <c r="O17" s="99">
        <v>200</v>
      </c>
      <c r="P17" s="99">
        <v>150</v>
      </c>
      <c r="Q17" s="99">
        <v>3.125</v>
      </c>
      <c r="R17" s="99">
        <v>50</v>
      </c>
      <c r="S17" s="99">
        <v>1</v>
      </c>
      <c r="T17" s="99">
        <v>0.9</v>
      </c>
      <c r="U17" s="99">
        <v>1.4</v>
      </c>
      <c r="V17" s="99">
        <v>2.48</v>
      </c>
      <c r="W17" s="99">
        <v>1</v>
      </c>
      <c r="X17" s="99">
        <v>47</v>
      </c>
      <c r="Y17" s="99">
        <v>30</v>
      </c>
      <c r="Z17" s="99">
        <v>300</v>
      </c>
      <c r="AA17" s="99">
        <v>159</v>
      </c>
      <c r="AB17" s="99">
        <v>1.6</v>
      </c>
      <c r="AC17" s="99" t="s">
        <v>95</v>
      </c>
      <c r="AD17" s="99" t="s">
        <v>95</v>
      </c>
      <c r="AE17" s="99">
        <v>2.8999999999999998E-3</v>
      </c>
      <c r="AF17" s="99">
        <v>2.2000000000000001E-3</v>
      </c>
      <c r="AG17" s="99" t="s">
        <v>95</v>
      </c>
      <c r="AH17" s="99">
        <v>2E-3</v>
      </c>
      <c r="AI17" s="99" t="s">
        <v>95</v>
      </c>
      <c r="AJ17" s="99">
        <v>0.47</v>
      </c>
      <c r="AK17" s="99">
        <v>18</v>
      </c>
      <c r="AL17" s="99">
        <v>10.1</v>
      </c>
      <c r="AM17" s="99">
        <v>3.3</v>
      </c>
      <c r="AN17" s="99">
        <v>42.02</v>
      </c>
      <c r="AO17" s="99">
        <v>3.21</v>
      </c>
      <c r="AP17" s="99">
        <v>3.07</v>
      </c>
      <c r="AQ17" s="99">
        <v>3.36</v>
      </c>
      <c r="AR17" s="99">
        <v>5.19</v>
      </c>
      <c r="AS17" s="99">
        <v>2.19</v>
      </c>
      <c r="AT17" s="99">
        <v>7.11</v>
      </c>
      <c r="AU17" s="99">
        <v>0.32700000000000001</v>
      </c>
      <c r="AV17" s="99">
        <v>0.12</v>
      </c>
      <c r="AW17" s="99">
        <v>0.56699999999999995</v>
      </c>
      <c r="AX17" s="99">
        <v>12.5</v>
      </c>
      <c r="AY17" s="99">
        <v>10</v>
      </c>
      <c r="AZ17" s="99">
        <v>0.01</v>
      </c>
      <c r="BA17" s="99">
        <v>4.7</v>
      </c>
      <c r="BB17" s="99">
        <v>0.5</v>
      </c>
      <c r="BC17" s="99">
        <v>180</v>
      </c>
      <c r="BD17" s="99">
        <v>0.8</v>
      </c>
      <c r="BE17" s="99">
        <v>180</v>
      </c>
      <c r="BF17" s="99">
        <v>25</v>
      </c>
      <c r="BG17" s="99">
        <v>5.5</v>
      </c>
      <c r="BH17" s="99">
        <v>25</v>
      </c>
      <c r="BI17" s="99">
        <v>0.01</v>
      </c>
      <c r="BJ17" s="99">
        <v>0.24</v>
      </c>
      <c r="BK17" s="99" t="s">
        <v>94</v>
      </c>
      <c r="BL17" s="99">
        <v>0.8</v>
      </c>
      <c r="BM17" s="99" t="s">
        <v>95</v>
      </c>
      <c r="BN17" s="99">
        <v>1155</v>
      </c>
      <c r="BO17" s="99">
        <v>4</v>
      </c>
      <c r="BP17" s="99" t="s">
        <v>93</v>
      </c>
      <c r="BQ17" s="99" t="s">
        <v>124</v>
      </c>
      <c r="BR17" s="99" t="s">
        <v>95</v>
      </c>
      <c r="BS17" s="99">
        <v>3.2</v>
      </c>
      <c r="BT17" s="99">
        <v>2.2000000000000002</v>
      </c>
      <c r="BU17" s="99">
        <v>63</v>
      </c>
      <c r="BV17" s="99">
        <v>3.5</v>
      </c>
      <c r="BW17" s="99">
        <v>6.6</v>
      </c>
      <c r="BX17" s="99" t="s">
        <v>95</v>
      </c>
      <c r="BY17" s="99" t="s">
        <v>115</v>
      </c>
      <c r="BZ17" s="99" t="s">
        <v>95</v>
      </c>
      <c r="CA17" s="99" t="s">
        <v>95</v>
      </c>
      <c r="CB17" s="99">
        <v>40777</v>
      </c>
      <c r="CC17" s="99">
        <v>42577</v>
      </c>
      <c r="CD17" s="99">
        <v>2479</v>
      </c>
      <c r="CE17" s="99">
        <v>0.66800000000000004</v>
      </c>
    </row>
    <row r="18" spans="1:83" x14ac:dyDescent="0.25">
      <c r="A18" s="99" t="s">
        <v>125</v>
      </c>
      <c r="B18" s="99">
        <v>146</v>
      </c>
      <c r="C18" s="99" t="s">
        <v>93</v>
      </c>
      <c r="D18" s="99" t="s">
        <v>93</v>
      </c>
      <c r="E18" s="99" t="s">
        <v>111</v>
      </c>
      <c r="F18" s="99" t="s">
        <v>120</v>
      </c>
      <c r="G18" s="99" t="s">
        <v>126</v>
      </c>
      <c r="H18" s="99" t="s">
        <v>94</v>
      </c>
      <c r="I18" s="99">
        <v>1</v>
      </c>
      <c r="J18" s="99">
        <v>0</v>
      </c>
      <c r="K18" s="99">
        <v>1</v>
      </c>
      <c r="L18" s="99">
        <v>25</v>
      </c>
      <c r="M18" s="99">
        <v>10</v>
      </c>
      <c r="N18" s="99">
        <v>22</v>
      </c>
      <c r="O18" s="99">
        <v>240</v>
      </c>
      <c r="P18" s="99">
        <v>150</v>
      </c>
      <c r="Q18" s="99">
        <v>2.8</v>
      </c>
      <c r="R18" s="99">
        <v>55</v>
      </c>
      <c r="S18" s="99">
        <v>1.7</v>
      </c>
      <c r="T18" s="99">
        <v>0.9</v>
      </c>
      <c r="U18" s="99">
        <v>1.4</v>
      </c>
      <c r="V18" s="99">
        <v>2</v>
      </c>
      <c r="W18" s="99">
        <v>1</v>
      </c>
      <c r="X18" s="99">
        <v>16</v>
      </c>
      <c r="Y18" s="99">
        <v>24</v>
      </c>
      <c r="Z18" s="99">
        <v>300</v>
      </c>
      <c r="AA18" s="99">
        <v>96</v>
      </c>
      <c r="AB18" s="99">
        <v>1.4</v>
      </c>
      <c r="AC18" s="99" t="s">
        <v>95</v>
      </c>
      <c r="AD18" s="99" t="s">
        <v>95</v>
      </c>
      <c r="AE18" s="99">
        <v>6.4999999999999997E-3</v>
      </c>
      <c r="AF18" s="99">
        <v>4.7999999999999996E-3</v>
      </c>
      <c r="AG18" s="99" t="s">
        <v>95</v>
      </c>
      <c r="AH18" s="99">
        <v>4.0000000000000001E-3</v>
      </c>
      <c r="AI18" s="99">
        <v>2.8E-3</v>
      </c>
      <c r="AJ18" s="99">
        <v>0.44</v>
      </c>
      <c r="AK18" s="99">
        <v>6.2</v>
      </c>
      <c r="AL18" s="99">
        <v>3.89</v>
      </c>
      <c r="AM18" s="99">
        <v>1</v>
      </c>
      <c r="AN18" s="99" t="s">
        <v>95</v>
      </c>
      <c r="AO18" s="99">
        <v>1.1599999999999999</v>
      </c>
      <c r="AP18" s="99">
        <v>1.02</v>
      </c>
      <c r="AQ18" s="99">
        <v>1.2</v>
      </c>
      <c r="AR18" s="99">
        <v>1.9</v>
      </c>
      <c r="AS18" s="99">
        <v>0.74</v>
      </c>
      <c r="AT18" s="99">
        <v>2.2000000000000002</v>
      </c>
      <c r="AU18" s="99">
        <v>0.109</v>
      </c>
      <c r="AV18" s="99">
        <v>0.05</v>
      </c>
      <c r="AW18" s="99">
        <v>0.17</v>
      </c>
      <c r="AX18" s="99">
        <v>12.5</v>
      </c>
      <c r="AY18" s="99">
        <v>10</v>
      </c>
      <c r="AZ18" s="99">
        <v>0.1</v>
      </c>
      <c r="BA18" s="99">
        <v>19</v>
      </c>
      <c r="BB18" s="99">
        <v>1.1000000000000001</v>
      </c>
      <c r="BC18" s="99">
        <v>180</v>
      </c>
      <c r="BD18" s="99">
        <v>8</v>
      </c>
      <c r="BE18" s="99">
        <v>20</v>
      </c>
      <c r="BF18" s="99">
        <v>25</v>
      </c>
      <c r="BG18" s="99">
        <v>2.2000000000000002</v>
      </c>
      <c r="BH18" s="99">
        <v>25</v>
      </c>
      <c r="BI18" s="99">
        <v>0.1</v>
      </c>
      <c r="BJ18" s="99">
        <v>1</v>
      </c>
      <c r="BK18" s="99" t="s">
        <v>94</v>
      </c>
      <c r="BL18" s="99">
        <v>0.85</v>
      </c>
      <c r="BM18" s="99" t="s">
        <v>95</v>
      </c>
      <c r="BN18" s="99">
        <v>1154</v>
      </c>
      <c r="BO18" s="99">
        <v>1.03</v>
      </c>
      <c r="BP18" s="99" t="s">
        <v>93</v>
      </c>
      <c r="BQ18" s="99" t="s">
        <v>127</v>
      </c>
      <c r="BR18" s="99" t="s">
        <v>95</v>
      </c>
      <c r="BS18" s="99">
        <v>2.8</v>
      </c>
      <c r="BT18" s="99">
        <v>2.4</v>
      </c>
      <c r="BU18" s="99">
        <v>21</v>
      </c>
      <c r="BV18" s="99">
        <v>1.1000000000000001</v>
      </c>
      <c r="BW18" s="99">
        <v>1.8</v>
      </c>
      <c r="BX18" s="99" t="s">
        <v>95</v>
      </c>
      <c r="BY18" s="99" t="s">
        <v>122</v>
      </c>
      <c r="BZ18" s="99" t="s">
        <v>95</v>
      </c>
      <c r="CA18" s="99" t="s">
        <v>95</v>
      </c>
      <c r="CB18" s="99" t="s">
        <v>95</v>
      </c>
      <c r="CC18" s="99">
        <v>42599</v>
      </c>
      <c r="CD18" s="99">
        <v>1991</v>
      </c>
      <c r="CE18" s="99">
        <v>0.33500000000000002</v>
      </c>
    </row>
    <row r="19" spans="1:83" x14ac:dyDescent="0.25">
      <c r="A19" s="99" t="s">
        <v>128</v>
      </c>
      <c r="B19" s="99">
        <v>146</v>
      </c>
      <c r="C19" s="99" t="s">
        <v>93</v>
      </c>
      <c r="D19" s="99" t="s">
        <v>93</v>
      </c>
      <c r="E19" s="99" t="s">
        <v>111</v>
      </c>
      <c r="F19" s="99" t="s">
        <v>120</v>
      </c>
      <c r="G19" s="99" t="s">
        <v>129</v>
      </c>
      <c r="H19" s="99" t="s">
        <v>94</v>
      </c>
      <c r="I19" s="99">
        <v>1</v>
      </c>
      <c r="J19" s="99">
        <v>0</v>
      </c>
      <c r="K19" s="99">
        <v>1</v>
      </c>
      <c r="L19" s="99">
        <v>25</v>
      </c>
      <c r="M19" s="99">
        <v>10</v>
      </c>
      <c r="N19" s="99">
        <v>60</v>
      </c>
      <c r="O19" s="99">
        <v>115</v>
      </c>
      <c r="P19" s="99">
        <v>150</v>
      </c>
      <c r="Q19" s="99">
        <v>3</v>
      </c>
      <c r="R19" s="99">
        <v>42</v>
      </c>
      <c r="S19" s="99">
        <v>20.6</v>
      </c>
      <c r="T19" s="99">
        <v>0.6</v>
      </c>
      <c r="U19" s="99">
        <v>1.1000000000000001</v>
      </c>
      <c r="V19" s="99">
        <v>2.02</v>
      </c>
      <c r="W19" s="99">
        <v>1</v>
      </c>
      <c r="X19" s="99">
        <v>20</v>
      </c>
      <c r="Y19" s="99">
        <v>20</v>
      </c>
      <c r="Z19" s="99">
        <v>300</v>
      </c>
      <c r="AA19" s="99">
        <v>121</v>
      </c>
      <c r="AB19" s="99">
        <v>1.5</v>
      </c>
      <c r="AC19" s="99" t="s">
        <v>95</v>
      </c>
      <c r="AD19" s="99">
        <v>7.7999999999999996E-3</v>
      </c>
      <c r="AE19" s="99" t="s">
        <v>95</v>
      </c>
      <c r="AF19" s="99">
        <v>4.3E-3</v>
      </c>
      <c r="AG19" s="99" t="s">
        <v>95</v>
      </c>
      <c r="AH19" s="99">
        <v>4.4999999999999997E-3</v>
      </c>
      <c r="AI19" s="99">
        <v>3.8E-3</v>
      </c>
      <c r="AJ19" s="99">
        <v>0.32</v>
      </c>
      <c r="AK19" s="99">
        <v>6.5</v>
      </c>
      <c r="AL19" s="99">
        <v>4</v>
      </c>
      <c r="AM19" s="99">
        <v>1</v>
      </c>
      <c r="AN19" s="99" t="s">
        <v>95</v>
      </c>
      <c r="AO19" s="99">
        <v>1.1000000000000001</v>
      </c>
      <c r="AP19" s="99">
        <v>1.05</v>
      </c>
      <c r="AQ19" s="99">
        <v>1.1599999999999999</v>
      </c>
      <c r="AR19" s="99">
        <v>1.72</v>
      </c>
      <c r="AS19" s="99">
        <v>0.73</v>
      </c>
      <c r="AT19" s="99">
        <v>2.37</v>
      </c>
      <c r="AU19" s="99">
        <v>0.11799999999999999</v>
      </c>
      <c r="AV19" s="99">
        <v>5.2999999999999999E-2</v>
      </c>
      <c r="AW19" s="99">
        <v>0.19400000000000001</v>
      </c>
      <c r="AX19" s="99">
        <v>12.5</v>
      </c>
      <c r="AY19" s="99">
        <v>10</v>
      </c>
      <c r="AZ19" s="99">
        <v>0.01</v>
      </c>
      <c r="BA19" s="99">
        <v>2</v>
      </c>
      <c r="BB19" s="99">
        <v>0.45</v>
      </c>
      <c r="BC19" s="99">
        <v>100</v>
      </c>
      <c r="BD19" s="99">
        <v>0.9</v>
      </c>
      <c r="BE19" s="99">
        <v>100</v>
      </c>
      <c r="BF19" s="99">
        <v>25</v>
      </c>
      <c r="BG19" s="99">
        <v>3.8</v>
      </c>
      <c r="BH19" s="99">
        <v>25</v>
      </c>
      <c r="BI19" s="99">
        <v>0.01</v>
      </c>
      <c r="BJ19" s="99">
        <v>1</v>
      </c>
      <c r="BK19" s="99" t="s">
        <v>94</v>
      </c>
      <c r="BL19" s="99">
        <v>0.8</v>
      </c>
      <c r="BM19" s="99" t="s">
        <v>95</v>
      </c>
      <c r="BN19" s="99">
        <v>1154</v>
      </c>
      <c r="BO19" s="99">
        <v>0.96599999999999997</v>
      </c>
      <c r="BP19" s="99" t="s">
        <v>93</v>
      </c>
      <c r="BQ19" s="99" t="s">
        <v>130</v>
      </c>
      <c r="BR19" s="99" t="s">
        <v>95</v>
      </c>
      <c r="BS19" s="99">
        <v>3</v>
      </c>
      <c r="BT19" s="99">
        <v>1.9</v>
      </c>
      <c r="BU19" s="99">
        <v>14.5</v>
      </c>
      <c r="BV19" s="99">
        <v>1.2</v>
      </c>
      <c r="BW19" s="99">
        <v>2.1</v>
      </c>
      <c r="BX19" s="99" t="s">
        <v>95</v>
      </c>
      <c r="BY19" s="99" t="s">
        <v>122</v>
      </c>
      <c r="BZ19" s="99" t="s">
        <v>95</v>
      </c>
      <c r="CA19" s="99" t="s">
        <v>95</v>
      </c>
      <c r="CB19" s="99">
        <v>40777</v>
      </c>
      <c r="CC19" s="99">
        <v>42599</v>
      </c>
      <c r="CD19" s="99">
        <v>1992</v>
      </c>
      <c r="CE19" s="99">
        <v>0.34499999999999997</v>
      </c>
    </row>
    <row r="20" spans="1:83" x14ac:dyDescent="0.25">
      <c r="A20" s="99" t="s">
        <v>131</v>
      </c>
      <c r="B20" s="99">
        <v>146</v>
      </c>
      <c r="C20" s="99" t="s">
        <v>93</v>
      </c>
      <c r="D20" s="99" t="s">
        <v>93</v>
      </c>
      <c r="E20" s="99" t="s">
        <v>111</v>
      </c>
      <c r="F20" s="99" t="s">
        <v>132</v>
      </c>
      <c r="G20" s="99" t="s">
        <v>133</v>
      </c>
      <c r="H20" s="99" t="s">
        <v>94</v>
      </c>
      <c r="I20" s="99">
        <v>1</v>
      </c>
      <c r="J20" s="99">
        <v>0</v>
      </c>
      <c r="K20" s="99">
        <v>1</v>
      </c>
      <c r="L20" s="99">
        <v>25</v>
      </c>
      <c r="M20" s="99">
        <v>10</v>
      </c>
      <c r="N20" s="99">
        <v>100</v>
      </c>
      <c r="O20" s="99">
        <v>131</v>
      </c>
      <c r="P20" s="99">
        <v>150</v>
      </c>
      <c r="Q20" s="99">
        <v>3.125</v>
      </c>
      <c r="R20" s="99">
        <v>50</v>
      </c>
      <c r="S20" s="99">
        <v>1.2</v>
      </c>
      <c r="T20" s="99">
        <v>0.6</v>
      </c>
      <c r="U20" s="99">
        <v>1.1000000000000001</v>
      </c>
      <c r="V20" s="99">
        <v>1.6</v>
      </c>
      <c r="W20" s="99">
        <v>1</v>
      </c>
      <c r="X20" s="99">
        <v>20</v>
      </c>
      <c r="Y20" s="99">
        <v>20</v>
      </c>
      <c r="Z20" s="99">
        <v>300</v>
      </c>
      <c r="AA20" s="99">
        <v>91</v>
      </c>
      <c r="AB20" s="99">
        <v>1.5</v>
      </c>
      <c r="AC20" s="99" t="s">
        <v>95</v>
      </c>
      <c r="AD20" s="99">
        <v>7.7999999999999996E-3</v>
      </c>
      <c r="AE20" s="99" t="s">
        <v>95</v>
      </c>
      <c r="AF20" s="99">
        <v>5.4999999999999997E-3</v>
      </c>
      <c r="AG20" s="99" t="s">
        <v>95</v>
      </c>
      <c r="AH20" s="99">
        <v>4.7000000000000002E-3</v>
      </c>
      <c r="AI20" s="99" t="s">
        <v>95</v>
      </c>
      <c r="AJ20" s="99">
        <v>0.47</v>
      </c>
      <c r="AK20" s="99">
        <v>6.8</v>
      </c>
      <c r="AL20" s="99">
        <v>3.8</v>
      </c>
      <c r="AM20" s="99">
        <v>1.2</v>
      </c>
      <c r="AN20" s="99">
        <v>13</v>
      </c>
      <c r="AO20" s="99">
        <v>1.1499999999999999</v>
      </c>
      <c r="AP20" s="99">
        <v>1.05</v>
      </c>
      <c r="AQ20" s="99">
        <v>1.19</v>
      </c>
      <c r="AR20" s="99">
        <v>1.88</v>
      </c>
      <c r="AS20" s="99">
        <v>0.73</v>
      </c>
      <c r="AT20" s="99">
        <v>2.37</v>
      </c>
      <c r="AU20" s="99">
        <v>0.113</v>
      </c>
      <c r="AV20" s="99">
        <v>5.2999999999999999E-2</v>
      </c>
      <c r="AW20" s="99">
        <v>0.159</v>
      </c>
      <c r="AX20" s="99">
        <v>12.5</v>
      </c>
      <c r="AY20" s="99">
        <v>10</v>
      </c>
      <c r="AZ20" s="99">
        <v>0.01</v>
      </c>
      <c r="BA20" s="99">
        <v>2</v>
      </c>
      <c r="BB20" s="99">
        <v>0.55000000000000004</v>
      </c>
      <c r="BC20" s="99">
        <v>110</v>
      </c>
      <c r="BD20" s="99">
        <v>0.55000000000000004</v>
      </c>
      <c r="BE20" s="99">
        <v>110</v>
      </c>
      <c r="BF20" s="99">
        <v>25</v>
      </c>
      <c r="BG20" s="99">
        <v>2</v>
      </c>
      <c r="BH20" s="99">
        <v>25</v>
      </c>
      <c r="BI20" s="99">
        <v>0.01</v>
      </c>
      <c r="BJ20" s="99">
        <v>0.88</v>
      </c>
      <c r="BK20" s="99" t="s">
        <v>94</v>
      </c>
      <c r="BL20" s="99">
        <v>0.8</v>
      </c>
      <c r="BM20" s="99" t="s">
        <v>95</v>
      </c>
      <c r="BN20" s="99">
        <v>1155</v>
      </c>
      <c r="BO20" s="99">
        <v>1.05</v>
      </c>
      <c r="BP20" s="99" t="s">
        <v>93</v>
      </c>
      <c r="BQ20" s="99" t="s">
        <v>134</v>
      </c>
      <c r="BR20" s="99" t="s">
        <v>95</v>
      </c>
      <c r="BS20" s="99">
        <v>3</v>
      </c>
      <c r="BT20" s="99">
        <v>1.8</v>
      </c>
      <c r="BU20" s="99">
        <v>14.5</v>
      </c>
      <c r="BV20" s="99">
        <v>0.9</v>
      </c>
      <c r="BW20" s="99">
        <v>1.9</v>
      </c>
      <c r="BX20" s="99" t="s">
        <v>95</v>
      </c>
      <c r="BY20" s="99" t="s">
        <v>115</v>
      </c>
      <c r="BZ20" s="99" t="s">
        <v>95</v>
      </c>
      <c r="CA20" s="99" t="s">
        <v>95</v>
      </c>
      <c r="CB20" s="99">
        <v>41503</v>
      </c>
      <c r="CC20" s="99">
        <v>42577</v>
      </c>
      <c r="CD20" s="99">
        <v>2481</v>
      </c>
      <c r="CE20" s="99">
        <v>0.33400000000000002</v>
      </c>
    </row>
    <row r="21" spans="1:83" x14ac:dyDescent="0.25">
      <c r="A21" s="99" t="s">
        <v>135</v>
      </c>
      <c r="B21" s="99">
        <v>146</v>
      </c>
      <c r="C21" s="99" t="s">
        <v>93</v>
      </c>
      <c r="D21" s="99" t="s">
        <v>93</v>
      </c>
      <c r="E21" s="99" t="s">
        <v>111</v>
      </c>
      <c r="F21" s="99" t="s">
        <v>112</v>
      </c>
      <c r="G21" s="99" t="s">
        <v>136</v>
      </c>
      <c r="H21" s="99" t="s">
        <v>94</v>
      </c>
      <c r="I21" s="99">
        <v>1</v>
      </c>
      <c r="J21" s="99">
        <v>0</v>
      </c>
      <c r="K21" s="99">
        <v>1</v>
      </c>
      <c r="L21" s="99">
        <v>25</v>
      </c>
      <c r="M21" s="99">
        <v>16</v>
      </c>
      <c r="N21" s="99">
        <v>100</v>
      </c>
      <c r="O21" s="99">
        <v>240</v>
      </c>
      <c r="P21" s="99">
        <v>150</v>
      </c>
      <c r="Q21" s="99">
        <v>3.125</v>
      </c>
      <c r="R21" s="99">
        <v>50</v>
      </c>
      <c r="S21" s="99">
        <v>1.1000000000000001</v>
      </c>
      <c r="T21" s="99">
        <v>1.2</v>
      </c>
      <c r="U21" s="99">
        <v>1.9</v>
      </c>
      <c r="V21" s="99">
        <v>2.92</v>
      </c>
      <c r="W21" s="99">
        <v>1</v>
      </c>
      <c r="X21" s="99">
        <v>45</v>
      </c>
      <c r="Y21" s="99">
        <v>40</v>
      </c>
      <c r="Z21" s="99">
        <v>300</v>
      </c>
      <c r="AA21" s="99">
        <v>168</v>
      </c>
      <c r="AB21" s="99">
        <v>1.2</v>
      </c>
      <c r="AC21" s="99" t="s">
        <v>95</v>
      </c>
      <c r="AD21" s="99" t="s">
        <v>95</v>
      </c>
      <c r="AE21" s="99" t="s">
        <v>95</v>
      </c>
      <c r="AF21" s="99">
        <v>2.3E-3</v>
      </c>
      <c r="AG21" s="99" t="s">
        <v>95</v>
      </c>
      <c r="AH21" s="99" t="s">
        <v>95</v>
      </c>
      <c r="AI21" s="99">
        <v>1.6000000000000001E-3</v>
      </c>
      <c r="AJ21" s="99">
        <v>0.47</v>
      </c>
      <c r="AK21" s="99">
        <v>21</v>
      </c>
      <c r="AL21" s="99">
        <v>7.7</v>
      </c>
      <c r="AM21" s="99">
        <v>4.8</v>
      </c>
      <c r="AN21" s="99">
        <v>43.5</v>
      </c>
      <c r="AO21" s="99">
        <v>3.42</v>
      </c>
      <c r="AP21" s="99">
        <v>3.15</v>
      </c>
      <c r="AQ21" s="99">
        <v>3.58</v>
      </c>
      <c r="AR21" s="99">
        <v>5.93</v>
      </c>
      <c r="AS21" s="99">
        <v>2.5299999999999998</v>
      </c>
      <c r="AT21" s="99">
        <v>8.0399999999999991</v>
      </c>
      <c r="AU21" s="99">
        <v>0.45900000000000002</v>
      </c>
      <c r="AV21" s="99">
        <v>0.17499999999999999</v>
      </c>
      <c r="AW21" s="99">
        <v>0.68200000000000005</v>
      </c>
      <c r="AX21" s="99">
        <v>12.5</v>
      </c>
      <c r="AY21" s="99">
        <v>10</v>
      </c>
      <c r="AZ21" s="99">
        <v>0.1</v>
      </c>
      <c r="BA21" s="99">
        <v>43.8</v>
      </c>
      <c r="BB21" s="99">
        <v>1.4</v>
      </c>
      <c r="BC21" s="99">
        <v>376</v>
      </c>
      <c r="BD21" s="99">
        <v>4.21</v>
      </c>
      <c r="BE21" s="99">
        <v>125</v>
      </c>
      <c r="BF21" s="99">
        <v>25</v>
      </c>
      <c r="BG21" s="99">
        <v>6.37</v>
      </c>
      <c r="BH21" s="99">
        <v>25</v>
      </c>
      <c r="BI21" s="99">
        <v>0.1</v>
      </c>
      <c r="BJ21" s="99">
        <v>0.24</v>
      </c>
      <c r="BK21" s="99" t="s">
        <v>94</v>
      </c>
      <c r="BL21" s="99">
        <v>0.85</v>
      </c>
      <c r="BM21" s="99" t="s">
        <v>95</v>
      </c>
      <c r="BN21" s="99">
        <v>1155</v>
      </c>
      <c r="BO21" s="99">
        <v>4.0999999999999996</v>
      </c>
      <c r="BP21" s="99" t="s">
        <v>93</v>
      </c>
      <c r="BQ21" s="99" t="s">
        <v>137</v>
      </c>
      <c r="BR21" s="99" t="s">
        <v>95</v>
      </c>
      <c r="BS21" s="99">
        <v>2.4</v>
      </c>
      <c r="BT21" s="99">
        <v>3</v>
      </c>
      <c r="BU21" s="99">
        <v>72</v>
      </c>
      <c r="BV21" s="99">
        <v>5.2</v>
      </c>
      <c r="BW21" s="99">
        <v>8.3000000000000007</v>
      </c>
      <c r="BX21" s="99" t="s">
        <v>95</v>
      </c>
      <c r="BY21" s="99" t="s">
        <v>115</v>
      </c>
      <c r="BZ21" s="99" t="s">
        <v>95</v>
      </c>
      <c r="CA21" s="99" t="s">
        <v>95</v>
      </c>
      <c r="CB21" s="99">
        <v>41033</v>
      </c>
      <c r="CC21" s="99">
        <v>42577</v>
      </c>
      <c r="CD21" s="99">
        <v>2482</v>
      </c>
      <c r="CE21" s="99">
        <v>0.79600000000000004</v>
      </c>
    </row>
    <row r="22" spans="1:83" x14ac:dyDescent="0.25">
      <c r="A22" s="99" t="s">
        <v>138</v>
      </c>
      <c r="B22" s="99">
        <v>146</v>
      </c>
      <c r="C22" s="99" t="s">
        <v>93</v>
      </c>
      <c r="D22" s="99" t="s">
        <v>93</v>
      </c>
      <c r="E22" s="99" t="s">
        <v>111</v>
      </c>
      <c r="F22" s="99" t="s">
        <v>132</v>
      </c>
      <c r="G22" s="99" t="s">
        <v>139</v>
      </c>
      <c r="H22" s="99" t="s">
        <v>94</v>
      </c>
      <c r="I22" s="99">
        <v>1</v>
      </c>
      <c r="J22" s="99">
        <v>0</v>
      </c>
      <c r="K22" s="99">
        <v>1</v>
      </c>
      <c r="L22" s="99">
        <v>25</v>
      </c>
      <c r="M22" s="99">
        <v>16</v>
      </c>
      <c r="N22" s="99">
        <v>100</v>
      </c>
      <c r="O22" s="99">
        <v>184</v>
      </c>
      <c r="P22" s="99">
        <v>150</v>
      </c>
      <c r="Q22" s="99">
        <v>3.125</v>
      </c>
      <c r="R22" s="99">
        <v>50</v>
      </c>
      <c r="S22" s="99">
        <v>1.8</v>
      </c>
      <c r="T22" s="99">
        <v>1.2</v>
      </c>
      <c r="U22" s="99">
        <v>1.9</v>
      </c>
      <c r="V22" s="99">
        <v>2.83</v>
      </c>
      <c r="W22" s="99">
        <v>1</v>
      </c>
      <c r="X22" s="99">
        <v>35</v>
      </c>
      <c r="Y22" s="99">
        <v>20</v>
      </c>
      <c r="Z22" s="99">
        <v>300</v>
      </c>
      <c r="AA22" s="99">
        <v>91</v>
      </c>
      <c r="AB22" s="99">
        <v>1.2</v>
      </c>
      <c r="AC22" s="99" t="s">
        <v>95</v>
      </c>
      <c r="AD22" s="99" t="s">
        <v>95</v>
      </c>
      <c r="AE22" s="99" t="s">
        <v>95</v>
      </c>
      <c r="AF22" s="99">
        <v>3.7000000000000002E-3</v>
      </c>
      <c r="AG22" s="99" t="s">
        <v>95</v>
      </c>
      <c r="AH22" s="99" t="s">
        <v>95</v>
      </c>
      <c r="AI22" s="99">
        <v>2.8E-3</v>
      </c>
      <c r="AJ22" s="99">
        <v>0.52</v>
      </c>
      <c r="AK22" s="99">
        <v>13.3</v>
      </c>
      <c r="AL22" s="99">
        <v>4.8499999999999996</v>
      </c>
      <c r="AM22" s="99">
        <v>3.1</v>
      </c>
      <c r="AN22" s="99">
        <v>28</v>
      </c>
      <c r="AO22" s="99">
        <v>2.1800000000000002</v>
      </c>
      <c r="AP22" s="99">
        <v>2.04</v>
      </c>
      <c r="AQ22" s="99">
        <v>2.29</v>
      </c>
      <c r="AR22" s="99">
        <v>3.83</v>
      </c>
      <c r="AS22" s="99">
        <v>1.6</v>
      </c>
      <c r="AT22" s="99">
        <v>5.22</v>
      </c>
      <c r="AU22" s="99">
        <v>0.318</v>
      </c>
      <c r="AV22" s="99">
        <v>0.115</v>
      </c>
      <c r="AW22" s="99">
        <v>0.64200000000000002</v>
      </c>
      <c r="AX22" s="99">
        <v>12.5</v>
      </c>
      <c r="AY22" s="99">
        <v>10</v>
      </c>
      <c r="AZ22" s="99">
        <v>0.01</v>
      </c>
      <c r="BA22" s="99">
        <v>3.8</v>
      </c>
      <c r="BB22" s="99">
        <v>0.4</v>
      </c>
      <c r="BC22" s="99">
        <v>180</v>
      </c>
      <c r="BD22" s="99">
        <v>1.6</v>
      </c>
      <c r="BE22" s="99">
        <v>180</v>
      </c>
      <c r="BF22" s="99">
        <v>25</v>
      </c>
      <c r="BG22" s="99">
        <v>9</v>
      </c>
      <c r="BH22" s="99">
        <v>25</v>
      </c>
      <c r="BI22" s="99">
        <v>0.01</v>
      </c>
      <c r="BJ22" s="99">
        <v>0.38</v>
      </c>
      <c r="BK22" s="99" t="s">
        <v>94</v>
      </c>
      <c r="BL22" s="99">
        <v>0.8</v>
      </c>
      <c r="BM22" s="99" t="s">
        <v>95</v>
      </c>
      <c r="BN22" s="99">
        <v>1155</v>
      </c>
      <c r="BO22" s="99">
        <v>1.85</v>
      </c>
      <c r="BP22" s="99" t="s">
        <v>93</v>
      </c>
      <c r="BQ22" s="99" t="s">
        <v>140</v>
      </c>
      <c r="BR22" s="99" t="s">
        <v>95</v>
      </c>
      <c r="BS22" s="99">
        <v>2.4</v>
      </c>
      <c r="BT22" s="99">
        <v>3</v>
      </c>
      <c r="BU22" s="99">
        <v>47</v>
      </c>
      <c r="BV22" s="99">
        <v>3.5</v>
      </c>
      <c r="BW22" s="99">
        <v>5.5</v>
      </c>
      <c r="BX22" s="99" t="s">
        <v>95</v>
      </c>
      <c r="BY22" s="99" t="s">
        <v>115</v>
      </c>
      <c r="BZ22" s="99" t="s">
        <v>95</v>
      </c>
      <c r="CA22" s="99" t="s">
        <v>95</v>
      </c>
      <c r="CB22" s="99">
        <v>41033</v>
      </c>
      <c r="CC22" s="99">
        <v>42577</v>
      </c>
      <c r="CD22" s="99">
        <v>2483</v>
      </c>
      <c r="CE22" s="99">
        <v>0.53400000000000003</v>
      </c>
    </row>
    <row r="23" spans="1:83" x14ac:dyDescent="0.25">
      <c r="A23" s="99" t="s">
        <v>141</v>
      </c>
      <c r="B23" s="99">
        <v>146</v>
      </c>
      <c r="C23" s="99" t="s">
        <v>93</v>
      </c>
      <c r="D23" s="99" t="s">
        <v>93</v>
      </c>
      <c r="E23" s="99" t="s">
        <v>111</v>
      </c>
      <c r="F23" s="99" t="s">
        <v>132</v>
      </c>
      <c r="G23" s="99" t="s">
        <v>136</v>
      </c>
      <c r="H23" s="99" t="s">
        <v>94</v>
      </c>
      <c r="I23" s="99">
        <v>1</v>
      </c>
      <c r="J23" s="99">
        <v>0</v>
      </c>
      <c r="K23" s="99">
        <v>1</v>
      </c>
      <c r="L23" s="99">
        <v>25</v>
      </c>
      <c r="M23" s="99">
        <v>16</v>
      </c>
      <c r="N23" s="99">
        <v>81</v>
      </c>
      <c r="O23" s="99">
        <v>135</v>
      </c>
      <c r="P23" s="99">
        <v>150</v>
      </c>
      <c r="Q23" s="99">
        <v>3.125</v>
      </c>
      <c r="R23" s="99">
        <v>50</v>
      </c>
      <c r="S23" s="99">
        <v>3.3</v>
      </c>
      <c r="T23" s="99">
        <v>1.4</v>
      </c>
      <c r="U23" s="99">
        <v>2.1</v>
      </c>
      <c r="V23" s="99">
        <v>3.16</v>
      </c>
      <c r="W23" s="99">
        <v>1</v>
      </c>
      <c r="X23" s="99">
        <v>22</v>
      </c>
      <c r="Y23" s="99">
        <v>20</v>
      </c>
      <c r="Z23" s="99">
        <v>300</v>
      </c>
      <c r="AA23" s="99">
        <v>57</v>
      </c>
      <c r="AB23" s="99">
        <v>0.9</v>
      </c>
      <c r="AC23" s="99" t="s">
        <v>95</v>
      </c>
      <c r="AD23" s="99" t="s">
        <v>95</v>
      </c>
      <c r="AE23" s="99" t="s">
        <v>95</v>
      </c>
      <c r="AF23" s="99">
        <v>7.1999999999999998E-3</v>
      </c>
      <c r="AG23" s="99" t="s">
        <v>95</v>
      </c>
      <c r="AH23" s="99" t="s">
        <v>95</v>
      </c>
      <c r="AI23" s="99">
        <v>5.1000000000000004E-3</v>
      </c>
      <c r="AJ23" s="99">
        <v>0.43</v>
      </c>
      <c r="AK23" s="99">
        <v>6.5</v>
      </c>
      <c r="AL23" s="99">
        <v>2.25</v>
      </c>
      <c r="AM23" s="99">
        <v>1.5</v>
      </c>
      <c r="AN23" s="99">
        <v>13</v>
      </c>
      <c r="AO23" s="99">
        <v>0.99</v>
      </c>
      <c r="AP23" s="99">
        <v>0.94</v>
      </c>
      <c r="AQ23" s="99">
        <v>1.03</v>
      </c>
      <c r="AR23" s="99">
        <v>1.92</v>
      </c>
      <c r="AS23" s="99">
        <v>0.81</v>
      </c>
      <c r="AT23" s="99">
        <v>2.61</v>
      </c>
      <c r="AU23" s="99">
        <v>0.14399999999999999</v>
      </c>
      <c r="AV23" s="99">
        <v>6.2E-2</v>
      </c>
      <c r="AW23" s="99">
        <v>0.20599999999999999</v>
      </c>
      <c r="AX23" s="99">
        <v>12.5</v>
      </c>
      <c r="AY23" s="99">
        <v>10</v>
      </c>
      <c r="AZ23" s="99">
        <v>0.01</v>
      </c>
      <c r="BA23" s="99">
        <v>1.98</v>
      </c>
      <c r="BB23" s="99">
        <v>0.42</v>
      </c>
      <c r="BC23" s="99">
        <v>70</v>
      </c>
      <c r="BD23" s="99">
        <v>25</v>
      </c>
      <c r="BE23" s="99">
        <v>1.1000000000000001</v>
      </c>
      <c r="BF23" s="99">
        <v>25</v>
      </c>
      <c r="BG23" s="99">
        <v>0.01</v>
      </c>
      <c r="BH23" s="99">
        <v>25</v>
      </c>
      <c r="BI23" s="99">
        <v>0.01</v>
      </c>
      <c r="BJ23" s="99">
        <v>0.8</v>
      </c>
      <c r="BK23" s="99" t="s">
        <v>94</v>
      </c>
      <c r="BL23" s="99">
        <v>0.85</v>
      </c>
      <c r="BM23" s="99" t="s">
        <v>95</v>
      </c>
      <c r="BN23" s="99">
        <v>1155</v>
      </c>
      <c r="BO23" s="99">
        <v>1.22</v>
      </c>
      <c r="BP23" s="99" t="s">
        <v>93</v>
      </c>
      <c r="BQ23" s="99" t="s">
        <v>142</v>
      </c>
      <c r="BR23" s="99" t="s">
        <v>95</v>
      </c>
      <c r="BS23" s="99">
        <v>1.8</v>
      </c>
      <c r="BT23" s="99">
        <v>3.3</v>
      </c>
      <c r="BU23" s="99">
        <v>20</v>
      </c>
      <c r="BV23" s="99">
        <v>1.7</v>
      </c>
      <c r="BW23" s="99">
        <v>3</v>
      </c>
      <c r="BX23" s="99" t="s">
        <v>95</v>
      </c>
      <c r="BY23" s="99" t="s">
        <v>115</v>
      </c>
      <c r="BZ23" s="99" t="s">
        <v>95</v>
      </c>
      <c r="CA23" s="99" t="s">
        <v>95</v>
      </c>
      <c r="CB23" s="99">
        <v>41033</v>
      </c>
      <c r="CC23" s="99">
        <v>42577</v>
      </c>
      <c r="CD23" s="99">
        <v>2484</v>
      </c>
      <c r="CE23" s="99">
        <v>0.31900000000000001</v>
      </c>
    </row>
    <row r="24" spans="1:83" x14ac:dyDescent="0.25">
      <c r="A24" s="99" t="s">
        <v>143</v>
      </c>
      <c r="B24" s="99">
        <v>146</v>
      </c>
      <c r="C24" s="99" t="s">
        <v>93</v>
      </c>
      <c r="D24" s="99" t="s">
        <v>93</v>
      </c>
      <c r="E24" s="99" t="s">
        <v>111</v>
      </c>
      <c r="F24" s="99" t="s">
        <v>120</v>
      </c>
      <c r="G24" s="99" t="s">
        <v>144</v>
      </c>
      <c r="H24" s="99" t="s">
        <v>94</v>
      </c>
      <c r="I24" s="99">
        <v>1</v>
      </c>
      <c r="J24" s="99">
        <v>0</v>
      </c>
      <c r="K24" s="99">
        <v>1</v>
      </c>
      <c r="L24" s="99">
        <v>25</v>
      </c>
      <c r="M24" s="99">
        <v>16</v>
      </c>
      <c r="N24" s="99">
        <v>60</v>
      </c>
      <c r="O24" s="99">
        <v>240</v>
      </c>
      <c r="P24" s="99">
        <v>150</v>
      </c>
      <c r="Q24" s="99">
        <v>2.8</v>
      </c>
      <c r="R24" s="99">
        <v>55</v>
      </c>
      <c r="S24" s="99">
        <v>2.7</v>
      </c>
      <c r="T24" s="99">
        <v>1.4</v>
      </c>
      <c r="U24" s="99">
        <v>2.2000000000000002</v>
      </c>
      <c r="V24" s="99">
        <v>2.996</v>
      </c>
      <c r="W24" s="99">
        <v>1</v>
      </c>
      <c r="X24" s="99">
        <v>22</v>
      </c>
      <c r="Y24" s="99">
        <v>20</v>
      </c>
      <c r="Z24" s="99">
        <v>300</v>
      </c>
      <c r="AA24" s="99">
        <v>53</v>
      </c>
      <c r="AB24" s="99">
        <v>1.2</v>
      </c>
      <c r="AC24" s="99" t="s">
        <v>95</v>
      </c>
      <c r="AD24" s="99" t="s">
        <v>95</v>
      </c>
      <c r="AE24" s="99" t="s">
        <v>95</v>
      </c>
      <c r="AF24" s="99">
        <v>7.4000000000000003E-3</v>
      </c>
      <c r="AG24" s="99" t="s">
        <v>95</v>
      </c>
      <c r="AH24" s="99">
        <v>4.3E-3</v>
      </c>
      <c r="AI24" s="99">
        <v>4.1999999999999997E-3</v>
      </c>
      <c r="AJ24" s="99">
        <v>0.41</v>
      </c>
      <c r="AK24" s="99">
        <v>5.8</v>
      </c>
      <c r="AL24" s="99">
        <v>2</v>
      </c>
      <c r="AM24" s="99">
        <v>1.5</v>
      </c>
      <c r="AN24" s="99">
        <v>11.6</v>
      </c>
      <c r="AO24" s="99">
        <v>0.94</v>
      </c>
      <c r="AP24" s="99">
        <v>0.84</v>
      </c>
      <c r="AQ24" s="99">
        <v>1</v>
      </c>
      <c r="AR24" s="99">
        <v>1.6</v>
      </c>
      <c r="AS24" s="99">
        <v>0.7</v>
      </c>
      <c r="AT24" s="99">
        <v>2.2000000000000002</v>
      </c>
      <c r="AU24" s="99">
        <v>0.15</v>
      </c>
      <c r="AV24" s="99">
        <v>0.06</v>
      </c>
      <c r="AW24" s="99">
        <v>0.19</v>
      </c>
      <c r="AX24" s="99">
        <v>12.5</v>
      </c>
      <c r="AY24" s="99">
        <v>10</v>
      </c>
      <c r="AZ24" s="99">
        <v>0.1</v>
      </c>
      <c r="BA24" s="99">
        <v>13</v>
      </c>
      <c r="BB24" s="99">
        <v>0.8</v>
      </c>
      <c r="BC24" s="99">
        <v>103</v>
      </c>
      <c r="BD24" s="99">
        <v>1.4</v>
      </c>
      <c r="BE24" s="99">
        <v>103</v>
      </c>
      <c r="BF24" s="99">
        <v>25</v>
      </c>
      <c r="BG24" s="99">
        <v>3.3</v>
      </c>
      <c r="BH24" s="99">
        <v>25</v>
      </c>
      <c r="BI24" s="99">
        <v>0.1</v>
      </c>
      <c r="BJ24" s="99">
        <v>1</v>
      </c>
      <c r="BK24" s="99" t="s">
        <v>94</v>
      </c>
      <c r="BL24" s="99">
        <v>0.85</v>
      </c>
      <c r="BM24" s="99" t="s">
        <v>95</v>
      </c>
      <c r="BN24" s="99">
        <v>1154</v>
      </c>
      <c r="BO24" s="99">
        <v>0.81</v>
      </c>
      <c r="BP24" s="99" t="s">
        <v>93</v>
      </c>
      <c r="BQ24" s="99" t="s">
        <v>145</v>
      </c>
      <c r="BR24" s="99" t="s">
        <v>95</v>
      </c>
      <c r="BS24" s="99">
        <v>2.4</v>
      </c>
      <c r="BT24" s="99">
        <v>3.7</v>
      </c>
      <c r="BU24" s="99">
        <v>18</v>
      </c>
      <c r="BV24" s="99">
        <v>1.5</v>
      </c>
      <c r="BW24" s="99">
        <v>2.5</v>
      </c>
      <c r="BX24" s="99" t="s">
        <v>95</v>
      </c>
      <c r="BY24" s="99" t="s">
        <v>122</v>
      </c>
      <c r="BZ24" s="99" t="s">
        <v>95</v>
      </c>
      <c r="CA24" s="99" t="s">
        <v>95</v>
      </c>
      <c r="CB24" s="99">
        <v>41033</v>
      </c>
      <c r="CC24" s="99">
        <v>42599</v>
      </c>
      <c r="CD24" s="99">
        <v>1997</v>
      </c>
      <c r="CE24" s="99">
        <v>0.33900000000000002</v>
      </c>
    </row>
    <row r="25" spans="1:83" x14ac:dyDescent="0.25">
      <c r="A25" s="99" t="s">
        <v>146</v>
      </c>
      <c r="B25" s="99">
        <v>146</v>
      </c>
      <c r="C25" s="99" t="s">
        <v>93</v>
      </c>
      <c r="D25" s="99" t="s">
        <v>93</v>
      </c>
      <c r="E25" s="99" t="s">
        <v>111</v>
      </c>
      <c r="F25" s="99" t="s">
        <v>112</v>
      </c>
      <c r="G25" s="99" t="s">
        <v>136</v>
      </c>
      <c r="H25" s="99" t="s">
        <v>94</v>
      </c>
      <c r="I25" s="99">
        <v>1</v>
      </c>
      <c r="J25" s="99">
        <v>0</v>
      </c>
      <c r="K25" s="99">
        <v>1</v>
      </c>
      <c r="L25" s="99">
        <v>25</v>
      </c>
      <c r="M25" s="99">
        <v>16</v>
      </c>
      <c r="N25" s="99">
        <v>100</v>
      </c>
      <c r="O25" s="99">
        <v>200</v>
      </c>
      <c r="P25" s="99">
        <v>150</v>
      </c>
      <c r="Q25" s="99">
        <v>3.125</v>
      </c>
      <c r="R25" s="99">
        <v>50</v>
      </c>
      <c r="S25" s="99">
        <v>1.1000000000000001</v>
      </c>
      <c r="T25" s="99">
        <v>1.3</v>
      </c>
      <c r="U25" s="99">
        <v>1.9</v>
      </c>
      <c r="V25" s="99">
        <v>2.7970000000000002</v>
      </c>
      <c r="W25" s="99">
        <v>1</v>
      </c>
      <c r="X25" s="99">
        <v>34</v>
      </c>
      <c r="Y25" s="99">
        <v>25</v>
      </c>
      <c r="Z25" s="99">
        <v>300</v>
      </c>
      <c r="AA25" s="99">
        <v>111</v>
      </c>
      <c r="AB25" s="99">
        <v>1.2</v>
      </c>
      <c r="AC25" s="99" t="s">
        <v>95</v>
      </c>
      <c r="AD25" s="99" t="s">
        <v>95</v>
      </c>
      <c r="AE25" s="99" t="s">
        <v>95</v>
      </c>
      <c r="AF25" s="99">
        <v>3.3E-3</v>
      </c>
      <c r="AG25" s="99" t="s">
        <v>95</v>
      </c>
      <c r="AH25" s="99" t="s">
        <v>95</v>
      </c>
      <c r="AI25" s="99">
        <v>2.3999999999999998E-3</v>
      </c>
      <c r="AJ25" s="99">
        <v>0.42</v>
      </c>
      <c r="AK25" s="99">
        <v>13.3</v>
      </c>
      <c r="AL25" s="99">
        <v>4.9000000000000004</v>
      </c>
      <c r="AM25" s="99">
        <v>3.1</v>
      </c>
      <c r="AN25" s="99">
        <v>27.8</v>
      </c>
      <c r="AO25" s="99">
        <v>2.0499999999999998</v>
      </c>
      <c r="AP25" s="99">
        <v>2.04</v>
      </c>
      <c r="AQ25" s="99">
        <v>2.1</v>
      </c>
      <c r="AR25" s="99">
        <v>3.5</v>
      </c>
      <c r="AS25" s="99">
        <v>1.6</v>
      </c>
      <c r="AT25" s="99">
        <v>5.0999999999999996</v>
      </c>
      <c r="AU25" s="99">
        <v>0.15</v>
      </c>
      <c r="AV25" s="99">
        <v>0.115</v>
      </c>
      <c r="AW25" s="99">
        <v>0.2</v>
      </c>
      <c r="AX25" s="99">
        <v>12.5</v>
      </c>
      <c r="AY25" s="99">
        <v>10</v>
      </c>
      <c r="AZ25" s="99">
        <v>0.01</v>
      </c>
      <c r="BA25" s="99">
        <v>3.9</v>
      </c>
      <c r="BB25" s="99">
        <v>0.5</v>
      </c>
      <c r="BC25" s="99">
        <v>190</v>
      </c>
      <c r="BD25" s="99">
        <v>0.85</v>
      </c>
      <c r="BE25" s="99">
        <v>190</v>
      </c>
      <c r="BF25" s="99">
        <v>25</v>
      </c>
      <c r="BG25" s="99">
        <v>6</v>
      </c>
      <c r="BH25" s="99">
        <v>25</v>
      </c>
      <c r="BI25" s="99">
        <v>0.01</v>
      </c>
      <c r="BJ25" s="99">
        <v>0.37</v>
      </c>
      <c r="BK25" s="99" t="s">
        <v>94</v>
      </c>
      <c r="BL25" s="99">
        <v>0.8</v>
      </c>
      <c r="BM25" s="99" t="s">
        <v>95</v>
      </c>
      <c r="BN25" s="99">
        <v>1155</v>
      </c>
      <c r="BO25" s="99">
        <v>2.66</v>
      </c>
      <c r="BP25" s="99" t="s">
        <v>93</v>
      </c>
      <c r="BQ25" s="99" t="s">
        <v>147</v>
      </c>
      <c r="BR25" s="99" t="s">
        <v>95</v>
      </c>
      <c r="BS25" s="99">
        <v>2.4</v>
      </c>
      <c r="BT25" s="99">
        <v>3.1</v>
      </c>
      <c r="BU25" s="99">
        <v>41</v>
      </c>
      <c r="BV25" s="99">
        <v>3.5</v>
      </c>
      <c r="BW25" s="99">
        <v>5.3</v>
      </c>
      <c r="BX25" s="99" t="s">
        <v>95</v>
      </c>
      <c r="BY25" s="99" t="s">
        <v>115</v>
      </c>
      <c r="BZ25" s="99" t="s">
        <v>95</v>
      </c>
      <c r="CA25" s="99" t="s">
        <v>95</v>
      </c>
      <c r="CB25" s="99">
        <v>41033</v>
      </c>
      <c r="CC25" s="99">
        <v>42577</v>
      </c>
      <c r="CD25" s="99">
        <v>2485</v>
      </c>
      <c r="CE25" s="99">
        <v>0.59499999999999997</v>
      </c>
    </row>
    <row r="26" spans="1:83" x14ac:dyDescent="0.25">
      <c r="A26" s="99" t="s">
        <v>148</v>
      </c>
      <c r="B26" s="99">
        <v>146</v>
      </c>
      <c r="C26" s="99" t="s">
        <v>93</v>
      </c>
      <c r="D26" s="99" t="s">
        <v>93</v>
      </c>
      <c r="E26" s="99" t="s">
        <v>111</v>
      </c>
      <c r="F26" s="99" t="s">
        <v>112</v>
      </c>
      <c r="G26" s="99" t="s">
        <v>136</v>
      </c>
      <c r="H26" s="99" t="s">
        <v>94</v>
      </c>
      <c r="I26" s="99">
        <v>1</v>
      </c>
      <c r="J26" s="99">
        <v>0</v>
      </c>
      <c r="K26" s="99">
        <v>1</v>
      </c>
      <c r="L26" s="99">
        <v>25</v>
      </c>
      <c r="M26" s="99">
        <v>16</v>
      </c>
      <c r="N26" s="99">
        <v>113</v>
      </c>
      <c r="O26" s="99">
        <v>141</v>
      </c>
      <c r="P26" s="99">
        <v>150</v>
      </c>
      <c r="Q26" s="99">
        <v>3.125</v>
      </c>
      <c r="R26" s="99">
        <v>50</v>
      </c>
      <c r="S26" s="99">
        <v>1.9</v>
      </c>
      <c r="T26" s="99">
        <v>1.4</v>
      </c>
      <c r="U26" s="99">
        <v>2.1</v>
      </c>
      <c r="V26" s="99">
        <v>3.2</v>
      </c>
      <c r="W26" s="99">
        <v>1</v>
      </c>
      <c r="X26" s="99">
        <v>21</v>
      </c>
      <c r="Y26" s="99">
        <v>25</v>
      </c>
      <c r="Z26" s="99">
        <v>300</v>
      </c>
      <c r="AA26" s="99">
        <v>60</v>
      </c>
      <c r="AB26" s="99">
        <v>0.8</v>
      </c>
      <c r="AC26" s="99" t="s">
        <v>95</v>
      </c>
      <c r="AD26" s="99" t="s">
        <v>95</v>
      </c>
      <c r="AE26" s="99" t="s">
        <v>95</v>
      </c>
      <c r="AF26" s="99">
        <v>6.7999999999999996E-3</v>
      </c>
      <c r="AG26" s="99" t="s">
        <v>95</v>
      </c>
      <c r="AH26" s="99" t="s">
        <v>95</v>
      </c>
      <c r="AI26" s="99">
        <v>4.4999999999999997E-3</v>
      </c>
      <c r="AJ26" s="99">
        <v>0.49</v>
      </c>
      <c r="AK26" s="99">
        <v>6.7</v>
      </c>
      <c r="AL26" s="99">
        <v>2.2999999999999998</v>
      </c>
      <c r="AM26" s="99">
        <v>1.8</v>
      </c>
      <c r="AN26" s="99">
        <v>14</v>
      </c>
      <c r="AO26" s="99">
        <v>1.06</v>
      </c>
      <c r="AP26" s="99">
        <v>0.99</v>
      </c>
      <c r="AQ26" s="99">
        <v>1.1399999999999999</v>
      </c>
      <c r="AR26" s="99">
        <v>1.8</v>
      </c>
      <c r="AS26" s="99">
        <v>0.76</v>
      </c>
      <c r="AT26" s="99">
        <v>2.5299999999999998</v>
      </c>
      <c r="AU26" s="99">
        <v>0.18099999999999999</v>
      </c>
      <c r="AV26" s="99">
        <v>7.4999999999999997E-2</v>
      </c>
      <c r="AW26" s="99">
        <v>0.28299999999999997</v>
      </c>
      <c r="AX26" s="99">
        <v>12.5</v>
      </c>
      <c r="AY26" s="99">
        <v>10</v>
      </c>
      <c r="AZ26" s="99">
        <v>0.01</v>
      </c>
      <c r="BA26" s="99">
        <v>2.2999999999999998</v>
      </c>
      <c r="BB26" s="99">
        <v>0.55000000000000004</v>
      </c>
      <c r="BC26" s="99">
        <v>110</v>
      </c>
      <c r="BD26" s="99">
        <v>1</v>
      </c>
      <c r="BE26" s="99">
        <v>110</v>
      </c>
      <c r="BF26" s="99">
        <v>25</v>
      </c>
      <c r="BG26" s="99">
        <v>4.8</v>
      </c>
      <c r="BH26" s="99">
        <v>25</v>
      </c>
      <c r="BI26" s="99">
        <v>0.01</v>
      </c>
      <c r="BJ26" s="99">
        <v>0.75</v>
      </c>
      <c r="BK26" s="99" t="s">
        <v>94</v>
      </c>
      <c r="BL26" s="99">
        <v>0.8</v>
      </c>
      <c r="BM26" s="99" t="s">
        <v>95</v>
      </c>
      <c r="BN26" s="99">
        <v>1155</v>
      </c>
      <c r="BO26" s="99">
        <v>1.3</v>
      </c>
      <c r="BP26" s="99" t="s">
        <v>93</v>
      </c>
      <c r="BQ26" s="99" t="s">
        <v>149</v>
      </c>
      <c r="BR26" s="99" t="s">
        <v>95</v>
      </c>
      <c r="BS26" s="99">
        <v>1.6</v>
      </c>
      <c r="BT26" s="99">
        <v>3.2</v>
      </c>
      <c r="BU26" s="99">
        <v>17</v>
      </c>
      <c r="BV26" s="99">
        <v>1.9</v>
      </c>
      <c r="BW26" s="99">
        <v>3.1</v>
      </c>
      <c r="BX26" s="99" t="s">
        <v>95</v>
      </c>
      <c r="BY26" s="99" t="s">
        <v>115</v>
      </c>
      <c r="BZ26" s="99" t="s">
        <v>95</v>
      </c>
      <c r="CA26" s="99" t="s">
        <v>95</v>
      </c>
      <c r="CB26" s="99">
        <v>41033</v>
      </c>
      <c r="CC26" s="99">
        <v>42577</v>
      </c>
      <c r="CD26" s="99">
        <v>2487</v>
      </c>
      <c r="CE26" s="99">
        <v>0.45900000000000002</v>
      </c>
    </row>
    <row r="27" spans="1:83" x14ac:dyDescent="0.25">
      <c r="A27" s="99" t="s">
        <v>150</v>
      </c>
      <c r="B27" s="99">
        <v>146</v>
      </c>
      <c r="C27" s="99" t="s">
        <v>93</v>
      </c>
      <c r="D27" s="99" t="s">
        <v>93</v>
      </c>
      <c r="E27" s="99" t="s">
        <v>111</v>
      </c>
      <c r="F27" s="99" t="s">
        <v>120</v>
      </c>
      <c r="G27" s="99" t="s">
        <v>151</v>
      </c>
      <c r="H27" s="99" t="s">
        <v>94</v>
      </c>
      <c r="I27" s="99">
        <v>1</v>
      </c>
      <c r="J27" s="99">
        <v>0</v>
      </c>
      <c r="K27" s="99">
        <v>1</v>
      </c>
      <c r="L27" s="99">
        <v>25</v>
      </c>
      <c r="M27" s="99">
        <v>16</v>
      </c>
      <c r="N27" s="99">
        <v>60</v>
      </c>
      <c r="O27" s="99">
        <v>90</v>
      </c>
      <c r="P27" s="99">
        <v>150</v>
      </c>
      <c r="Q27" s="99">
        <v>2.6</v>
      </c>
      <c r="R27" s="99">
        <v>59</v>
      </c>
      <c r="S27" s="99">
        <v>3.5</v>
      </c>
      <c r="T27" s="99">
        <v>1.7</v>
      </c>
      <c r="U27" s="99">
        <v>2.2999999999999998</v>
      </c>
      <c r="V27" s="99">
        <v>3.47</v>
      </c>
      <c r="W27" s="99">
        <v>1</v>
      </c>
      <c r="X27" s="99">
        <v>17.5</v>
      </c>
      <c r="Y27" s="99">
        <v>17</v>
      </c>
      <c r="Z27" s="99">
        <v>300</v>
      </c>
      <c r="AA27" s="99">
        <v>38</v>
      </c>
      <c r="AB27" s="99">
        <v>0.9</v>
      </c>
      <c r="AC27" s="99" t="s">
        <v>95</v>
      </c>
      <c r="AD27" s="99" t="s">
        <v>95</v>
      </c>
      <c r="AE27" s="99" t="s">
        <v>95</v>
      </c>
      <c r="AF27" s="99">
        <v>1.24E-2</v>
      </c>
      <c r="AG27" s="99" t="s">
        <v>95</v>
      </c>
      <c r="AH27" s="99">
        <v>6.7999999999999996E-3</v>
      </c>
      <c r="AI27" s="99">
        <v>8.2000000000000007E-3</v>
      </c>
      <c r="AJ27" s="99">
        <v>0.45</v>
      </c>
      <c r="AK27" s="99">
        <v>4</v>
      </c>
      <c r="AL27" s="99">
        <v>1.5</v>
      </c>
      <c r="AM27" s="99">
        <v>1.1000000000000001</v>
      </c>
      <c r="AN27" s="99">
        <v>8</v>
      </c>
      <c r="AO27" s="99">
        <v>0.63700000000000001</v>
      </c>
      <c r="AP27" s="99">
        <v>0.6</v>
      </c>
      <c r="AQ27" s="99">
        <v>0.67100000000000004</v>
      </c>
      <c r="AR27" s="99">
        <v>1.0900000000000001</v>
      </c>
      <c r="AS27" s="99">
        <v>0.48</v>
      </c>
      <c r="AT27" s="99">
        <v>1.5</v>
      </c>
      <c r="AU27" s="99">
        <v>9.4299999999999995E-2</v>
      </c>
      <c r="AV27" s="99">
        <v>0.04</v>
      </c>
      <c r="AW27" s="99">
        <v>0.13500000000000001</v>
      </c>
      <c r="AX27" s="99">
        <v>12.5</v>
      </c>
      <c r="AY27" s="99">
        <v>10</v>
      </c>
      <c r="AZ27" s="99">
        <v>0.01</v>
      </c>
      <c r="BA27" s="99">
        <v>1.2</v>
      </c>
      <c r="BB27" s="99">
        <v>0.6</v>
      </c>
      <c r="BC27" s="99">
        <v>80</v>
      </c>
      <c r="BD27" s="99">
        <v>0.65</v>
      </c>
      <c r="BE27" s="99">
        <v>80</v>
      </c>
      <c r="BF27" s="99">
        <v>25</v>
      </c>
      <c r="BG27" s="99">
        <v>2</v>
      </c>
      <c r="BH27" s="99">
        <v>25</v>
      </c>
      <c r="BI27" s="99">
        <v>0.01</v>
      </c>
      <c r="BJ27" s="99">
        <v>0.625</v>
      </c>
      <c r="BK27" s="99" t="s">
        <v>94</v>
      </c>
      <c r="BL27" s="99">
        <v>0.85</v>
      </c>
      <c r="BM27" s="99" t="s">
        <v>95</v>
      </c>
      <c r="BN27" s="99">
        <v>1154</v>
      </c>
      <c r="BO27" s="99">
        <v>0.53600000000000003</v>
      </c>
      <c r="BP27" s="99" t="s">
        <v>93</v>
      </c>
      <c r="BQ27" s="99" t="s">
        <v>152</v>
      </c>
      <c r="BR27" s="99" t="s">
        <v>95</v>
      </c>
      <c r="BS27" s="99">
        <v>1.8</v>
      </c>
      <c r="BT27" s="99">
        <v>3.8</v>
      </c>
      <c r="BU27" s="99">
        <v>13.8</v>
      </c>
      <c r="BV27" s="99">
        <v>1</v>
      </c>
      <c r="BW27" s="99">
        <v>2.1</v>
      </c>
      <c r="BX27" s="99" t="s">
        <v>95</v>
      </c>
      <c r="BY27" s="99" t="s">
        <v>122</v>
      </c>
      <c r="BZ27" s="99" t="s">
        <v>95</v>
      </c>
      <c r="CA27" s="99" t="s">
        <v>95</v>
      </c>
      <c r="CB27" s="99">
        <v>40742</v>
      </c>
      <c r="CC27" s="99">
        <v>42599</v>
      </c>
      <c r="CD27" s="99">
        <v>2489</v>
      </c>
      <c r="CE27" s="99">
        <v>0.29299999999999998</v>
      </c>
    </row>
    <row r="28" spans="1:83" x14ac:dyDescent="0.25">
      <c r="A28" s="99" t="s">
        <v>153</v>
      </c>
      <c r="B28" s="99">
        <v>146</v>
      </c>
      <c r="C28" s="99" t="s">
        <v>93</v>
      </c>
      <c r="D28" s="99" t="s">
        <v>93</v>
      </c>
      <c r="E28" s="99" t="s">
        <v>111</v>
      </c>
      <c r="F28" s="99" t="s">
        <v>132</v>
      </c>
      <c r="G28" s="99" t="s">
        <v>154</v>
      </c>
      <c r="H28" s="99" t="s">
        <v>94</v>
      </c>
      <c r="I28" s="99">
        <v>1</v>
      </c>
      <c r="J28" s="99">
        <v>0</v>
      </c>
      <c r="K28" s="99">
        <v>1</v>
      </c>
      <c r="L28" s="99">
        <v>25</v>
      </c>
      <c r="M28" s="99">
        <v>16</v>
      </c>
      <c r="N28" s="99">
        <v>59</v>
      </c>
      <c r="O28" s="99">
        <v>158</v>
      </c>
      <c r="P28" s="99">
        <v>150</v>
      </c>
      <c r="Q28" s="99">
        <v>3.125</v>
      </c>
      <c r="R28" s="99">
        <v>50</v>
      </c>
      <c r="S28" s="99">
        <v>3.8</v>
      </c>
      <c r="T28" s="99">
        <v>1.6</v>
      </c>
      <c r="U28" s="99">
        <v>2.2999999999999998</v>
      </c>
      <c r="V28" s="99">
        <v>3.23</v>
      </c>
      <c r="W28" s="99">
        <v>1</v>
      </c>
      <c r="X28" s="99">
        <v>18.2</v>
      </c>
      <c r="Y28" s="99">
        <v>17</v>
      </c>
      <c r="Z28" s="99">
        <v>300</v>
      </c>
      <c r="AA28" s="99">
        <v>38</v>
      </c>
      <c r="AB28" s="99">
        <v>0.7</v>
      </c>
      <c r="AC28" s="99" t="s">
        <v>95</v>
      </c>
      <c r="AD28" s="99" t="s">
        <v>95</v>
      </c>
      <c r="AE28" s="99" t="s">
        <v>95</v>
      </c>
      <c r="AF28" s="99">
        <v>1.2E-2</v>
      </c>
      <c r="AG28" s="99" t="s">
        <v>95</v>
      </c>
      <c r="AH28" s="99" t="s">
        <v>95</v>
      </c>
      <c r="AI28" s="99">
        <v>8.5000000000000006E-3</v>
      </c>
      <c r="AJ28" s="99">
        <v>0.43</v>
      </c>
      <c r="AK28" s="99">
        <v>3.9</v>
      </c>
      <c r="AL28" s="99">
        <v>1.5</v>
      </c>
      <c r="AM28" s="99">
        <v>1.1000000000000001</v>
      </c>
      <c r="AN28" s="99">
        <v>7.9</v>
      </c>
      <c r="AO28" s="99">
        <v>0.6</v>
      </c>
      <c r="AP28" s="99">
        <v>0.57999999999999996</v>
      </c>
      <c r="AQ28" s="99">
        <v>0.629</v>
      </c>
      <c r="AR28" s="99">
        <v>1.1000000000000001</v>
      </c>
      <c r="AS28" s="99">
        <v>0.46</v>
      </c>
      <c r="AT28" s="99">
        <v>1.49</v>
      </c>
      <c r="AU28" s="99">
        <v>8.6599999999999996E-2</v>
      </c>
      <c r="AV28" s="99">
        <v>0.04</v>
      </c>
      <c r="AW28" s="99">
        <v>0.123</v>
      </c>
      <c r="AX28" s="99">
        <v>12.5</v>
      </c>
      <c r="AY28" s="99">
        <v>10</v>
      </c>
      <c r="AZ28" s="99">
        <v>0.01</v>
      </c>
      <c r="BA28" s="99">
        <v>1.2</v>
      </c>
      <c r="BB28" s="99">
        <v>0.7</v>
      </c>
      <c r="BC28" s="99">
        <v>80</v>
      </c>
      <c r="BD28" s="99">
        <v>25</v>
      </c>
      <c r="BE28" s="99">
        <v>2.1</v>
      </c>
      <c r="BF28" s="99">
        <v>25</v>
      </c>
      <c r="BG28" s="99">
        <v>0.01</v>
      </c>
      <c r="BH28" s="99">
        <v>25</v>
      </c>
      <c r="BI28" s="99">
        <v>0.01</v>
      </c>
      <c r="BJ28" s="99">
        <v>1.36</v>
      </c>
      <c r="BK28" s="99" t="s">
        <v>94</v>
      </c>
      <c r="BL28" s="99">
        <v>0.85</v>
      </c>
      <c r="BM28" s="99" t="s">
        <v>95</v>
      </c>
      <c r="BN28" s="99">
        <v>1155</v>
      </c>
      <c r="BO28" s="99">
        <v>0.74</v>
      </c>
      <c r="BP28" s="99" t="s">
        <v>93</v>
      </c>
      <c r="BQ28" s="99" t="s">
        <v>155</v>
      </c>
      <c r="BR28" s="99" t="s">
        <v>95</v>
      </c>
      <c r="BS28" s="99">
        <v>1.4</v>
      </c>
      <c r="BT28" s="99">
        <v>3.5</v>
      </c>
      <c r="BU28" s="99">
        <v>14</v>
      </c>
      <c r="BV28" s="99">
        <v>1.1000000000000001</v>
      </c>
      <c r="BW28" s="99">
        <v>1.8</v>
      </c>
      <c r="BX28" s="99" t="s">
        <v>95</v>
      </c>
      <c r="BY28" s="99" t="s">
        <v>115</v>
      </c>
      <c r="BZ28" s="99" t="s">
        <v>95</v>
      </c>
      <c r="CA28" s="99" t="s">
        <v>95</v>
      </c>
      <c r="CB28" s="99">
        <v>41033</v>
      </c>
      <c r="CC28" s="99">
        <v>42577</v>
      </c>
      <c r="CD28" s="99">
        <v>2490</v>
      </c>
      <c r="CE28" s="99">
        <v>0.24399999999999999</v>
      </c>
    </row>
    <row r="29" spans="1:83" x14ac:dyDescent="0.25">
      <c r="A29" s="99" t="s">
        <v>156</v>
      </c>
      <c r="B29" s="99">
        <v>146</v>
      </c>
      <c r="C29" s="99" t="s">
        <v>93</v>
      </c>
      <c r="D29" s="99" t="s">
        <v>93</v>
      </c>
      <c r="E29" s="99" t="s">
        <v>111</v>
      </c>
      <c r="F29" s="99" t="s">
        <v>120</v>
      </c>
      <c r="G29" s="99" t="s">
        <v>157</v>
      </c>
      <c r="H29" s="99" t="s">
        <v>94</v>
      </c>
      <c r="I29" s="99">
        <v>1</v>
      </c>
      <c r="J29" s="99">
        <v>0</v>
      </c>
      <c r="K29" s="99">
        <v>1</v>
      </c>
      <c r="L29" s="99">
        <v>25</v>
      </c>
      <c r="M29" s="99">
        <v>16</v>
      </c>
      <c r="N29" s="99">
        <v>50</v>
      </c>
      <c r="O29" s="99">
        <v>130</v>
      </c>
      <c r="P29" s="99">
        <v>150</v>
      </c>
      <c r="Q29" s="99">
        <v>2.87</v>
      </c>
      <c r="R29" s="99">
        <v>55</v>
      </c>
      <c r="S29" s="99">
        <v>3.5</v>
      </c>
      <c r="T29" s="99">
        <v>1.7</v>
      </c>
      <c r="U29" s="99">
        <v>2.2999999999999998</v>
      </c>
      <c r="V29" s="99">
        <v>3.25</v>
      </c>
      <c r="W29" s="99">
        <v>1</v>
      </c>
      <c r="X29" s="99">
        <v>15.5</v>
      </c>
      <c r="Y29" s="99">
        <v>10</v>
      </c>
      <c r="Z29" s="99">
        <v>300</v>
      </c>
      <c r="AA29" s="99">
        <v>30</v>
      </c>
      <c r="AB29" s="99">
        <v>0.8</v>
      </c>
      <c r="AC29" s="99" t="s">
        <v>95</v>
      </c>
      <c r="AD29" s="99" t="s">
        <v>95</v>
      </c>
      <c r="AE29" s="99" t="s">
        <v>95</v>
      </c>
      <c r="AF29" s="99">
        <v>1.4999999999999999E-2</v>
      </c>
      <c r="AG29" s="99" t="s">
        <v>95</v>
      </c>
      <c r="AH29" s="99" t="s">
        <v>95</v>
      </c>
      <c r="AI29" s="99">
        <v>0.01</v>
      </c>
      <c r="AJ29" s="99">
        <v>0.42</v>
      </c>
      <c r="AK29" s="99">
        <v>2.9</v>
      </c>
      <c r="AL29" s="99">
        <v>1.2</v>
      </c>
      <c r="AM29" s="99">
        <v>0.9</v>
      </c>
      <c r="AN29" s="99">
        <v>6.1</v>
      </c>
      <c r="AO29" s="99">
        <v>0.49</v>
      </c>
      <c r="AP29" s="99">
        <v>0.42</v>
      </c>
      <c r="AQ29" s="99">
        <v>0.49</v>
      </c>
      <c r="AR29" s="99">
        <v>0.8</v>
      </c>
      <c r="AS29" s="99">
        <v>0.33</v>
      </c>
      <c r="AT29" s="99">
        <v>1.01</v>
      </c>
      <c r="AU29" s="99">
        <v>7.0000000000000007E-2</v>
      </c>
      <c r="AV29" s="99">
        <v>3.3000000000000002E-2</v>
      </c>
      <c r="AW29" s="99">
        <v>0.09</v>
      </c>
      <c r="AX29" s="99">
        <v>12.5</v>
      </c>
      <c r="AY29" s="99">
        <v>10</v>
      </c>
      <c r="AZ29" s="99">
        <v>0.1</v>
      </c>
      <c r="BA29" s="99">
        <v>7</v>
      </c>
      <c r="BB29" s="99">
        <v>1.1000000000000001</v>
      </c>
      <c r="BC29" s="99">
        <v>75</v>
      </c>
      <c r="BD29" s="99">
        <v>9.5</v>
      </c>
      <c r="BE29" s="99">
        <v>8.5</v>
      </c>
      <c r="BF29" s="99">
        <v>25</v>
      </c>
      <c r="BG29" s="99">
        <v>1.2</v>
      </c>
      <c r="BH29" s="99">
        <v>25</v>
      </c>
      <c r="BI29" s="99">
        <v>0.1</v>
      </c>
      <c r="BJ29" s="99">
        <v>0.47599999999999998</v>
      </c>
      <c r="BK29" s="99" t="s">
        <v>94</v>
      </c>
      <c r="BL29" s="99">
        <v>0.85</v>
      </c>
      <c r="BM29" s="99" t="s">
        <v>95</v>
      </c>
      <c r="BN29" s="99">
        <v>1154</v>
      </c>
      <c r="BO29" s="99">
        <v>0.4</v>
      </c>
      <c r="BP29" s="99" t="s">
        <v>93</v>
      </c>
      <c r="BQ29" s="99" t="s">
        <v>158</v>
      </c>
      <c r="BR29" s="99" t="s">
        <v>95</v>
      </c>
      <c r="BS29" s="99">
        <v>1.6</v>
      </c>
      <c r="BT29" s="99">
        <v>3.25</v>
      </c>
      <c r="BU29" s="99">
        <v>11.7</v>
      </c>
      <c r="BV29" s="99">
        <v>0.7</v>
      </c>
      <c r="BW29" s="99">
        <v>1.5</v>
      </c>
      <c r="BX29" s="99" t="s">
        <v>95</v>
      </c>
      <c r="BY29" s="99" t="s">
        <v>122</v>
      </c>
      <c r="BZ29" s="99" t="s">
        <v>95</v>
      </c>
      <c r="CA29" s="99" t="s">
        <v>95</v>
      </c>
      <c r="CB29" s="99">
        <v>41033</v>
      </c>
      <c r="CC29" s="99">
        <v>42599</v>
      </c>
      <c r="CD29" s="99">
        <v>2491</v>
      </c>
      <c r="CE29" s="99">
        <v>0.251</v>
      </c>
    </row>
    <row r="30" spans="1:83" x14ac:dyDescent="0.25">
      <c r="A30" s="99" t="s">
        <v>159</v>
      </c>
      <c r="B30" s="99">
        <v>146</v>
      </c>
      <c r="C30" s="99" t="s">
        <v>93</v>
      </c>
      <c r="D30" s="99" t="s">
        <v>93</v>
      </c>
      <c r="E30" s="99" t="s">
        <v>111</v>
      </c>
      <c r="F30" s="99" t="s">
        <v>132</v>
      </c>
      <c r="G30" s="99" t="s">
        <v>154</v>
      </c>
      <c r="H30" s="99" t="s">
        <v>94</v>
      </c>
      <c r="I30" s="99">
        <v>1</v>
      </c>
      <c r="J30" s="99">
        <v>0</v>
      </c>
      <c r="K30" s="99">
        <v>1</v>
      </c>
      <c r="L30" s="99">
        <v>25</v>
      </c>
      <c r="M30" s="99">
        <v>16</v>
      </c>
      <c r="N30" s="99">
        <v>52</v>
      </c>
      <c r="O30" s="99">
        <v>91</v>
      </c>
      <c r="P30" s="99">
        <v>150</v>
      </c>
      <c r="Q30" s="99">
        <v>3.125</v>
      </c>
      <c r="R30" s="99">
        <v>50</v>
      </c>
      <c r="S30" s="99">
        <v>3.7</v>
      </c>
      <c r="T30" s="99">
        <v>1.7</v>
      </c>
      <c r="U30" s="99">
        <v>2.2999999999999998</v>
      </c>
      <c r="V30" s="99">
        <v>3.17</v>
      </c>
      <c r="W30" s="99">
        <v>1</v>
      </c>
      <c r="X30" s="99">
        <v>16</v>
      </c>
      <c r="Y30" s="99">
        <v>10</v>
      </c>
      <c r="Z30" s="99">
        <v>300</v>
      </c>
      <c r="AA30" s="99">
        <v>33</v>
      </c>
      <c r="AB30" s="99">
        <v>0.7</v>
      </c>
      <c r="AC30" s="99" t="s">
        <v>95</v>
      </c>
      <c r="AD30" s="99" t="s">
        <v>95</v>
      </c>
      <c r="AE30" s="99" t="s">
        <v>95</v>
      </c>
      <c r="AF30" s="99">
        <v>1.6E-2</v>
      </c>
      <c r="AG30" s="99" t="s">
        <v>95</v>
      </c>
      <c r="AH30" s="99" t="s">
        <v>95</v>
      </c>
      <c r="AI30" s="99">
        <v>1.0999999999999999E-2</v>
      </c>
      <c r="AJ30" s="99">
        <v>0.49</v>
      </c>
      <c r="AK30" s="99">
        <v>2.9</v>
      </c>
      <c r="AL30" s="99">
        <v>1.1000000000000001</v>
      </c>
      <c r="AM30" s="99">
        <v>0.9</v>
      </c>
      <c r="AN30" s="99">
        <v>6.1</v>
      </c>
      <c r="AO30" s="99">
        <v>0.44400000000000001</v>
      </c>
      <c r="AP30" s="99">
        <v>0.41</v>
      </c>
      <c r="AQ30" s="99">
        <v>0.46400000000000002</v>
      </c>
      <c r="AR30" s="99">
        <v>0.79700000000000004</v>
      </c>
      <c r="AS30" s="99">
        <v>0.35</v>
      </c>
      <c r="AT30" s="99">
        <v>1.08</v>
      </c>
      <c r="AU30" s="99">
        <v>6.6000000000000003E-2</v>
      </c>
      <c r="AV30" s="99">
        <v>3.2000000000000001E-2</v>
      </c>
      <c r="AW30" s="99">
        <v>9.11E-2</v>
      </c>
      <c r="AX30" s="99">
        <v>12.5</v>
      </c>
      <c r="AY30" s="99">
        <v>10</v>
      </c>
      <c r="AZ30" s="99">
        <v>0.01</v>
      </c>
      <c r="BA30" s="99">
        <v>1.2</v>
      </c>
      <c r="BB30" s="99">
        <v>0.7</v>
      </c>
      <c r="BC30" s="99">
        <v>85</v>
      </c>
      <c r="BD30" s="99">
        <v>0.8</v>
      </c>
      <c r="BE30" s="99">
        <v>85</v>
      </c>
      <c r="BF30" s="99">
        <v>25</v>
      </c>
      <c r="BG30" s="99">
        <v>2.5</v>
      </c>
      <c r="BH30" s="99">
        <v>25</v>
      </c>
      <c r="BI30" s="99">
        <v>0.01</v>
      </c>
      <c r="BJ30" s="99">
        <v>1.77</v>
      </c>
      <c r="BK30" s="99" t="s">
        <v>94</v>
      </c>
      <c r="BL30" s="99">
        <v>0.85</v>
      </c>
      <c r="BM30" s="99" t="s">
        <v>95</v>
      </c>
      <c r="BN30" s="99">
        <v>1155</v>
      </c>
      <c r="BO30" s="99">
        <v>0.41</v>
      </c>
      <c r="BP30" s="99" t="s">
        <v>93</v>
      </c>
      <c r="BQ30" s="99" t="s">
        <v>160</v>
      </c>
      <c r="BR30" s="99" t="s">
        <v>95</v>
      </c>
      <c r="BS30" s="99">
        <v>1.4</v>
      </c>
      <c r="BT30" s="99">
        <v>3.4</v>
      </c>
      <c r="BU30" s="99">
        <v>12</v>
      </c>
      <c r="BV30" s="99">
        <v>0.7</v>
      </c>
      <c r="BW30" s="99">
        <v>1.4</v>
      </c>
      <c r="BX30" s="99" t="s">
        <v>95</v>
      </c>
      <c r="BY30" s="99" t="s">
        <v>115</v>
      </c>
      <c r="BZ30" s="99" t="s">
        <v>95</v>
      </c>
      <c r="CA30" s="99" t="s">
        <v>95</v>
      </c>
      <c r="CB30" s="99">
        <v>41033</v>
      </c>
      <c r="CC30" s="99">
        <v>42577</v>
      </c>
      <c r="CD30" s="99">
        <v>2492</v>
      </c>
      <c r="CE30" s="99">
        <v>0.254</v>
      </c>
    </row>
    <row r="31" spans="1:83" x14ac:dyDescent="0.25">
      <c r="A31" s="99" t="s">
        <v>161</v>
      </c>
      <c r="B31" s="99">
        <v>146</v>
      </c>
      <c r="C31" s="99" t="s">
        <v>93</v>
      </c>
      <c r="D31" s="99" t="s">
        <v>93</v>
      </c>
      <c r="E31" s="99" t="s">
        <v>111</v>
      </c>
      <c r="F31" s="99" t="s">
        <v>132</v>
      </c>
      <c r="G31" s="99" t="s">
        <v>154</v>
      </c>
      <c r="H31" s="99" t="s">
        <v>94</v>
      </c>
      <c r="I31" s="99">
        <v>1</v>
      </c>
      <c r="J31" s="99">
        <v>0</v>
      </c>
      <c r="K31" s="99">
        <v>1</v>
      </c>
      <c r="L31" s="99">
        <v>25</v>
      </c>
      <c r="M31" s="99">
        <v>16</v>
      </c>
      <c r="N31" s="99">
        <v>100</v>
      </c>
      <c r="O31" s="99">
        <v>156</v>
      </c>
      <c r="P31" s="99">
        <v>150</v>
      </c>
      <c r="Q31" s="99">
        <v>3.125</v>
      </c>
      <c r="R31" s="99">
        <v>50</v>
      </c>
      <c r="S31" s="99">
        <v>2.6</v>
      </c>
      <c r="T31" s="99">
        <v>1.2</v>
      </c>
      <c r="U31" s="99">
        <v>1.9</v>
      </c>
      <c r="V31" s="99">
        <v>2.84</v>
      </c>
      <c r="W31" s="99">
        <v>1</v>
      </c>
      <c r="X31" s="99">
        <v>28</v>
      </c>
      <c r="Y31" s="99">
        <v>24</v>
      </c>
      <c r="Z31" s="99">
        <v>300</v>
      </c>
      <c r="AA31" s="99">
        <v>95</v>
      </c>
      <c r="AB31" s="99">
        <v>0.9</v>
      </c>
      <c r="AC31" s="99" t="s">
        <v>95</v>
      </c>
      <c r="AD31" s="99" t="s">
        <v>95</v>
      </c>
      <c r="AE31" s="99" t="s">
        <v>95</v>
      </c>
      <c r="AF31" s="99">
        <v>5.5999999999999999E-3</v>
      </c>
      <c r="AG31" s="99" t="s">
        <v>95</v>
      </c>
      <c r="AH31" s="99" t="s">
        <v>95</v>
      </c>
      <c r="AI31" s="99">
        <v>3.8999999999999998E-3</v>
      </c>
      <c r="AJ31" s="99">
        <v>0.39900000000000002</v>
      </c>
      <c r="AK31" s="99">
        <v>9</v>
      </c>
      <c r="AL31" s="99">
        <v>6.2</v>
      </c>
      <c r="AM31" s="99">
        <v>2.2000000000000002</v>
      </c>
      <c r="AN31" s="99">
        <v>18.899999999999999</v>
      </c>
      <c r="AO31" s="99">
        <v>1.4419999999999999</v>
      </c>
      <c r="AP31" s="99">
        <v>1.37</v>
      </c>
      <c r="AQ31" s="99">
        <v>1.524</v>
      </c>
      <c r="AR31" s="99">
        <v>2.61</v>
      </c>
      <c r="AS31" s="99">
        <v>1.06</v>
      </c>
      <c r="AT31" s="99">
        <v>3.57</v>
      </c>
      <c r="AU31" s="99">
        <v>0.2</v>
      </c>
      <c r="AV31" s="99">
        <v>8.4000000000000005E-2</v>
      </c>
      <c r="AW31" s="99">
        <v>0.30199999999999999</v>
      </c>
      <c r="AX31" s="99">
        <v>12.5</v>
      </c>
      <c r="AY31" s="99">
        <v>10</v>
      </c>
      <c r="AZ31" s="99">
        <v>0.01</v>
      </c>
      <c r="BA31" s="99">
        <v>3</v>
      </c>
      <c r="BB31" s="99">
        <v>0.47</v>
      </c>
      <c r="BC31" s="99">
        <v>180</v>
      </c>
      <c r="BD31" s="99">
        <v>0.65</v>
      </c>
      <c r="BE31" s="99">
        <v>180</v>
      </c>
      <c r="BF31" s="99">
        <v>25</v>
      </c>
      <c r="BG31" s="99">
        <v>3.9</v>
      </c>
      <c r="BH31" s="99">
        <v>25</v>
      </c>
      <c r="BI31" s="99">
        <v>0.01</v>
      </c>
      <c r="BJ31" s="99">
        <v>0.59</v>
      </c>
      <c r="BK31" s="99" t="s">
        <v>94</v>
      </c>
      <c r="BL31" s="99">
        <v>0.85</v>
      </c>
      <c r="BM31" s="99" t="s">
        <v>95</v>
      </c>
      <c r="BN31" s="99">
        <v>1155</v>
      </c>
      <c r="BO31" s="99">
        <v>1.78</v>
      </c>
      <c r="BP31" s="99" t="s">
        <v>93</v>
      </c>
      <c r="BQ31" s="99" t="s">
        <v>162</v>
      </c>
      <c r="BR31" s="99" t="s">
        <v>95</v>
      </c>
      <c r="BS31" s="99">
        <v>1.8</v>
      </c>
      <c r="BT31" s="99">
        <v>2.9</v>
      </c>
      <c r="BU31" s="99">
        <v>32</v>
      </c>
      <c r="BV31" s="99">
        <v>2.5</v>
      </c>
      <c r="BW31" s="99">
        <v>3.5</v>
      </c>
      <c r="BX31" s="99" t="s">
        <v>95</v>
      </c>
      <c r="BY31" s="99" t="s">
        <v>115</v>
      </c>
      <c r="BZ31" s="99" t="s">
        <v>95</v>
      </c>
      <c r="CA31" s="99" t="s">
        <v>95</v>
      </c>
      <c r="CB31" s="99">
        <v>41033</v>
      </c>
      <c r="CC31" s="99">
        <v>42577</v>
      </c>
      <c r="CD31" s="99">
        <v>2493</v>
      </c>
      <c r="CE31" s="99">
        <v>0.42499999999999999</v>
      </c>
    </row>
    <row r="32" spans="1:83" x14ac:dyDescent="0.25">
      <c r="A32" s="99" t="s">
        <v>163</v>
      </c>
      <c r="B32" s="99">
        <v>146</v>
      </c>
      <c r="C32" s="99" t="s">
        <v>93</v>
      </c>
      <c r="D32" s="99" t="s">
        <v>93</v>
      </c>
      <c r="E32" s="99" t="s">
        <v>111</v>
      </c>
      <c r="F32" s="99" t="s">
        <v>112</v>
      </c>
      <c r="G32" s="99" t="s">
        <v>164</v>
      </c>
      <c r="H32" s="99" t="s">
        <v>94</v>
      </c>
      <c r="I32" s="99">
        <v>1</v>
      </c>
      <c r="J32" s="99">
        <v>0</v>
      </c>
      <c r="K32" s="99">
        <v>1</v>
      </c>
      <c r="L32" s="99">
        <v>25</v>
      </c>
      <c r="M32" s="99">
        <v>16</v>
      </c>
      <c r="N32" s="99">
        <v>100</v>
      </c>
      <c r="O32" s="99">
        <v>213</v>
      </c>
      <c r="P32" s="99">
        <v>150</v>
      </c>
      <c r="Q32" s="99">
        <v>3.125</v>
      </c>
      <c r="R32" s="99">
        <v>50</v>
      </c>
      <c r="S32" s="99">
        <v>1.1000000000000001</v>
      </c>
      <c r="T32" s="99">
        <v>1.3</v>
      </c>
      <c r="U32" s="99">
        <v>2</v>
      </c>
      <c r="V32" s="99">
        <v>3.02</v>
      </c>
      <c r="W32" s="99">
        <v>1</v>
      </c>
      <c r="X32" s="99">
        <v>35</v>
      </c>
      <c r="Y32" s="99">
        <v>30</v>
      </c>
      <c r="Z32" s="99">
        <v>300</v>
      </c>
      <c r="AA32" s="99">
        <v>138</v>
      </c>
      <c r="AB32" s="99">
        <v>1.4</v>
      </c>
      <c r="AC32" s="99" t="s">
        <v>95</v>
      </c>
      <c r="AD32" s="99" t="s">
        <v>95</v>
      </c>
      <c r="AE32" s="99" t="s">
        <v>95</v>
      </c>
      <c r="AF32" s="99">
        <v>2.5999999999999999E-3</v>
      </c>
      <c r="AG32" s="99" t="s">
        <v>95</v>
      </c>
      <c r="AH32" s="99" t="s">
        <v>95</v>
      </c>
      <c r="AI32" s="99">
        <v>1.9E-3</v>
      </c>
      <c r="AJ32" s="99">
        <v>0.46</v>
      </c>
      <c r="AK32" s="99">
        <v>16.600000000000001</v>
      </c>
      <c r="AL32" s="99">
        <v>6</v>
      </c>
      <c r="AM32" s="99">
        <v>4.5</v>
      </c>
      <c r="AN32" s="99">
        <v>35</v>
      </c>
      <c r="AO32" s="99">
        <v>2.88</v>
      </c>
      <c r="AP32" s="99">
        <v>2.81</v>
      </c>
      <c r="AQ32" s="99">
        <v>3.03</v>
      </c>
      <c r="AR32" s="99">
        <v>4.75</v>
      </c>
      <c r="AS32" s="99">
        <v>2.04</v>
      </c>
      <c r="AT32" s="99">
        <v>6.53</v>
      </c>
      <c r="AU32" s="99">
        <v>0.39500000000000002</v>
      </c>
      <c r="AV32" s="99">
        <v>0.14000000000000001</v>
      </c>
      <c r="AW32" s="99">
        <v>0.58599999999999997</v>
      </c>
      <c r="AX32" s="99">
        <v>12.5</v>
      </c>
      <c r="AY32" s="99">
        <v>10</v>
      </c>
      <c r="AZ32" s="99">
        <v>0.01</v>
      </c>
      <c r="BA32" s="99">
        <v>5</v>
      </c>
      <c r="BB32" s="99">
        <v>0.4</v>
      </c>
      <c r="BC32" s="99">
        <v>200</v>
      </c>
      <c r="BD32" s="99">
        <v>1</v>
      </c>
      <c r="BE32" s="99">
        <v>200</v>
      </c>
      <c r="BF32" s="99">
        <v>25</v>
      </c>
      <c r="BG32" s="99">
        <v>8</v>
      </c>
      <c r="BH32" s="99">
        <v>25</v>
      </c>
      <c r="BI32" s="99">
        <v>0.01</v>
      </c>
      <c r="BJ32" s="99">
        <v>0.3</v>
      </c>
      <c r="BK32" s="99" t="s">
        <v>94</v>
      </c>
      <c r="BL32" s="99">
        <v>0.81</v>
      </c>
      <c r="BM32" s="99" t="s">
        <v>95</v>
      </c>
      <c r="BN32" s="99">
        <v>1346</v>
      </c>
      <c r="BO32" s="99">
        <v>2.4</v>
      </c>
      <c r="BP32" s="99" t="s">
        <v>93</v>
      </c>
      <c r="BQ32" s="99" t="s">
        <v>165</v>
      </c>
      <c r="BR32" s="99" t="s">
        <v>95</v>
      </c>
      <c r="BS32" s="99">
        <v>2.8</v>
      </c>
      <c r="BT32" s="99">
        <v>3</v>
      </c>
      <c r="BU32" s="99">
        <v>44</v>
      </c>
      <c r="BV32" s="99">
        <v>4.4000000000000004</v>
      </c>
      <c r="BW32" s="99">
        <v>7.3</v>
      </c>
      <c r="BX32" s="99" t="s">
        <v>95</v>
      </c>
      <c r="BY32" s="99" t="s">
        <v>115</v>
      </c>
      <c r="BZ32" s="99" t="s">
        <v>95</v>
      </c>
      <c r="CA32" s="99" t="s">
        <v>95</v>
      </c>
      <c r="CB32" s="99">
        <v>40764</v>
      </c>
      <c r="CC32" s="99">
        <v>42577</v>
      </c>
      <c r="CD32" s="99">
        <v>2494</v>
      </c>
      <c r="CE32" s="99">
        <v>0.67600000000000005</v>
      </c>
    </row>
    <row r="33" spans="1:83" x14ac:dyDescent="0.25">
      <c r="A33" s="99" t="s">
        <v>166</v>
      </c>
      <c r="B33" s="99">
        <v>146</v>
      </c>
      <c r="C33" s="99" t="s">
        <v>93</v>
      </c>
      <c r="D33" s="99" t="s">
        <v>93</v>
      </c>
      <c r="E33" s="99" t="s">
        <v>111</v>
      </c>
      <c r="F33" s="99" t="s">
        <v>112</v>
      </c>
      <c r="G33" s="99" t="s">
        <v>139</v>
      </c>
      <c r="H33" s="99" t="s">
        <v>94</v>
      </c>
      <c r="I33" s="99">
        <v>1</v>
      </c>
      <c r="J33" s="99">
        <v>0</v>
      </c>
      <c r="K33" s="99">
        <v>1</v>
      </c>
      <c r="L33" s="99">
        <v>25</v>
      </c>
      <c r="M33" s="99">
        <v>16</v>
      </c>
      <c r="N33" s="99">
        <v>100</v>
      </c>
      <c r="O33" s="99">
        <v>200</v>
      </c>
      <c r="P33" s="99">
        <v>150</v>
      </c>
      <c r="Q33" s="99">
        <v>3.125</v>
      </c>
      <c r="R33" s="99">
        <v>50</v>
      </c>
      <c r="S33" s="99">
        <v>1.1000000000000001</v>
      </c>
      <c r="T33" s="99">
        <v>1.2</v>
      </c>
      <c r="U33" s="99">
        <v>1.9</v>
      </c>
      <c r="V33" s="99">
        <v>2.92</v>
      </c>
      <c r="W33" s="99">
        <v>1</v>
      </c>
      <c r="X33" s="99">
        <v>45</v>
      </c>
      <c r="Y33" s="99">
        <v>40</v>
      </c>
      <c r="Z33" s="99">
        <v>300</v>
      </c>
      <c r="AA33" s="99">
        <v>168</v>
      </c>
      <c r="AB33" s="99">
        <v>1.2</v>
      </c>
      <c r="AC33" s="99" t="s">
        <v>95</v>
      </c>
      <c r="AD33" s="99" t="s">
        <v>95</v>
      </c>
      <c r="AE33" s="99" t="s">
        <v>95</v>
      </c>
      <c r="AF33" s="99">
        <v>1.8E-3</v>
      </c>
      <c r="AG33" s="99" t="s">
        <v>95</v>
      </c>
      <c r="AH33" s="99" t="s">
        <v>95</v>
      </c>
      <c r="AI33" s="99">
        <v>1.1000000000000001E-3</v>
      </c>
      <c r="AJ33" s="99">
        <v>0.47</v>
      </c>
      <c r="AK33" s="99">
        <v>21</v>
      </c>
      <c r="AL33" s="99">
        <v>6.5</v>
      </c>
      <c r="AM33" s="99">
        <v>4.8</v>
      </c>
      <c r="AN33" s="99">
        <v>43.5</v>
      </c>
      <c r="AO33" s="99">
        <v>3.42</v>
      </c>
      <c r="AP33" s="99">
        <v>3.15</v>
      </c>
      <c r="AQ33" s="99">
        <v>3.58</v>
      </c>
      <c r="AR33" s="99">
        <v>5.93</v>
      </c>
      <c r="AS33" s="99">
        <v>2.5299999999999998</v>
      </c>
      <c r="AT33" s="99">
        <v>8.0399999999999991</v>
      </c>
      <c r="AU33" s="99">
        <v>0.45900000000000002</v>
      </c>
      <c r="AV33" s="99">
        <v>0.17499999999999999</v>
      </c>
      <c r="AW33" s="99">
        <v>0.68200000000000005</v>
      </c>
      <c r="AX33" s="99">
        <v>12.5</v>
      </c>
      <c r="AY33" s="99">
        <v>10</v>
      </c>
      <c r="AZ33" s="99">
        <v>0.1</v>
      </c>
      <c r="BA33" s="99">
        <v>60.89</v>
      </c>
      <c r="BB33" s="99">
        <v>0.65</v>
      </c>
      <c r="BC33" s="99">
        <v>400</v>
      </c>
      <c r="BD33" s="99">
        <v>1.38</v>
      </c>
      <c r="BE33" s="99">
        <v>400</v>
      </c>
      <c r="BF33" s="99">
        <v>25</v>
      </c>
      <c r="BG33" s="99">
        <v>6.47</v>
      </c>
      <c r="BH33" s="99">
        <v>25</v>
      </c>
      <c r="BI33" s="99">
        <v>0.1</v>
      </c>
      <c r="BJ33" s="99">
        <v>0.24</v>
      </c>
      <c r="BK33" s="99" t="s">
        <v>94</v>
      </c>
      <c r="BL33" s="99">
        <v>0.85</v>
      </c>
      <c r="BM33" s="99" t="s">
        <v>95</v>
      </c>
      <c r="BN33" s="99">
        <v>1155</v>
      </c>
      <c r="BO33" s="99">
        <v>8.3000000000000007</v>
      </c>
      <c r="BP33" s="99" t="s">
        <v>93</v>
      </c>
      <c r="BQ33" s="99" t="s">
        <v>167</v>
      </c>
      <c r="BR33" s="99" t="s">
        <v>95</v>
      </c>
      <c r="BS33" s="99">
        <v>2.4</v>
      </c>
      <c r="BT33" s="99">
        <v>3</v>
      </c>
      <c r="BU33" s="99">
        <v>72</v>
      </c>
      <c r="BV33" s="99">
        <v>5.2</v>
      </c>
      <c r="BW33" s="99">
        <v>8.3000000000000007</v>
      </c>
      <c r="BX33" s="99" t="s">
        <v>95</v>
      </c>
      <c r="BY33" s="99" t="s">
        <v>115</v>
      </c>
      <c r="BZ33" s="99" t="s">
        <v>95</v>
      </c>
      <c r="CA33" s="99" t="s">
        <v>95</v>
      </c>
      <c r="CB33" s="99">
        <v>41030</v>
      </c>
      <c r="CC33" s="99">
        <v>42577</v>
      </c>
      <c r="CD33" s="99">
        <v>2495</v>
      </c>
      <c r="CE33" s="99">
        <v>0.84299999999999997</v>
      </c>
    </row>
    <row r="34" spans="1:83" x14ac:dyDescent="0.25">
      <c r="A34" s="99" t="s">
        <v>168</v>
      </c>
      <c r="B34" s="99">
        <v>146</v>
      </c>
      <c r="C34" s="99" t="s">
        <v>93</v>
      </c>
      <c r="D34" s="99" t="s">
        <v>93</v>
      </c>
      <c r="E34" s="99" t="s">
        <v>111</v>
      </c>
      <c r="F34" s="99" t="s">
        <v>169</v>
      </c>
      <c r="G34" s="99" t="s">
        <v>133</v>
      </c>
      <c r="H34" s="99" t="s">
        <v>94</v>
      </c>
      <c r="I34" s="99">
        <v>1</v>
      </c>
      <c r="J34" s="99">
        <v>0</v>
      </c>
      <c r="K34" s="99">
        <v>1</v>
      </c>
      <c r="L34" s="99">
        <v>25</v>
      </c>
      <c r="M34" s="99">
        <v>20</v>
      </c>
      <c r="N34" s="99">
        <v>100</v>
      </c>
      <c r="O34" s="99">
        <v>400</v>
      </c>
      <c r="P34" s="99">
        <v>150</v>
      </c>
      <c r="Q34" s="99">
        <v>3.125</v>
      </c>
      <c r="R34" s="99">
        <v>50</v>
      </c>
      <c r="S34" s="99">
        <v>1.1000000000000001</v>
      </c>
      <c r="T34" s="99">
        <v>1.2</v>
      </c>
      <c r="U34" s="99">
        <v>1.7</v>
      </c>
      <c r="V34" s="99">
        <v>2.5</v>
      </c>
      <c r="W34" s="99">
        <v>1</v>
      </c>
      <c r="X34" s="99">
        <v>41</v>
      </c>
      <c r="Y34" s="99">
        <v>30</v>
      </c>
      <c r="Z34" s="99">
        <v>300</v>
      </c>
      <c r="AA34" s="99">
        <v>191</v>
      </c>
      <c r="AB34" s="99">
        <v>0.7</v>
      </c>
      <c r="AC34" s="99" t="s">
        <v>95</v>
      </c>
      <c r="AD34" s="99" t="s">
        <v>95</v>
      </c>
      <c r="AE34" s="99" t="s">
        <v>95</v>
      </c>
      <c r="AF34" s="99">
        <v>1.5E-3</v>
      </c>
      <c r="AG34" s="99" t="s">
        <v>95</v>
      </c>
      <c r="AH34" s="99" t="s">
        <v>95</v>
      </c>
      <c r="AI34" s="99">
        <v>1E-3</v>
      </c>
      <c r="AJ34" s="99">
        <v>0.65</v>
      </c>
      <c r="AK34" s="99">
        <v>36</v>
      </c>
      <c r="AL34" s="99">
        <v>18</v>
      </c>
      <c r="AM34" s="99">
        <v>7</v>
      </c>
      <c r="AN34" s="99">
        <v>76</v>
      </c>
      <c r="AO34" s="99">
        <v>5.3</v>
      </c>
      <c r="AP34" s="99">
        <v>4.75</v>
      </c>
      <c r="AQ34" s="99">
        <v>5.62</v>
      </c>
      <c r="AR34" s="99">
        <v>6.85</v>
      </c>
      <c r="AS34" s="99">
        <v>2.27</v>
      </c>
      <c r="AT34" s="99">
        <v>8.9</v>
      </c>
      <c r="AU34" s="99">
        <v>0.75900000000000001</v>
      </c>
      <c r="AV34" s="99">
        <v>0.22</v>
      </c>
      <c r="AW34" s="99">
        <v>1.04</v>
      </c>
      <c r="AX34" s="99">
        <v>12.5</v>
      </c>
      <c r="AY34" s="99">
        <v>10</v>
      </c>
      <c r="AZ34" s="99">
        <v>0.1</v>
      </c>
      <c r="BA34" s="99">
        <v>56.64</v>
      </c>
      <c r="BB34" s="99">
        <v>0.55000000000000004</v>
      </c>
      <c r="BC34" s="99">
        <v>311</v>
      </c>
      <c r="BD34" s="99">
        <v>1.33</v>
      </c>
      <c r="BE34" s="99">
        <v>311</v>
      </c>
      <c r="BF34" s="99">
        <v>25</v>
      </c>
      <c r="BG34" s="99">
        <v>2.59</v>
      </c>
      <c r="BH34" s="99">
        <v>25</v>
      </c>
      <c r="BI34" s="99">
        <v>0.1</v>
      </c>
      <c r="BJ34" s="99">
        <v>0.13</v>
      </c>
      <c r="BK34" s="99" t="s">
        <v>94</v>
      </c>
      <c r="BL34" s="99">
        <v>0.8</v>
      </c>
      <c r="BM34" s="99" t="s">
        <v>95</v>
      </c>
      <c r="BN34" s="99">
        <v>1345</v>
      </c>
      <c r="BO34" s="99">
        <v>4.99</v>
      </c>
      <c r="BP34" s="99" t="s">
        <v>93</v>
      </c>
      <c r="BQ34" s="99" t="s">
        <v>170</v>
      </c>
      <c r="BR34" s="99" t="s">
        <v>95</v>
      </c>
      <c r="BS34" s="99">
        <v>1.4</v>
      </c>
      <c r="BT34" s="99">
        <v>2.8</v>
      </c>
      <c r="BU34" s="99">
        <v>84</v>
      </c>
      <c r="BV34" s="99">
        <v>12</v>
      </c>
      <c r="BW34" s="99">
        <v>11</v>
      </c>
      <c r="BX34" s="99" t="s">
        <v>95</v>
      </c>
      <c r="BY34" s="99" t="s">
        <v>115</v>
      </c>
      <c r="BZ34" s="99" t="s">
        <v>95</v>
      </c>
      <c r="CA34" s="99" t="s">
        <v>95</v>
      </c>
      <c r="CB34" s="99">
        <v>41503</v>
      </c>
      <c r="CC34" s="99">
        <v>42577</v>
      </c>
      <c r="CD34" s="99">
        <v>2496</v>
      </c>
      <c r="CE34" s="99">
        <v>0.78800000000000003</v>
      </c>
    </row>
    <row r="35" spans="1:83" x14ac:dyDescent="0.25">
      <c r="A35" s="99" t="s">
        <v>171</v>
      </c>
      <c r="B35" s="99">
        <v>146</v>
      </c>
      <c r="C35" s="99" t="s">
        <v>93</v>
      </c>
      <c r="D35" s="99" t="s">
        <v>102</v>
      </c>
      <c r="E35" s="99" t="s">
        <v>111</v>
      </c>
      <c r="F35" s="99" t="s">
        <v>172</v>
      </c>
      <c r="G35" s="99" t="s">
        <v>173</v>
      </c>
      <c r="H35" s="99" t="s">
        <v>94</v>
      </c>
      <c r="I35" s="99">
        <v>1</v>
      </c>
      <c r="J35" s="99">
        <v>0</v>
      </c>
      <c r="K35" s="99">
        <v>1</v>
      </c>
      <c r="L35" s="99">
        <v>25</v>
      </c>
      <c r="M35" s="99">
        <v>20</v>
      </c>
      <c r="N35" s="99">
        <v>100</v>
      </c>
      <c r="O35" s="99">
        <v>400</v>
      </c>
      <c r="P35" s="99">
        <v>150</v>
      </c>
      <c r="Q35" s="99">
        <v>3.125</v>
      </c>
      <c r="R35" s="99">
        <v>50</v>
      </c>
      <c r="S35" s="99">
        <v>0.8</v>
      </c>
      <c r="T35" s="99">
        <v>1.1000000000000001</v>
      </c>
      <c r="U35" s="99">
        <v>1.9</v>
      </c>
      <c r="V35" s="99">
        <v>2.5</v>
      </c>
      <c r="W35" s="99">
        <v>1</v>
      </c>
      <c r="X35" s="99">
        <v>21</v>
      </c>
      <c r="Y35" s="99">
        <v>50</v>
      </c>
      <c r="Z35" s="99">
        <v>300</v>
      </c>
      <c r="AA35" s="99">
        <v>278</v>
      </c>
      <c r="AB35" s="99">
        <v>1.8</v>
      </c>
      <c r="AC35" s="99" t="s">
        <v>95</v>
      </c>
      <c r="AD35" s="99" t="s">
        <v>95</v>
      </c>
      <c r="AE35" s="99" t="s">
        <v>95</v>
      </c>
      <c r="AF35" s="99">
        <v>8.0000000000000004E-4</v>
      </c>
      <c r="AG35" s="99" t="s">
        <v>95</v>
      </c>
      <c r="AH35" s="99" t="s">
        <v>95</v>
      </c>
      <c r="AI35" s="99">
        <v>5.0000000000000001E-4</v>
      </c>
      <c r="AJ35" s="99">
        <v>0.59</v>
      </c>
      <c r="AK35" s="99">
        <v>192</v>
      </c>
      <c r="AL35" s="99">
        <v>47</v>
      </c>
      <c r="AM35" s="99">
        <v>15</v>
      </c>
      <c r="AN35" s="99">
        <v>191</v>
      </c>
      <c r="AO35" s="99">
        <v>12.8</v>
      </c>
      <c r="AP35" s="99">
        <v>10.7</v>
      </c>
      <c r="AQ35" s="99">
        <v>13.7</v>
      </c>
      <c r="AR35" s="99">
        <v>4.72</v>
      </c>
      <c r="AS35" s="99">
        <v>1.66</v>
      </c>
      <c r="AT35" s="99">
        <v>6.02</v>
      </c>
      <c r="AU35" s="99">
        <v>2.37</v>
      </c>
      <c r="AV35" s="99">
        <v>0.996</v>
      </c>
      <c r="AW35" s="99">
        <v>3.24</v>
      </c>
      <c r="AX35" s="99">
        <v>12.5</v>
      </c>
      <c r="AY35" s="99">
        <v>10</v>
      </c>
      <c r="AZ35" s="99">
        <v>0.1</v>
      </c>
      <c r="BA35" s="99">
        <v>106.5</v>
      </c>
      <c r="BB35" s="99">
        <v>0.37</v>
      </c>
      <c r="BC35" s="99">
        <v>400</v>
      </c>
      <c r="BD35" s="99">
        <v>0.68</v>
      </c>
      <c r="BE35" s="99">
        <v>400</v>
      </c>
      <c r="BF35" s="99">
        <v>25</v>
      </c>
      <c r="BG35" s="99">
        <v>2.57</v>
      </c>
      <c r="BH35" s="99">
        <v>25</v>
      </c>
      <c r="BI35" s="99">
        <v>0.1</v>
      </c>
      <c r="BJ35" s="99">
        <v>5.6000000000000001E-2</v>
      </c>
      <c r="BK35" s="99" t="s">
        <v>94</v>
      </c>
      <c r="BL35" s="99">
        <v>0.8</v>
      </c>
      <c r="BM35" s="99" t="s">
        <v>95</v>
      </c>
      <c r="BN35" s="99" t="s">
        <v>95</v>
      </c>
      <c r="BO35" s="99" t="s">
        <v>95</v>
      </c>
      <c r="BP35" s="99" t="s">
        <v>93</v>
      </c>
      <c r="BQ35" s="99" t="s">
        <v>174</v>
      </c>
      <c r="BR35" s="99" t="s">
        <v>95</v>
      </c>
      <c r="BS35" s="99">
        <v>3.6</v>
      </c>
      <c r="BT35" s="99">
        <v>2.6</v>
      </c>
      <c r="BU35" s="99">
        <v>34</v>
      </c>
      <c r="BV35" s="99">
        <v>31</v>
      </c>
      <c r="BW35" s="99">
        <v>29</v>
      </c>
      <c r="BX35" s="99" t="s">
        <v>95</v>
      </c>
      <c r="BY35" s="99" t="s">
        <v>115</v>
      </c>
      <c r="BZ35" s="99" t="s">
        <v>94</v>
      </c>
      <c r="CA35" s="99" t="s">
        <v>95</v>
      </c>
      <c r="CB35" s="99">
        <v>42577</v>
      </c>
      <c r="CC35" s="99">
        <v>42664</v>
      </c>
      <c r="CD35" s="99">
        <v>2497</v>
      </c>
      <c r="CE35" s="99">
        <v>0.753</v>
      </c>
    </row>
    <row r="36" spans="1:83" x14ac:dyDescent="0.25">
      <c r="A36" s="99" t="s">
        <v>175</v>
      </c>
      <c r="B36" s="99">
        <v>146</v>
      </c>
      <c r="C36" s="99" t="s">
        <v>93</v>
      </c>
      <c r="D36" s="99" t="s">
        <v>93</v>
      </c>
      <c r="E36" s="99" t="s">
        <v>111</v>
      </c>
      <c r="F36" s="99" t="s">
        <v>132</v>
      </c>
      <c r="G36" s="99" t="s">
        <v>113</v>
      </c>
      <c r="H36" s="99" t="s">
        <v>94</v>
      </c>
      <c r="I36" s="99">
        <v>1</v>
      </c>
      <c r="J36" s="99">
        <v>0</v>
      </c>
      <c r="K36" s="99">
        <v>1</v>
      </c>
      <c r="L36" s="99">
        <v>30</v>
      </c>
      <c r="M36" s="99">
        <v>10</v>
      </c>
      <c r="N36" s="99">
        <v>100</v>
      </c>
      <c r="O36" s="99">
        <v>181</v>
      </c>
      <c r="P36" s="99">
        <v>150</v>
      </c>
      <c r="Q36" s="99">
        <v>3.125</v>
      </c>
      <c r="R36" s="99">
        <v>50</v>
      </c>
      <c r="S36" s="99">
        <v>2.2000000000000002</v>
      </c>
      <c r="T36" s="99">
        <v>0.9</v>
      </c>
      <c r="U36" s="99">
        <v>1.55</v>
      </c>
      <c r="V36" s="99">
        <v>2.2599999999999998</v>
      </c>
      <c r="W36" s="99">
        <v>1</v>
      </c>
      <c r="X36" s="99">
        <v>33</v>
      </c>
      <c r="Y36" s="99">
        <v>25</v>
      </c>
      <c r="Z36" s="99">
        <v>300</v>
      </c>
      <c r="AA36" s="99">
        <v>149</v>
      </c>
      <c r="AB36" s="99">
        <v>1.3</v>
      </c>
      <c r="AC36" s="99" t="s">
        <v>95</v>
      </c>
      <c r="AD36" s="99" t="s">
        <v>95</v>
      </c>
      <c r="AE36" s="99">
        <v>3.7000000000000002E-3</v>
      </c>
      <c r="AF36" s="99">
        <v>3.0000000000000001E-3</v>
      </c>
      <c r="AG36" s="99" t="s">
        <v>95</v>
      </c>
      <c r="AH36" s="99">
        <v>2.5999999999999999E-3</v>
      </c>
      <c r="AI36" s="99" t="s">
        <v>95</v>
      </c>
      <c r="AJ36" s="99">
        <v>0.61</v>
      </c>
      <c r="AK36" s="99">
        <v>19</v>
      </c>
      <c r="AL36" s="99">
        <v>11</v>
      </c>
      <c r="AM36" s="99">
        <v>2.9</v>
      </c>
      <c r="AN36" s="99">
        <v>4.03</v>
      </c>
      <c r="AO36" s="99">
        <v>2.87</v>
      </c>
      <c r="AP36" s="99">
        <v>2.66</v>
      </c>
      <c r="AQ36" s="99">
        <v>3.18</v>
      </c>
      <c r="AR36" s="99">
        <v>4.3099999999999996</v>
      </c>
      <c r="AS36" s="99">
        <v>1.42</v>
      </c>
      <c r="AT36" s="99">
        <v>6.14</v>
      </c>
      <c r="AU36" s="99">
        <v>0.30099999999999999</v>
      </c>
      <c r="AV36" s="99">
        <v>0.08</v>
      </c>
      <c r="AW36" s="99">
        <v>0.65900000000000003</v>
      </c>
      <c r="AX36" s="99">
        <v>15</v>
      </c>
      <c r="AY36" s="99">
        <v>10</v>
      </c>
      <c r="AZ36" s="99">
        <v>0.01</v>
      </c>
      <c r="BA36" s="99">
        <v>4.7</v>
      </c>
      <c r="BB36" s="99">
        <v>0.5</v>
      </c>
      <c r="BC36" s="99">
        <v>180</v>
      </c>
      <c r="BD36" s="99">
        <v>0.9</v>
      </c>
      <c r="BE36" s="99">
        <v>180</v>
      </c>
      <c r="BF36" s="99">
        <v>25</v>
      </c>
      <c r="BG36" s="99">
        <v>5.7</v>
      </c>
      <c r="BH36" s="99">
        <v>25</v>
      </c>
      <c r="BI36" s="99">
        <v>0.01</v>
      </c>
      <c r="BJ36" s="99">
        <v>0.25</v>
      </c>
      <c r="BK36" s="99" t="s">
        <v>94</v>
      </c>
      <c r="BL36" s="99">
        <v>0.8</v>
      </c>
      <c r="BM36" s="99" t="s">
        <v>95</v>
      </c>
      <c r="BN36" s="99">
        <v>1155</v>
      </c>
      <c r="BO36" s="99">
        <v>3.48</v>
      </c>
      <c r="BP36" s="99" t="s">
        <v>93</v>
      </c>
      <c r="BQ36" s="99" t="s">
        <v>176</v>
      </c>
      <c r="BR36" s="99" t="s">
        <v>95</v>
      </c>
      <c r="BS36" s="99">
        <v>2.6</v>
      </c>
      <c r="BT36" s="99">
        <v>2.15</v>
      </c>
      <c r="BU36" s="99">
        <v>50</v>
      </c>
      <c r="BV36" s="99">
        <v>4.3</v>
      </c>
      <c r="BW36" s="99">
        <v>5.7</v>
      </c>
      <c r="BX36" s="99" t="s">
        <v>95</v>
      </c>
      <c r="BY36" s="99" t="s">
        <v>115</v>
      </c>
      <c r="BZ36" s="99" t="s">
        <v>95</v>
      </c>
      <c r="CA36" s="99" t="s">
        <v>95</v>
      </c>
      <c r="CB36" s="99">
        <v>40763</v>
      </c>
      <c r="CC36" s="99">
        <v>42577</v>
      </c>
      <c r="CD36" s="99">
        <v>2498</v>
      </c>
      <c r="CE36" s="99">
        <v>0.53100000000000003</v>
      </c>
    </row>
    <row r="37" spans="1:83" x14ac:dyDescent="0.25">
      <c r="A37" s="99" t="s">
        <v>177</v>
      </c>
      <c r="B37" s="99">
        <v>146</v>
      </c>
      <c r="C37" s="99" t="s">
        <v>93</v>
      </c>
      <c r="D37" s="99" t="s">
        <v>93</v>
      </c>
      <c r="E37" s="99" t="s">
        <v>111</v>
      </c>
      <c r="F37" s="99" t="s">
        <v>132</v>
      </c>
      <c r="G37" s="99" t="s">
        <v>117</v>
      </c>
      <c r="H37" s="99" t="s">
        <v>94</v>
      </c>
      <c r="I37" s="99">
        <v>1</v>
      </c>
      <c r="J37" s="99">
        <v>0</v>
      </c>
      <c r="K37" s="99">
        <v>1</v>
      </c>
      <c r="L37" s="99">
        <v>30</v>
      </c>
      <c r="M37" s="99">
        <v>10</v>
      </c>
      <c r="N37" s="99">
        <v>87</v>
      </c>
      <c r="O37" s="99">
        <v>104</v>
      </c>
      <c r="P37" s="99">
        <v>150</v>
      </c>
      <c r="Q37" s="99">
        <v>3.125</v>
      </c>
      <c r="R37" s="99">
        <v>50</v>
      </c>
      <c r="S37" s="99">
        <v>1.8</v>
      </c>
      <c r="T37" s="99">
        <v>0.9</v>
      </c>
      <c r="U37" s="99">
        <v>1.7</v>
      </c>
      <c r="V37" s="99">
        <v>2.2799999999999998</v>
      </c>
      <c r="W37" s="99">
        <v>1</v>
      </c>
      <c r="X37" s="99">
        <v>17.5</v>
      </c>
      <c r="Y37" s="99">
        <v>14</v>
      </c>
      <c r="Z37" s="99">
        <v>300</v>
      </c>
      <c r="AA37" s="99">
        <v>68</v>
      </c>
      <c r="AB37" s="99">
        <v>0.8</v>
      </c>
      <c r="AC37" s="99" t="s">
        <v>95</v>
      </c>
      <c r="AD37" s="99" t="s">
        <v>95</v>
      </c>
      <c r="AE37" s="99">
        <v>1.2800000000000001E-2</v>
      </c>
      <c r="AF37" s="99">
        <v>8.9999999999999993E-3</v>
      </c>
      <c r="AG37" s="99" t="s">
        <v>95</v>
      </c>
      <c r="AH37" s="99">
        <v>7.9000000000000008E-3</v>
      </c>
      <c r="AI37" s="99" t="s">
        <v>95</v>
      </c>
      <c r="AJ37" s="99">
        <v>0.56000000000000005</v>
      </c>
      <c r="AK37" s="99">
        <v>5.4</v>
      </c>
      <c r="AL37" s="99">
        <v>3</v>
      </c>
      <c r="AM37" s="99">
        <v>0.9</v>
      </c>
      <c r="AN37" s="99">
        <v>11.2</v>
      </c>
      <c r="AO37" s="99">
        <v>0.78400000000000003</v>
      </c>
      <c r="AP37" s="99">
        <v>0.73</v>
      </c>
      <c r="AQ37" s="99">
        <v>0.871</v>
      </c>
      <c r="AR37" s="99">
        <v>1.17</v>
      </c>
      <c r="AS37" s="99">
        <v>0.39</v>
      </c>
      <c r="AT37" s="99">
        <v>1.64</v>
      </c>
      <c r="AU37" s="99">
        <v>9.98E-2</v>
      </c>
      <c r="AV37" s="99">
        <v>3.5000000000000003E-2</v>
      </c>
      <c r="AW37" s="99">
        <v>0.18099999999999999</v>
      </c>
      <c r="AX37" s="99">
        <v>15</v>
      </c>
      <c r="AY37" s="99">
        <v>10</v>
      </c>
      <c r="AZ37" s="99">
        <v>0.01</v>
      </c>
      <c r="BA37" s="99">
        <v>1.2</v>
      </c>
      <c r="BB37" s="99">
        <v>0.8</v>
      </c>
      <c r="BC37" s="99">
        <v>90</v>
      </c>
      <c r="BD37" s="99">
        <v>25</v>
      </c>
      <c r="BE37" s="99">
        <v>2.2999999999999998</v>
      </c>
      <c r="BF37" s="99">
        <v>25</v>
      </c>
      <c r="BG37" s="99">
        <v>0.1</v>
      </c>
      <c r="BH37" s="99">
        <v>25</v>
      </c>
      <c r="BI37" s="99">
        <v>0.01</v>
      </c>
      <c r="BJ37" s="99">
        <v>0.92</v>
      </c>
      <c r="BK37" s="99" t="s">
        <v>94</v>
      </c>
      <c r="BL37" s="99">
        <v>0.85</v>
      </c>
      <c r="BM37" s="99" t="s">
        <v>95</v>
      </c>
      <c r="BN37" s="99">
        <v>1155</v>
      </c>
      <c r="BO37" s="99">
        <v>0.95</v>
      </c>
      <c r="BP37" s="99" t="s">
        <v>93</v>
      </c>
      <c r="BQ37" s="99" t="s">
        <v>178</v>
      </c>
      <c r="BR37" s="99" t="s">
        <v>95</v>
      </c>
      <c r="BS37" s="99">
        <v>1.6</v>
      </c>
      <c r="BT37" s="99">
        <v>2.2000000000000002</v>
      </c>
      <c r="BU37" s="99">
        <v>15.4</v>
      </c>
      <c r="BV37" s="99">
        <v>1.2</v>
      </c>
      <c r="BW37" s="99">
        <v>1.7</v>
      </c>
      <c r="BX37" s="99" t="s">
        <v>95</v>
      </c>
      <c r="BY37" s="99" t="s">
        <v>115</v>
      </c>
      <c r="BZ37" s="99" t="s">
        <v>95</v>
      </c>
      <c r="CA37" s="99" t="s">
        <v>95</v>
      </c>
      <c r="CB37" s="99">
        <v>40777</v>
      </c>
      <c r="CC37" s="99">
        <v>42577</v>
      </c>
      <c r="CD37" s="99">
        <v>2499</v>
      </c>
      <c r="CE37" s="99">
        <v>0.308</v>
      </c>
    </row>
    <row r="38" spans="1:83" x14ac:dyDescent="0.25">
      <c r="A38" s="99" t="s">
        <v>179</v>
      </c>
      <c r="B38" s="99">
        <v>146</v>
      </c>
      <c r="C38" s="99" t="s">
        <v>93</v>
      </c>
      <c r="D38" s="99" t="s">
        <v>93</v>
      </c>
      <c r="E38" s="99" t="s">
        <v>111</v>
      </c>
      <c r="F38" s="99" t="s">
        <v>112</v>
      </c>
      <c r="G38" s="99" t="s">
        <v>180</v>
      </c>
      <c r="H38" s="99" t="s">
        <v>94</v>
      </c>
      <c r="I38" s="99">
        <v>1</v>
      </c>
      <c r="J38" s="99">
        <v>0</v>
      </c>
      <c r="K38" s="99">
        <v>1</v>
      </c>
      <c r="L38" s="99">
        <v>30</v>
      </c>
      <c r="M38" s="99">
        <v>10</v>
      </c>
      <c r="N38" s="99">
        <v>100</v>
      </c>
      <c r="O38" s="99">
        <v>200</v>
      </c>
      <c r="P38" s="99">
        <v>150</v>
      </c>
      <c r="Q38" s="99">
        <v>3.125</v>
      </c>
      <c r="R38" s="99">
        <v>50</v>
      </c>
      <c r="S38" s="99">
        <v>1.1000000000000001</v>
      </c>
      <c r="T38" s="99">
        <v>0.9</v>
      </c>
      <c r="U38" s="99">
        <v>1.6</v>
      </c>
      <c r="V38" s="99">
        <v>2.29</v>
      </c>
      <c r="W38" s="99">
        <v>1</v>
      </c>
      <c r="X38" s="99">
        <v>33</v>
      </c>
      <c r="Y38" s="99">
        <v>25</v>
      </c>
      <c r="Z38" s="99">
        <v>300</v>
      </c>
      <c r="AA38" s="99">
        <v>114</v>
      </c>
      <c r="AB38" s="99">
        <v>1.4</v>
      </c>
      <c r="AC38" s="99" t="s">
        <v>95</v>
      </c>
      <c r="AD38" s="99" t="s">
        <v>95</v>
      </c>
      <c r="AE38" s="99">
        <v>3.7000000000000002E-3</v>
      </c>
      <c r="AF38" s="99">
        <v>2.5999999999999999E-3</v>
      </c>
      <c r="AG38" s="99" t="s">
        <v>95</v>
      </c>
      <c r="AH38" s="99">
        <v>2.3999999999999998E-3</v>
      </c>
      <c r="AI38" s="99" t="s">
        <v>95</v>
      </c>
      <c r="AJ38" s="99">
        <v>0.43</v>
      </c>
      <c r="AK38" s="99">
        <v>18</v>
      </c>
      <c r="AL38" s="99">
        <v>11</v>
      </c>
      <c r="AM38" s="99">
        <v>3</v>
      </c>
      <c r="AN38" s="99">
        <v>39</v>
      </c>
      <c r="AO38" s="99">
        <v>2.83</v>
      </c>
      <c r="AP38" s="99">
        <v>2.63</v>
      </c>
      <c r="AQ38" s="99">
        <v>3.12</v>
      </c>
      <c r="AR38" s="99">
        <v>4.32</v>
      </c>
      <c r="AS38" s="99">
        <v>1.44</v>
      </c>
      <c r="AT38" s="99">
        <v>6.12</v>
      </c>
      <c r="AU38" s="99">
        <v>0.29499999999999998</v>
      </c>
      <c r="AV38" s="99">
        <v>8.3000000000000004E-2</v>
      </c>
      <c r="AW38" s="99">
        <v>0.59799999999999998</v>
      </c>
      <c r="AX38" s="99">
        <v>15</v>
      </c>
      <c r="AY38" s="99">
        <v>10</v>
      </c>
      <c r="AZ38" s="99">
        <v>0.01</v>
      </c>
      <c r="BA38" s="99">
        <v>4.5</v>
      </c>
      <c r="BB38" s="99">
        <v>0.5</v>
      </c>
      <c r="BC38" s="99">
        <v>180</v>
      </c>
      <c r="BD38" s="99">
        <v>1</v>
      </c>
      <c r="BE38" s="99">
        <v>180</v>
      </c>
      <c r="BF38" s="99">
        <v>30</v>
      </c>
      <c r="BG38" s="99">
        <v>6</v>
      </c>
      <c r="BH38" s="99">
        <v>30</v>
      </c>
      <c r="BI38" s="99">
        <v>0.01</v>
      </c>
      <c r="BJ38" s="99">
        <v>0.27</v>
      </c>
      <c r="BK38" s="99" t="s">
        <v>94</v>
      </c>
      <c r="BL38" s="99">
        <v>0.8</v>
      </c>
      <c r="BM38" s="99" t="s">
        <v>95</v>
      </c>
      <c r="BN38" s="99">
        <v>1155</v>
      </c>
      <c r="BO38" s="99">
        <v>3.42</v>
      </c>
      <c r="BP38" s="99" t="s">
        <v>93</v>
      </c>
      <c r="BQ38" s="99" t="s">
        <v>181</v>
      </c>
      <c r="BR38" s="99" t="s">
        <v>95</v>
      </c>
      <c r="BS38" s="99">
        <v>2.8</v>
      </c>
      <c r="BT38" s="99">
        <v>2.2999999999999998</v>
      </c>
      <c r="BU38" s="99">
        <v>50</v>
      </c>
      <c r="BV38" s="99">
        <v>4</v>
      </c>
      <c r="BW38" s="99">
        <v>5.6</v>
      </c>
      <c r="BX38" s="99" t="s">
        <v>95</v>
      </c>
      <c r="BY38" s="99" t="s">
        <v>115</v>
      </c>
      <c r="BZ38" s="99" t="s">
        <v>95</v>
      </c>
      <c r="CA38" s="99" t="s">
        <v>95</v>
      </c>
      <c r="CB38" s="99">
        <v>40763</v>
      </c>
      <c r="CC38" s="99">
        <v>42564</v>
      </c>
      <c r="CD38" s="99">
        <v>2012</v>
      </c>
      <c r="CE38" s="99">
        <v>0.59199999999999997</v>
      </c>
    </row>
    <row r="39" spans="1:83" x14ac:dyDescent="0.25">
      <c r="A39" s="99" t="s">
        <v>182</v>
      </c>
      <c r="B39" s="99">
        <v>146</v>
      </c>
      <c r="C39" s="99" t="s">
        <v>93</v>
      </c>
      <c r="D39" s="99" t="s">
        <v>93</v>
      </c>
      <c r="E39" s="99" t="s">
        <v>111</v>
      </c>
      <c r="F39" s="99" t="s">
        <v>120</v>
      </c>
      <c r="G39" s="99" t="s">
        <v>121</v>
      </c>
      <c r="H39" s="99" t="s">
        <v>94</v>
      </c>
      <c r="I39" s="99">
        <v>1</v>
      </c>
      <c r="J39" s="99">
        <v>0</v>
      </c>
      <c r="K39" s="99">
        <v>1</v>
      </c>
      <c r="L39" s="99">
        <v>30</v>
      </c>
      <c r="M39" s="99">
        <v>10</v>
      </c>
      <c r="N39" s="99">
        <v>56</v>
      </c>
      <c r="O39" s="99">
        <v>88</v>
      </c>
      <c r="P39" s="99">
        <v>150</v>
      </c>
      <c r="Q39" s="99">
        <v>2.7776999999999998</v>
      </c>
      <c r="R39" s="99">
        <v>55</v>
      </c>
      <c r="S39" s="99">
        <v>3.9</v>
      </c>
      <c r="T39" s="99">
        <v>0.9</v>
      </c>
      <c r="U39" s="99">
        <v>1.8</v>
      </c>
      <c r="V39" s="99">
        <v>2.5099999999999998</v>
      </c>
      <c r="W39" s="99">
        <v>1</v>
      </c>
      <c r="X39" s="99">
        <v>17.3</v>
      </c>
      <c r="Y39" s="99">
        <v>17</v>
      </c>
      <c r="Z39" s="99">
        <v>300</v>
      </c>
      <c r="AA39" s="99">
        <v>48</v>
      </c>
      <c r="AB39" s="99">
        <v>1.1000000000000001</v>
      </c>
      <c r="AC39" s="99" t="s">
        <v>95</v>
      </c>
      <c r="AD39" s="99" t="s">
        <v>95</v>
      </c>
      <c r="AE39" s="99">
        <v>1.26E-2</v>
      </c>
      <c r="AF39" s="99">
        <v>8.8000000000000005E-3</v>
      </c>
      <c r="AG39" s="99" t="s">
        <v>95</v>
      </c>
      <c r="AH39" s="99">
        <v>7.4999999999999997E-3</v>
      </c>
      <c r="AI39" s="99" t="s">
        <v>95</v>
      </c>
      <c r="AJ39" s="99">
        <v>0.51</v>
      </c>
      <c r="AK39" s="99">
        <v>5.0999999999999996</v>
      </c>
      <c r="AL39" s="99">
        <v>1.7</v>
      </c>
      <c r="AM39" s="99">
        <v>0.9</v>
      </c>
      <c r="AN39" s="99">
        <v>10.8</v>
      </c>
      <c r="AO39" s="99">
        <v>0.8</v>
      </c>
      <c r="AP39" s="99">
        <v>0.73499999999999999</v>
      </c>
      <c r="AQ39" s="99">
        <v>0.86499999999999999</v>
      </c>
      <c r="AR39" s="99">
        <v>1.3</v>
      </c>
      <c r="AS39" s="99">
        <v>0.39</v>
      </c>
      <c r="AT39" s="99">
        <v>1.76</v>
      </c>
      <c r="AU39" s="99">
        <v>8.8999999999999996E-2</v>
      </c>
      <c r="AV39" s="99">
        <v>2.9000000000000001E-2</v>
      </c>
      <c r="AW39" s="99">
        <v>0.157</v>
      </c>
      <c r="AX39" s="99">
        <v>15</v>
      </c>
      <c r="AY39" s="99">
        <v>10</v>
      </c>
      <c r="AZ39" s="99">
        <v>0.01</v>
      </c>
      <c r="BA39" s="99">
        <v>1</v>
      </c>
      <c r="BB39" s="99">
        <v>0.75</v>
      </c>
      <c r="BC39" s="99">
        <v>80</v>
      </c>
      <c r="BD39" s="99">
        <v>0.9</v>
      </c>
      <c r="BE39" s="99">
        <v>80</v>
      </c>
      <c r="BF39" s="99">
        <v>30</v>
      </c>
      <c r="BG39" s="99">
        <v>2</v>
      </c>
      <c r="BH39" s="99">
        <v>30</v>
      </c>
      <c r="BI39" s="99">
        <v>0.01</v>
      </c>
      <c r="BJ39" s="99">
        <v>0.94</v>
      </c>
      <c r="BK39" s="99" t="s">
        <v>94</v>
      </c>
      <c r="BL39" s="99">
        <v>0.85</v>
      </c>
      <c r="BM39" s="99" t="s">
        <v>95</v>
      </c>
      <c r="BN39" s="99">
        <v>1154</v>
      </c>
      <c r="BO39" s="99">
        <v>0.95499999999999996</v>
      </c>
      <c r="BP39" s="99" t="s">
        <v>93</v>
      </c>
      <c r="BQ39" s="99" t="s">
        <v>183</v>
      </c>
      <c r="BR39" s="99" t="s">
        <v>95</v>
      </c>
      <c r="BS39" s="99">
        <v>2.2000000000000002</v>
      </c>
      <c r="BT39" s="99">
        <v>2.5</v>
      </c>
      <c r="BU39" s="99">
        <v>14.5</v>
      </c>
      <c r="BV39" s="99">
        <v>1.1000000000000001</v>
      </c>
      <c r="BW39" s="99">
        <v>1.8</v>
      </c>
      <c r="BX39" s="99" t="s">
        <v>95</v>
      </c>
      <c r="BY39" s="99" t="s">
        <v>122</v>
      </c>
      <c r="BZ39" s="99" t="s">
        <v>95</v>
      </c>
      <c r="CA39" s="99" t="s">
        <v>95</v>
      </c>
      <c r="CB39" s="99">
        <v>40742</v>
      </c>
      <c r="CC39" s="99">
        <v>42599</v>
      </c>
      <c r="CD39" s="99">
        <v>2013</v>
      </c>
      <c r="CE39" s="99">
        <v>0.26600000000000001</v>
      </c>
    </row>
    <row r="40" spans="1:83" s="103" customFormat="1" x14ac:dyDescent="0.25">
      <c r="A40" s="99" t="s">
        <v>184</v>
      </c>
      <c r="B40" s="99">
        <v>146</v>
      </c>
      <c r="C40" s="99" t="s">
        <v>93</v>
      </c>
      <c r="D40" s="99" t="s">
        <v>93</v>
      </c>
      <c r="E40" s="99" t="s">
        <v>111</v>
      </c>
      <c r="F40" s="99" t="s">
        <v>132</v>
      </c>
      <c r="G40" s="99" t="s">
        <v>117</v>
      </c>
      <c r="H40" s="99" t="s">
        <v>94</v>
      </c>
      <c r="I40" s="99">
        <v>1</v>
      </c>
      <c r="J40" s="99">
        <v>0</v>
      </c>
      <c r="K40" s="99">
        <v>1</v>
      </c>
      <c r="L40" s="99">
        <v>30</v>
      </c>
      <c r="M40" s="99">
        <v>10</v>
      </c>
      <c r="N40" s="99">
        <v>100</v>
      </c>
      <c r="O40" s="99">
        <v>181</v>
      </c>
      <c r="P40" s="99">
        <v>150</v>
      </c>
      <c r="Q40" s="99">
        <v>3.125</v>
      </c>
      <c r="R40" s="99">
        <v>50</v>
      </c>
      <c r="S40" s="99">
        <v>1.3</v>
      </c>
      <c r="T40" s="99">
        <v>0.9</v>
      </c>
      <c r="U40" s="99">
        <v>1.6</v>
      </c>
      <c r="V40" s="99">
        <v>2.34</v>
      </c>
      <c r="W40" s="99">
        <v>1</v>
      </c>
      <c r="X40" s="99">
        <v>27</v>
      </c>
      <c r="Y40" s="99">
        <v>30</v>
      </c>
      <c r="Z40" s="99">
        <v>300</v>
      </c>
      <c r="AA40" s="99">
        <v>139</v>
      </c>
      <c r="AB40" s="99">
        <v>1</v>
      </c>
      <c r="AC40" s="99" t="s">
        <v>95</v>
      </c>
      <c r="AD40" s="99" t="s">
        <v>95</v>
      </c>
      <c r="AE40" s="99">
        <v>5.4000000000000003E-3</v>
      </c>
      <c r="AF40" s="99">
        <v>3.5999999999999999E-3</v>
      </c>
      <c r="AG40" s="99" t="s">
        <v>95</v>
      </c>
      <c r="AH40" s="99">
        <v>3.3999999999999998E-3</v>
      </c>
      <c r="AI40" s="99" t="s">
        <v>95</v>
      </c>
      <c r="AJ40" s="99">
        <v>0.56000000000000005</v>
      </c>
      <c r="AK40" s="99">
        <v>14.1</v>
      </c>
      <c r="AL40" s="99">
        <v>8.5</v>
      </c>
      <c r="AM40" s="99">
        <v>2.2000000000000002</v>
      </c>
      <c r="AN40" s="99">
        <v>31</v>
      </c>
      <c r="AO40" s="99">
        <v>2.15</v>
      </c>
      <c r="AP40" s="99">
        <v>2</v>
      </c>
      <c r="AQ40" s="99">
        <v>2.36</v>
      </c>
      <c r="AR40" s="99">
        <v>3.4</v>
      </c>
      <c r="AS40" s="99">
        <v>1.1000000000000001</v>
      </c>
      <c r="AT40" s="99">
        <v>4.78</v>
      </c>
      <c r="AU40" s="99">
        <v>0.246</v>
      </c>
      <c r="AV40" s="99">
        <v>7.9000000000000001E-2</v>
      </c>
      <c r="AW40" s="99">
        <v>0.497</v>
      </c>
      <c r="AX40" s="99">
        <v>15</v>
      </c>
      <c r="AY40" s="99">
        <v>10</v>
      </c>
      <c r="AZ40" s="99">
        <v>0.01</v>
      </c>
      <c r="BA40" s="99">
        <v>4</v>
      </c>
      <c r="BB40" s="99">
        <v>0.4</v>
      </c>
      <c r="BC40" s="99">
        <v>170</v>
      </c>
      <c r="BD40" s="99">
        <v>0.9</v>
      </c>
      <c r="BE40" s="99">
        <v>170</v>
      </c>
      <c r="BF40" s="99">
        <v>25</v>
      </c>
      <c r="BG40" s="99">
        <v>4.7</v>
      </c>
      <c r="BH40" s="99">
        <v>25</v>
      </c>
      <c r="BI40" s="99">
        <v>0.01</v>
      </c>
      <c r="BJ40" s="99">
        <v>0.28999999999999998</v>
      </c>
      <c r="BK40" s="99" t="s">
        <v>94</v>
      </c>
      <c r="BL40" s="99">
        <v>0.85</v>
      </c>
      <c r="BM40" s="99" t="s">
        <v>95</v>
      </c>
      <c r="BN40" s="99">
        <v>1155</v>
      </c>
      <c r="BO40" s="99">
        <v>2.6</v>
      </c>
      <c r="BP40" s="99" t="s">
        <v>93</v>
      </c>
      <c r="BQ40" s="99" t="s">
        <v>185</v>
      </c>
      <c r="BR40" s="99" t="s">
        <v>95</v>
      </c>
      <c r="BS40" s="99">
        <v>2</v>
      </c>
      <c r="BT40" s="99">
        <v>2.1</v>
      </c>
      <c r="BU40" s="99">
        <v>34</v>
      </c>
      <c r="BV40" s="99">
        <v>3</v>
      </c>
      <c r="BW40" s="99">
        <v>4.5</v>
      </c>
      <c r="BX40" s="99" t="s">
        <v>95</v>
      </c>
      <c r="BY40" s="99" t="s">
        <v>115</v>
      </c>
      <c r="BZ40" s="99" t="s">
        <v>95</v>
      </c>
      <c r="CA40" s="99" t="s">
        <v>95</v>
      </c>
      <c r="CB40" s="99">
        <v>40777</v>
      </c>
      <c r="CC40" s="99">
        <v>42577</v>
      </c>
      <c r="CD40" s="99">
        <v>2500</v>
      </c>
      <c r="CE40" s="99">
        <v>0.47099999999999997</v>
      </c>
    </row>
    <row r="41" spans="1:83" x14ac:dyDescent="0.25">
      <c r="A41" s="99" t="s">
        <v>186</v>
      </c>
      <c r="B41" s="99">
        <v>146</v>
      </c>
      <c r="C41" s="99" t="s">
        <v>93</v>
      </c>
      <c r="D41" s="99" t="s">
        <v>93</v>
      </c>
      <c r="E41" s="99" t="s">
        <v>111</v>
      </c>
      <c r="F41" s="99" t="s">
        <v>132</v>
      </c>
      <c r="G41" s="99" t="s">
        <v>117</v>
      </c>
      <c r="H41" s="99" t="s">
        <v>94</v>
      </c>
      <c r="I41" s="99">
        <v>1</v>
      </c>
      <c r="J41" s="99">
        <v>0</v>
      </c>
      <c r="K41" s="99">
        <v>1</v>
      </c>
      <c r="L41" s="99">
        <v>30</v>
      </c>
      <c r="M41" s="99">
        <v>10</v>
      </c>
      <c r="N41" s="99">
        <v>100</v>
      </c>
      <c r="O41" s="99">
        <v>155</v>
      </c>
      <c r="P41" s="99">
        <v>150</v>
      </c>
      <c r="Q41" s="99">
        <v>3.125</v>
      </c>
      <c r="R41" s="99">
        <v>50</v>
      </c>
      <c r="S41" s="99">
        <v>0.9</v>
      </c>
      <c r="T41" s="99">
        <v>0.9</v>
      </c>
      <c r="U41" s="99">
        <v>1.6</v>
      </c>
      <c r="V41" s="99">
        <v>2.14</v>
      </c>
      <c r="W41" s="99">
        <v>1</v>
      </c>
      <c r="X41" s="99">
        <v>25</v>
      </c>
      <c r="Y41" s="99">
        <v>25</v>
      </c>
      <c r="Z41" s="99">
        <v>300</v>
      </c>
      <c r="AA41" s="99">
        <v>105</v>
      </c>
      <c r="AB41" s="99">
        <v>1</v>
      </c>
      <c r="AC41" s="99" t="s">
        <v>95</v>
      </c>
      <c r="AD41" s="99" t="s">
        <v>95</v>
      </c>
      <c r="AE41" s="99">
        <v>5.4000000000000003E-3</v>
      </c>
      <c r="AF41" s="99">
        <v>4.1999999999999997E-3</v>
      </c>
      <c r="AG41" s="99" t="s">
        <v>95</v>
      </c>
      <c r="AH41" s="99">
        <v>3.7000000000000002E-3</v>
      </c>
      <c r="AI41" s="99" t="s">
        <v>95</v>
      </c>
      <c r="AJ41" s="99">
        <v>0.53</v>
      </c>
      <c r="AK41" s="99">
        <v>11.8</v>
      </c>
      <c r="AL41" s="99">
        <v>6.7</v>
      </c>
      <c r="AM41" s="99">
        <v>1.8</v>
      </c>
      <c r="AN41" s="99">
        <v>25</v>
      </c>
      <c r="AO41" s="99">
        <v>1.78</v>
      </c>
      <c r="AP41" s="99">
        <v>1.67</v>
      </c>
      <c r="AQ41" s="99">
        <v>1.95</v>
      </c>
      <c r="AR41" s="99">
        <v>2.9</v>
      </c>
      <c r="AS41" s="99">
        <v>0.89</v>
      </c>
      <c r="AT41" s="99">
        <v>4.0599999999999996</v>
      </c>
      <c r="AU41" s="99">
        <v>0.20300000000000001</v>
      </c>
      <c r="AV41" s="99">
        <v>5.6000000000000001E-2</v>
      </c>
      <c r="AW41" s="99">
        <v>0.4</v>
      </c>
      <c r="AX41" s="99">
        <v>15</v>
      </c>
      <c r="AY41" s="99">
        <v>10</v>
      </c>
      <c r="AZ41" s="99">
        <v>0.01</v>
      </c>
      <c r="BA41" s="99">
        <v>2.2000000000000002</v>
      </c>
      <c r="BB41" s="99">
        <v>0.5</v>
      </c>
      <c r="BC41" s="99">
        <v>140</v>
      </c>
      <c r="BD41" s="99">
        <v>2.1</v>
      </c>
      <c r="BE41" s="99">
        <v>140</v>
      </c>
      <c r="BF41" s="99">
        <v>25</v>
      </c>
      <c r="BG41" s="99">
        <v>9</v>
      </c>
      <c r="BH41" s="99">
        <v>25</v>
      </c>
      <c r="BI41" s="99">
        <v>0.01</v>
      </c>
      <c r="BJ41" s="99">
        <v>0.41</v>
      </c>
      <c r="BK41" s="99" t="s">
        <v>94</v>
      </c>
      <c r="BL41" s="99">
        <v>0.85</v>
      </c>
      <c r="BM41" s="99" t="s">
        <v>95</v>
      </c>
      <c r="BN41" s="99">
        <v>1155</v>
      </c>
      <c r="BO41" s="99">
        <v>2.17</v>
      </c>
      <c r="BP41" s="99" t="s">
        <v>93</v>
      </c>
      <c r="BQ41" s="99" t="s">
        <v>187</v>
      </c>
      <c r="BR41" s="99" t="s">
        <v>95</v>
      </c>
      <c r="BS41" s="99">
        <v>2</v>
      </c>
      <c r="BT41" s="99">
        <v>2.0499999999999998</v>
      </c>
      <c r="BU41" s="99">
        <v>27</v>
      </c>
      <c r="BV41" s="99">
        <v>2.4</v>
      </c>
      <c r="BW41" s="99">
        <v>3.5</v>
      </c>
      <c r="BX41" s="99" t="s">
        <v>95</v>
      </c>
      <c r="BY41" s="99" t="s">
        <v>115</v>
      </c>
      <c r="BZ41" s="99" t="s">
        <v>95</v>
      </c>
      <c r="CA41" s="99" t="s">
        <v>95</v>
      </c>
      <c r="CB41" s="99">
        <v>40777</v>
      </c>
      <c r="CC41" s="99">
        <v>42577</v>
      </c>
      <c r="CD41" s="99">
        <v>2501</v>
      </c>
      <c r="CE41" s="99">
        <v>0.40400000000000003</v>
      </c>
    </row>
    <row r="42" spans="1:83" x14ac:dyDescent="0.25">
      <c r="A42" s="99" t="s">
        <v>188</v>
      </c>
      <c r="B42" s="99">
        <v>146</v>
      </c>
      <c r="C42" s="99" t="s">
        <v>93</v>
      </c>
      <c r="D42" s="99" t="s">
        <v>93</v>
      </c>
      <c r="E42" s="99" t="s">
        <v>111</v>
      </c>
      <c r="F42" s="99" t="s">
        <v>132</v>
      </c>
      <c r="G42" s="99" t="s">
        <v>117</v>
      </c>
      <c r="H42" s="99" t="s">
        <v>94</v>
      </c>
      <c r="I42" s="99">
        <v>1</v>
      </c>
      <c r="J42" s="99">
        <v>0</v>
      </c>
      <c r="K42" s="99">
        <v>1</v>
      </c>
      <c r="L42" s="99">
        <v>30</v>
      </c>
      <c r="M42" s="99">
        <v>10</v>
      </c>
      <c r="N42" s="99">
        <v>73</v>
      </c>
      <c r="O42" s="99">
        <v>92</v>
      </c>
      <c r="P42" s="99">
        <v>150</v>
      </c>
      <c r="Q42" s="99">
        <v>3.125</v>
      </c>
      <c r="R42" s="99">
        <v>50</v>
      </c>
      <c r="S42" s="99">
        <v>1.9</v>
      </c>
      <c r="T42" s="99">
        <v>0.9</v>
      </c>
      <c r="U42" s="99">
        <v>1.8</v>
      </c>
      <c r="V42" s="99">
        <v>2.34</v>
      </c>
      <c r="W42" s="99">
        <v>1</v>
      </c>
      <c r="X42" s="99">
        <v>16</v>
      </c>
      <c r="Y42" s="99">
        <v>11</v>
      </c>
      <c r="Z42" s="99">
        <v>300</v>
      </c>
      <c r="AA42" s="99">
        <v>66</v>
      </c>
      <c r="AB42" s="99">
        <v>0.9</v>
      </c>
      <c r="AC42" s="99" t="s">
        <v>95</v>
      </c>
      <c r="AD42" s="99" t="s">
        <v>95</v>
      </c>
      <c r="AE42" s="99">
        <v>1.7299999999999999E-2</v>
      </c>
      <c r="AF42" s="99">
        <v>1.21E-2</v>
      </c>
      <c r="AG42" s="99" t="s">
        <v>95</v>
      </c>
      <c r="AH42" s="99">
        <v>1.0500000000000001E-2</v>
      </c>
      <c r="AI42" s="99" t="s">
        <v>95</v>
      </c>
      <c r="AJ42" s="99">
        <v>0.56999999999999995</v>
      </c>
      <c r="AK42" s="99">
        <v>4</v>
      </c>
      <c r="AL42" s="99">
        <v>2.2999999999999998</v>
      </c>
      <c r="AM42" s="99">
        <v>0.65</v>
      </c>
      <c r="AN42" s="99">
        <v>8.25</v>
      </c>
      <c r="AO42" s="99">
        <v>0.57699999999999996</v>
      </c>
      <c r="AP42" s="99">
        <v>0.53500000000000003</v>
      </c>
      <c r="AQ42" s="99">
        <v>0.63800000000000001</v>
      </c>
      <c r="AR42" s="99">
        <v>0.89</v>
      </c>
      <c r="AS42" s="99">
        <v>0.28999999999999998</v>
      </c>
      <c r="AT42" s="99">
        <v>1.25</v>
      </c>
      <c r="AU42" s="99">
        <v>7.8299999999999995E-2</v>
      </c>
      <c r="AV42" s="99">
        <v>2.8000000000000001E-2</v>
      </c>
      <c r="AW42" s="99">
        <v>0.14599999999999999</v>
      </c>
      <c r="AX42" s="99">
        <v>15</v>
      </c>
      <c r="AY42" s="99">
        <v>10</v>
      </c>
      <c r="AZ42" s="99">
        <v>0.01</v>
      </c>
      <c r="BA42" s="99">
        <v>0.9</v>
      </c>
      <c r="BB42" s="99">
        <v>0.7</v>
      </c>
      <c r="BC42" s="99">
        <v>8</v>
      </c>
      <c r="BD42" s="99">
        <v>0.8</v>
      </c>
      <c r="BE42" s="99">
        <v>80</v>
      </c>
      <c r="BF42" s="99">
        <v>25</v>
      </c>
      <c r="BG42" s="99">
        <v>2</v>
      </c>
      <c r="BH42" s="99">
        <v>25</v>
      </c>
      <c r="BI42" s="99">
        <v>0.01</v>
      </c>
      <c r="BJ42" s="99">
        <v>1.27</v>
      </c>
      <c r="BK42" s="99" t="s">
        <v>94</v>
      </c>
      <c r="BL42" s="99">
        <v>0.85</v>
      </c>
      <c r="BM42" s="99" t="s">
        <v>95</v>
      </c>
      <c r="BN42" s="99">
        <v>1155</v>
      </c>
      <c r="BO42" s="99">
        <v>0.7</v>
      </c>
      <c r="BP42" s="99" t="s">
        <v>93</v>
      </c>
      <c r="BQ42" s="99" t="s">
        <v>189</v>
      </c>
      <c r="BR42" s="99" t="s">
        <v>95</v>
      </c>
      <c r="BS42" s="99">
        <v>1.8</v>
      </c>
      <c r="BT42" s="99">
        <v>2.2999999999999998</v>
      </c>
      <c r="BU42" s="99">
        <v>13</v>
      </c>
      <c r="BV42" s="99">
        <v>1</v>
      </c>
      <c r="BW42" s="99">
        <v>1.3</v>
      </c>
      <c r="BX42" s="99" t="s">
        <v>95</v>
      </c>
      <c r="BY42" s="99" t="s">
        <v>115</v>
      </c>
      <c r="BZ42" s="99" t="s">
        <v>95</v>
      </c>
      <c r="CA42" s="99" t="s">
        <v>95</v>
      </c>
      <c r="CB42" s="99">
        <v>40777</v>
      </c>
      <c r="CC42" s="99">
        <v>42577</v>
      </c>
      <c r="CD42" s="99">
        <v>2502</v>
      </c>
      <c r="CE42" s="99">
        <v>0.20799999999999999</v>
      </c>
    </row>
    <row r="43" spans="1:83" x14ac:dyDescent="0.25">
      <c r="A43" s="99" t="s">
        <v>190</v>
      </c>
      <c r="B43" s="99">
        <v>146</v>
      </c>
      <c r="C43" s="99" t="s">
        <v>93</v>
      </c>
      <c r="D43" s="99" t="s">
        <v>93</v>
      </c>
      <c r="E43" s="99" t="s">
        <v>111</v>
      </c>
      <c r="F43" s="99" t="s">
        <v>120</v>
      </c>
      <c r="G43" s="99" t="s">
        <v>129</v>
      </c>
      <c r="H43" s="99" t="s">
        <v>94</v>
      </c>
      <c r="I43" s="99">
        <v>1</v>
      </c>
      <c r="J43" s="99">
        <v>0</v>
      </c>
      <c r="K43" s="99">
        <v>1</v>
      </c>
      <c r="L43" s="99">
        <v>30</v>
      </c>
      <c r="M43" s="99">
        <v>10</v>
      </c>
      <c r="N43" s="99">
        <v>50</v>
      </c>
      <c r="O43" s="99">
        <v>167</v>
      </c>
      <c r="P43" s="99">
        <v>150</v>
      </c>
      <c r="Q43" s="99">
        <v>2.7776999999999998</v>
      </c>
      <c r="R43" s="99">
        <v>55</v>
      </c>
      <c r="S43" s="99">
        <v>4.5</v>
      </c>
      <c r="T43" s="99">
        <v>0.9</v>
      </c>
      <c r="U43" s="99">
        <v>1.8</v>
      </c>
      <c r="V43" s="99">
        <v>2.35</v>
      </c>
      <c r="W43" s="99">
        <v>1</v>
      </c>
      <c r="X43" s="99">
        <v>14.3</v>
      </c>
      <c r="Y43" s="99">
        <v>10</v>
      </c>
      <c r="Z43" s="99">
        <v>300</v>
      </c>
      <c r="AA43" s="99">
        <v>37</v>
      </c>
      <c r="AB43" s="99">
        <v>0.9</v>
      </c>
      <c r="AC43" s="99" t="s">
        <v>95</v>
      </c>
      <c r="AD43" s="99" t="s">
        <v>95</v>
      </c>
      <c r="AE43" s="99">
        <v>1.6500000000000001E-2</v>
      </c>
      <c r="AF43" s="99">
        <v>1.18E-2</v>
      </c>
      <c r="AG43" s="99" t="s">
        <v>95</v>
      </c>
      <c r="AH43" s="99">
        <v>1.03E-2</v>
      </c>
      <c r="AI43" s="99" t="s">
        <v>95</v>
      </c>
      <c r="AJ43" s="99">
        <v>0.41</v>
      </c>
      <c r="AK43" s="99">
        <v>3.9</v>
      </c>
      <c r="AL43" s="99">
        <v>2.25</v>
      </c>
      <c r="AM43" s="99">
        <v>0.7</v>
      </c>
      <c r="AN43" s="99">
        <v>8.18</v>
      </c>
      <c r="AO43" s="99">
        <v>0.59</v>
      </c>
      <c r="AP43" s="99">
        <v>0.54</v>
      </c>
      <c r="AQ43" s="99">
        <v>0.63400000000000001</v>
      </c>
      <c r="AR43" s="99">
        <v>0.92400000000000004</v>
      </c>
      <c r="AS43" s="99">
        <v>0.28000000000000003</v>
      </c>
      <c r="AT43" s="99">
        <v>1.28</v>
      </c>
      <c r="AU43" s="99">
        <v>7.4800000000000005E-2</v>
      </c>
      <c r="AV43" s="99">
        <v>2.7E-2</v>
      </c>
      <c r="AW43" s="99">
        <v>0.13500000000000001</v>
      </c>
      <c r="AX43" s="99">
        <v>15</v>
      </c>
      <c r="AY43" s="99">
        <v>10</v>
      </c>
      <c r="AZ43" s="99">
        <v>0.1</v>
      </c>
      <c r="BA43" s="99">
        <v>6.85</v>
      </c>
      <c r="BB43" s="99">
        <v>0.81</v>
      </c>
      <c r="BC43" s="99">
        <v>55.8</v>
      </c>
      <c r="BD43" s="99">
        <v>2.04</v>
      </c>
      <c r="BE43" s="99">
        <v>55.8</v>
      </c>
      <c r="BF43" s="99">
        <v>30</v>
      </c>
      <c r="BG43" s="99">
        <v>1.3</v>
      </c>
      <c r="BH43" s="99">
        <v>30</v>
      </c>
      <c r="BI43" s="99">
        <v>0.1</v>
      </c>
      <c r="BJ43" s="99">
        <v>1.3</v>
      </c>
      <c r="BK43" s="99" t="s">
        <v>94</v>
      </c>
      <c r="BL43" s="99">
        <v>0.85</v>
      </c>
      <c r="BM43" s="99" t="s">
        <v>95</v>
      </c>
      <c r="BN43" s="99">
        <v>1154</v>
      </c>
      <c r="BO43" s="99">
        <v>0.7</v>
      </c>
      <c r="BP43" s="99" t="s">
        <v>93</v>
      </c>
      <c r="BQ43" s="99" t="s">
        <v>191</v>
      </c>
      <c r="BR43" s="99" t="s">
        <v>95</v>
      </c>
      <c r="BS43" s="99">
        <v>1.8</v>
      </c>
      <c r="BT43" s="99">
        <v>2.2999999999999998</v>
      </c>
      <c r="BU43" s="99">
        <v>9.3000000000000007</v>
      </c>
      <c r="BV43" s="99">
        <v>0.8</v>
      </c>
      <c r="BW43" s="99">
        <v>1.3</v>
      </c>
      <c r="BX43" s="99" t="s">
        <v>95</v>
      </c>
      <c r="BY43" s="99" t="s">
        <v>122</v>
      </c>
      <c r="BZ43" s="99" t="s">
        <v>95</v>
      </c>
      <c r="CA43" s="99" t="s">
        <v>95</v>
      </c>
      <c r="CB43" s="99">
        <v>40777</v>
      </c>
      <c r="CC43" s="99">
        <v>42599</v>
      </c>
      <c r="CD43" s="99">
        <v>2017</v>
      </c>
      <c r="CE43" s="99">
        <v>0.22900000000000001</v>
      </c>
    </row>
    <row r="44" spans="1:83" x14ac:dyDescent="0.25">
      <c r="A44" s="99" t="s">
        <v>192</v>
      </c>
      <c r="B44" s="99">
        <v>146</v>
      </c>
      <c r="C44" s="99" t="s">
        <v>93</v>
      </c>
      <c r="D44" s="99" t="s">
        <v>93</v>
      </c>
      <c r="E44" s="99" t="s">
        <v>111</v>
      </c>
      <c r="F44" s="99" t="s">
        <v>120</v>
      </c>
      <c r="G44" s="99" t="s">
        <v>121</v>
      </c>
      <c r="H44" s="99" t="s">
        <v>94</v>
      </c>
      <c r="I44" s="99">
        <v>1</v>
      </c>
      <c r="J44" s="99">
        <v>0</v>
      </c>
      <c r="K44" s="99">
        <v>1</v>
      </c>
      <c r="L44" s="99">
        <v>30</v>
      </c>
      <c r="M44" s="99">
        <v>10</v>
      </c>
      <c r="N44" s="99">
        <v>60</v>
      </c>
      <c r="O44" s="99">
        <v>112</v>
      </c>
      <c r="P44" s="99">
        <v>150</v>
      </c>
      <c r="Q44" s="99">
        <v>2.7776999999999998</v>
      </c>
      <c r="R44" s="99">
        <v>55</v>
      </c>
      <c r="S44" s="99">
        <v>2</v>
      </c>
      <c r="T44" s="99">
        <v>0.9</v>
      </c>
      <c r="U44" s="99">
        <v>1.7</v>
      </c>
      <c r="V44" s="99">
        <v>2.4700000000000002</v>
      </c>
      <c r="W44" s="99">
        <v>1</v>
      </c>
      <c r="X44" s="99">
        <v>23</v>
      </c>
      <c r="Y44" s="99">
        <v>18</v>
      </c>
      <c r="Z44" s="99">
        <v>300</v>
      </c>
      <c r="AA44" s="99">
        <v>67</v>
      </c>
      <c r="AB44" s="99">
        <v>1.2</v>
      </c>
      <c r="AC44" s="99" t="s">
        <v>95</v>
      </c>
      <c r="AD44" s="99" t="s">
        <v>95</v>
      </c>
      <c r="AE44" s="99">
        <v>8.5000000000000006E-3</v>
      </c>
      <c r="AF44" s="99">
        <v>6.3E-3</v>
      </c>
      <c r="AG44" s="99" t="s">
        <v>95</v>
      </c>
      <c r="AH44" s="99">
        <v>5.4000000000000003E-3</v>
      </c>
      <c r="AI44" s="99" t="s">
        <v>95</v>
      </c>
      <c r="AJ44" s="99">
        <v>0.39</v>
      </c>
      <c r="AK44" s="99">
        <v>7.5</v>
      </c>
      <c r="AL44" s="99">
        <v>4.5</v>
      </c>
      <c r="AM44" s="99">
        <v>1.3</v>
      </c>
      <c r="AN44" s="99">
        <v>16.399999999999999</v>
      </c>
      <c r="AO44" s="99">
        <v>1.19</v>
      </c>
      <c r="AP44" s="99">
        <v>1.1499999999999999</v>
      </c>
      <c r="AQ44" s="99">
        <v>1.3</v>
      </c>
      <c r="AR44" s="99">
        <v>1.95</v>
      </c>
      <c r="AS44" s="99">
        <v>0.57999999999999996</v>
      </c>
      <c r="AT44" s="99">
        <v>2.71</v>
      </c>
      <c r="AU44" s="99">
        <v>0.14299999999999999</v>
      </c>
      <c r="AV44" s="99">
        <v>4.2999999999999997E-2</v>
      </c>
      <c r="AW44" s="99">
        <v>0.27800000000000002</v>
      </c>
      <c r="AX44" s="99">
        <v>15</v>
      </c>
      <c r="AY44" s="99">
        <v>10</v>
      </c>
      <c r="AZ44" s="99">
        <v>0.01</v>
      </c>
      <c r="BA44" s="99">
        <v>1.7</v>
      </c>
      <c r="BB44" s="99">
        <v>0.5</v>
      </c>
      <c r="BC44" s="99">
        <v>100</v>
      </c>
      <c r="BD44" s="99">
        <v>0.9</v>
      </c>
      <c r="BE44" s="99">
        <v>100</v>
      </c>
      <c r="BF44" s="99">
        <v>30</v>
      </c>
      <c r="BG44" s="99">
        <v>2.7</v>
      </c>
      <c r="BH44" s="99">
        <v>30</v>
      </c>
      <c r="BI44" s="99">
        <v>0.01</v>
      </c>
      <c r="BJ44" s="99">
        <v>0.625</v>
      </c>
      <c r="BK44" s="99" t="s">
        <v>94</v>
      </c>
      <c r="BL44" s="99">
        <v>0.85</v>
      </c>
      <c r="BM44" s="99" t="s">
        <v>95</v>
      </c>
      <c r="BN44" s="99">
        <v>1154</v>
      </c>
      <c r="BO44" s="99">
        <v>1.44</v>
      </c>
      <c r="BP44" s="99" t="s">
        <v>93</v>
      </c>
      <c r="BQ44" s="99" t="s">
        <v>193</v>
      </c>
      <c r="BR44" s="99" t="s">
        <v>95</v>
      </c>
      <c r="BS44" s="99">
        <v>2.4</v>
      </c>
      <c r="BT44" s="99">
        <v>2.2000000000000002</v>
      </c>
      <c r="BU44" s="99">
        <v>30</v>
      </c>
      <c r="BV44" s="99">
        <v>1.7</v>
      </c>
      <c r="BW44" s="99">
        <v>2.5</v>
      </c>
      <c r="BX44" s="99" t="s">
        <v>95</v>
      </c>
      <c r="BY44" s="99" t="s">
        <v>122</v>
      </c>
      <c r="BZ44" s="99" t="s">
        <v>95</v>
      </c>
      <c r="CA44" s="99" t="s">
        <v>95</v>
      </c>
      <c r="CB44" s="99">
        <v>40743</v>
      </c>
      <c r="CC44" s="99">
        <v>42599</v>
      </c>
      <c r="CD44" s="99">
        <v>2018</v>
      </c>
      <c r="CE44" s="99">
        <v>0.34200000000000003</v>
      </c>
    </row>
    <row r="45" spans="1:83" x14ac:dyDescent="0.25">
      <c r="A45" s="99" t="s">
        <v>194</v>
      </c>
      <c r="B45" s="99">
        <v>146</v>
      </c>
      <c r="C45" s="99" t="s">
        <v>93</v>
      </c>
      <c r="D45" s="99" t="s">
        <v>93</v>
      </c>
      <c r="E45" s="99" t="s">
        <v>111</v>
      </c>
      <c r="F45" s="99" t="s">
        <v>132</v>
      </c>
      <c r="G45" s="99" t="s">
        <v>113</v>
      </c>
      <c r="H45" s="99" t="s">
        <v>94</v>
      </c>
      <c r="I45" s="99">
        <v>1</v>
      </c>
      <c r="J45" s="99">
        <v>0</v>
      </c>
      <c r="K45" s="99">
        <v>1</v>
      </c>
      <c r="L45" s="99">
        <v>30</v>
      </c>
      <c r="M45" s="99">
        <v>10</v>
      </c>
      <c r="N45" s="99">
        <v>100</v>
      </c>
      <c r="O45" s="99">
        <v>134</v>
      </c>
      <c r="P45" s="99">
        <v>150</v>
      </c>
      <c r="Q45" s="99">
        <v>3.125</v>
      </c>
      <c r="R45" s="99">
        <v>50</v>
      </c>
      <c r="S45" s="99">
        <v>1.9</v>
      </c>
      <c r="T45" s="99">
        <v>0.9</v>
      </c>
      <c r="U45" s="99">
        <v>1.8</v>
      </c>
      <c r="V45" s="99">
        <v>2.23</v>
      </c>
      <c r="W45" s="99">
        <v>1</v>
      </c>
      <c r="X45" s="99">
        <v>22</v>
      </c>
      <c r="Y45" s="99">
        <v>20</v>
      </c>
      <c r="Z45" s="99">
        <v>300</v>
      </c>
      <c r="AA45" s="99">
        <v>85</v>
      </c>
      <c r="AB45" s="99">
        <v>0.9</v>
      </c>
      <c r="AC45" s="99" t="s">
        <v>95</v>
      </c>
      <c r="AD45" s="99" t="s">
        <v>95</v>
      </c>
      <c r="AE45" s="99">
        <v>7.7999999999999996E-3</v>
      </c>
      <c r="AF45" s="99">
        <v>5.8999999999999999E-3</v>
      </c>
      <c r="AG45" s="99" t="s">
        <v>95</v>
      </c>
      <c r="AH45" s="99">
        <v>5.1000000000000004E-3</v>
      </c>
      <c r="AI45" s="99" t="s">
        <v>95</v>
      </c>
      <c r="AJ45" s="99">
        <v>0.4</v>
      </c>
      <c r="AK45" s="99">
        <v>8.9</v>
      </c>
      <c r="AL45" s="99">
        <v>5.25</v>
      </c>
      <c r="AM45" s="99">
        <v>1.4</v>
      </c>
      <c r="AN45" s="99">
        <v>19.600000000000001</v>
      </c>
      <c r="AO45" s="99">
        <v>1.32</v>
      </c>
      <c r="AP45" s="99">
        <v>1.2</v>
      </c>
      <c r="AQ45" s="99">
        <v>1.46</v>
      </c>
      <c r="AR45" s="99">
        <v>1.98</v>
      </c>
      <c r="AS45" s="99">
        <v>0.63</v>
      </c>
      <c r="AT45" s="99">
        <v>2.81</v>
      </c>
      <c r="AU45" s="99">
        <v>0.17100000000000001</v>
      </c>
      <c r="AV45" s="99">
        <v>5.8999999999999997E-2</v>
      </c>
      <c r="AW45" s="99">
        <v>0.33900000000000002</v>
      </c>
      <c r="AX45" s="99">
        <v>15</v>
      </c>
      <c r="AY45" s="99">
        <v>10</v>
      </c>
      <c r="AZ45" s="99">
        <v>0.01</v>
      </c>
      <c r="BA45" s="99">
        <v>1.9</v>
      </c>
      <c r="BB45" s="99">
        <v>0.6</v>
      </c>
      <c r="BC45" s="99">
        <v>105</v>
      </c>
      <c r="BD45" s="99">
        <v>0.9</v>
      </c>
      <c r="BE45" s="99">
        <v>105</v>
      </c>
      <c r="BF45" s="99">
        <v>25</v>
      </c>
      <c r="BG45" s="99">
        <v>3</v>
      </c>
      <c r="BH45" s="99">
        <v>25</v>
      </c>
      <c r="BI45" s="99">
        <v>0.01</v>
      </c>
      <c r="BJ45" s="99">
        <v>0.52</v>
      </c>
      <c r="BK45" s="99" t="s">
        <v>94</v>
      </c>
      <c r="BL45" s="99">
        <v>0.85</v>
      </c>
      <c r="BM45" s="99" t="s">
        <v>95</v>
      </c>
      <c r="BN45" s="99">
        <v>1155</v>
      </c>
      <c r="BO45" s="99">
        <v>1.53</v>
      </c>
      <c r="BP45" s="99" t="s">
        <v>93</v>
      </c>
      <c r="BQ45" s="99" t="s">
        <v>195</v>
      </c>
      <c r="BR45" s="99" t="s">
        <v>95</v>
      </c>
      <c r="BS45" s="99">
        <v>1.8</v>
      </c>
      <c r="BT45" s="99">
        <v>2.1</v>
      </c>
      <c r="BU45" s="99">
        <v>21</v>
      </c>
      <c r="BV45" s="99">
        <v>2.1</v>
      </c>
      <c r="BW45" s="99">
        <v>2.7</v>
      </c>
      <c r="BX45" s="99" t="s">
        <v>95</v>
      </c>
      <c r="BY45" s="99" t="s">
        <v>115</v>
      </c>
      <c r="BZ45" s="99" t="s">
        <v>95</v>
      </c>
      <c r="CA45" s="99" t="s">
        <v>95</v>
      </c>
      <c r="CB45" s="99">
        <v>40744</v>
      </c>
      <c r="CC45" s="99">
        <v>42577</v>
      </c>
      <c r="CD45" s="99">
        <v>2503</v>
      </c>
      <c r="CE45" s="99">
        <v>0.28899999999999998</v>
      </c>
    </row>
    <row r="46" spans="1:83" x14ac:dyDescent="0.25">
      <c r="A46" s="99" t="s">
        <v>196</v>
      </c>
      <c r="B46" s="99">
        <v>146</v>
      </c>
      <c r="C46" s="99" t="s">
        <v>93</v>
      </c>
      <c r="D46" s="99" t="s">
        <v>93</v>
      </c>
      <c r="E46" s="99" t="s">
        <v>111</v>
      </c>
      <c r="F46" s="99" t="s">
        <v>112</v>
      </c>
      <c r="G46" s="99" t="s">
        <v>180</v>
      </c>
      <c r="H46" s="99" t="s">
        <v>94</v>
      </c>
      <c r="I46" s="99">
        <v>1</v>
      </c>
      <c r="J46" s="99">
        <v>0</v>
      </c>
      <c r="K46" s="99">
        <v>1</v>
      </c>
      <c r="L46" s="99">
        <v>30</v>
      </c>
      <c r="M46" s="99">
        <v>10</v>
      </c>
      <c r="N46" s="99">
        <v>100</v>
      </c>
      <c r="O46" s="99">
        <v>200</v>
      </c>
      <c r="P46" s="99">
        <v>150</v>
      </c>
      <c r="Q46" s="99">
        <v>3.125</v>
      </c>
      <c r="R46" s="99">
        <v>50</v>
      </c>
      <c r="S46" s="99">
        <v>1</v>
      </c>
      <c r="T46" s="99">
        <v>0.9</v>
      </c>
      <c r="U46" s="99">
        <v>1.6</v>
      </c>
      <c r="V46" s="99">
        <v>2.11</v>
      </c>
      <c r="W46" s="99">
        <v>1</v>
      </c>
      <c r="X46" s="99">
        <v>39</v>
      </c>
      <c r="Y46" s="99">
        <v>30</v>
      </c>
      <c r="Z46" s="99">
        <v>300</v>
      </c>
      <c r="AA46" s="99">
        <v>200</v>
      </c>
      <c r="AB46" s="99">
        <v>1.2</v>
      </c>
      <c r="AC46" s="99" t="s">
        <v>95</v>
      </c>
      <c r="AD46" s="99" t="s">
        <v>95</v>
      </c>
      <c r="AE46" s="99">
        <v>3.0999999999999999E-3</v>
      </c>
      <c r="AF46" s="99">
        <v>2.3E-3</v>
      </c>
      <c r="AG46" s="99" t="s">
        <v>95</v>
      </c>
      <c r="AH46" s="99">
        <v>2E-3</v>
      </c>
      <c r="AI46" s="99" t="s">
        <v>95</v>
      </c>
      <c r="AJ46" s="99">
        <v>0.59899999999999998</v>
      </c>
      <c r="AK46" s="99">
        <v>24</v>
      </c>
      <c r="AL46" s="99">
        <v>14</v>
      </c>
      <c r="AM46" s="99">
        <v>3.9</v>
      </c>
      <c r="AN46" s="99">
        <v>51</v>
      </c>
      <c r="AO46" s="99">
        <v>3.5</v>
      </c>
      <c r="AP46" s="99">
        <v>3.29</v>
      </c>
      <c r="AQ46" s="99">
        <v>3.9</v>
      </c>
      <c r="AR46" s="99">
        <v>5.85</v>
      </c>
      <c r="AS46" s="99">
        <v>1.74</v>
      </c>
      <c r="AT46" s="99">
        <v>8.32</v>
      </c>
      <c r="AU46" s="99">
        <v>0.3</v>
      </c>
      <c r="AV46" s="99">
        <v>8.5000000000000006E-2</v>
      </c>
      <c r="AW46" s="99">
        <v>0.79200000000000004</v>
      </c>
      <c r="AX46" s="99">
        <v>15</v>
      </c>
      <c r="AY46" s="99">
        <v>10</v>
      </c>
      <c r="AZ46" s="99">
        <v>0.01</v>
      </c>
      <c r="BA46" s="99">
        <v>4.5</v>
      </c>
      <c r="BB46" s="99">
        <v>0.35</v>
      </c>
      <c r="BC46" s="99">
        <v>180</v>
      </c>
      <c r="BD46" s="99">
        <v>0.95</v>
      </c>
      <c r="BE46" s="99">
        <v>180</v>
      </c>
      <c r="BF46" s="99">
        <v>30</v>
      </c>
      <c r="BG46" s="99">
        <v>5.5</v>
      </c>
      <c r="BH46" s="99">
        <v>30</v>
      </c>
      <c r="BI46" s="99">
        <v>0.01</v>
      </c>
      <c r="BJ46" s="99">
        <v>0.21</v>
      </c>
      <c r="BK46" s="99" t="s">
        <v>94</v>
      </c>
      <c r="BL46" s="99">
        <v>0.85</v>
      </c>
      <c r="BM46" s="99" t="s">
        <v>95</v>
      </c>
      <c r="BN46" s="99">
        <v>1155</v>
      </c>
      <c r="BO46" s="99">
        <v>4.28</v>
      </c>
      <c r="BP46" s="99" t="s">
        <v>93</v>
      </c>
      <c r="BQ46" s="99" t="s">
        <v>197</v>
      </c>
      <c r="BR46" s="99" t="s">
        <v>95</v>
      </c>
      <c r="BS46" s="99">
        <v>2.4</v>
      </c>
      <c r="BT46" s="99">
        <v>2.1</v>
      </c>
      <c r="BU46" s="99">
        <v>74</v>
      </c>
      <c r="BV46" s="99">
        <v>5.2</v>
      </c>
      <c r="BW46" s="99">
        <v>6.6</v>
      </c>
      <c r="BX46" s="99" t="s">
        <v>95</v>
      </c>
      <c r="BY46" s="99" t="s">
        <v>115</v>
      </c>
      <c r="BZ46" s="99" t="s">
        <v>95</v>
      </c>
      <c r="CA46" s="99" t="s">
        <v>95</v>
      </c>
      <c r="CB46" s="99">
        <v>40764</v>
      </c>
      <c r="CC46" s="99">
        <v>42564</v>
      </c>
      <c r="CD46" s="99">
        <v>2020</v>
      </c>
      <c r="CE46" s="99">
        <v>0.67400000000000004</v>
      </c>
    </row>
    <row r="47" spans="1:83" x14ac:dyDescent="0.25">
      <c r="A47" s="99" t="s">
        <v>198</v>
      </c>
      <c r="B47" s="99">
        <v>146</v>
      </c>
      <c r="C47" s="99" t="s">
        <v>93</v>
      </c>
      <c r="D47" s="99" t="s">
        <v>93</v>
      </c>
      <c r="E47" s="99" t="s">
        <v>111</v>
      </c>
      <c r="F47" s="99" t="s">
        <v>112</v>
      </c>
      <c r="G47" s="99" t="s">
        <v>199</v>
      </c>
      <c r="H47" s="99" t="s">
        <v>94</v>
      </c>
      <c r="I47" s="99">
        <v>1</v>
      </c>
      <c r="J47" s="99">
        <v>0</v>
      </c>
      <c r="K47" s="99">
        <v>1</v>
      </c>
      <c r="L47" s="99">
        <v>30</v>
      </c>
      <c r="M47" s="99">
        <v>10</v>
      </c>
      <c r="N47" s="99">
        <v>100</v>
      </c>
      <c r="O47" s="99">
        <v>200</v>
      </c>
      <c r="P47" s="99">
        <v>150</v>
      </c>
      <c r="Q47" s="99">
        <v>3.125</v>
      </c>
      <c r="R47" s="99">
        <v>50</v>
      </c>
      <c r="S47" s="99">
        <v>1</v>
      </c>
      <c r="T47" s="99">
        <v>0.9</v>
      </c>
      <c r="U47" s="99">
        <v>1.5</v>
      </c>
      <c r="V47" s="99">
        <v>2.25</v>
      </c>
      <c r="W47" s="99">
        <v>1</v>
      </c>
      <c r="X47" s="99">
        <v>43</v>
      </c>
      <c r="Y47" s="99">
        <v>35</v>
      </c>
      <c r="Z47" s="99">
        <v>300</v>
      </c>
      <c r="AA47" s="99">
        <v>200</v>
      </c>
      <c r="AB47" s="99">
        <v>1.1000000000000001</v>
      </c>
      <c r="AC47" s="99" t="s">
        <v>95</v>
      </c>
      <c r="AD47" s="99" t="s">
        <v>95</v>
      </c>
      <c r="AE47" s="99">
        <v>2.3999999999999998E-3</v>
      </c>
      <c r="AF47" s="99">
        <v>2.7000000000000001E-3</v>
      </c>
      <c r="AG47" s="99" t="s">
        <v>95</v>
      </c>
      <c r="AH47" s="99">
        <v>1.5E-3</v>
      </c>
      <c r="AI47" s="99" t="s">
        <v>95</v>
      </c>
      <c r="AJ47" s="99">
        <v>0.59899999999999998</v>
      </c>
      <c r="AK47" s="99">
        <v>28</v>
      </c>
      <c r="AL47" s="99">
        <v>16</v>
      </c>
      <c r="AM47" s="99">
        <v>4.4000000000000004</v>
      </c>
      <c r="AN47" s="99">
        <v>61</v>
      </c>
      <c r="AO47" s="99">
        <v>4.32</v>
      </c>
      <c r="AP47" s="99">
        <v>4.05</v>
      </c>
      <c r="AQ47" s="99">
        <v>4.7</v>
      </c>
      <c r="AR47" s="99">
        <v>7.18</v>
      </c>
      <c r="AS47" s="99">
        <v>2.2200000000000002</v>
      </c>
      <c r="AT47" s="99">
        <v>10.1</v>
      </c>
      <c r="AU47" s="99">
        <v>0.375</v>
      </c>
      <c r="AV47" s="99">
        <v>9.2999999999999999E-2</v>
      </c>
      <c r="AW47" s="99">
        <v>0.9</v>
      </c>
      <c r="AX47" s="99">
        <v>15</v>
      </c>
      <c r="AY47" s="99">
        <v>10</v>
      </c>
      <c r="AZ47" s="99">
        <v>0.01</v>
      </c>
      <c r="BA47" s="99">
        <v>5</v>
      </c>
      <c r="BB47" s="99">
        <v>0.4</v>
      </c>
      <c r="BC47" s="99">
        <v>200</v>
      </c>
      <c r="BD47" s="99">
        <v>1.1000000000000001</v>
      </c>
      <c r="BE47" s="99">
        <v>200</v>
      </c>
      <c r="BF47" s="99">
        <v>30</v>
      </c>
      <c r="BG47" s="99">
        <v>7</v>
      </c>
      <c r="BH47" s="99">
        <v>30</v>
      </c>
      <c r="BI47" s="99">
        <v>0.01</v>
      </c>
      <c r="BJ47" s="99">
        <v>0.17</v>
      </c>
      <c r="BK47" s="99" t="s">
        <v>94</v>
      </c>
      <c r="BL47" s="99">
        <v>0.8</v>
      </c>
      <c r="BM47" s="99" t="s">
        <v>95</v>
      </c>
      <c r="BN47" s="99">
        <v>1155</v>
      </c>
      <c r="BO47" s="99">
        <v>5.24</v>
      </c>
      <c r="BP47" s="99" t="s">
        <v>93</v>
      </c>
      <c r="BQ47" s="99" t="s">
        <v>200</v>
      </c>
      <c r="BR47" s="99" t="s">
        <v>95</v>
      </c>
      <c r="BS47" s="99">
        <v>2.2000000000000002</v>
      </c>
      <c r="BT47" s="99">
        <v>2.2999999999999998</v>
      </c>
      <c r="BU47" s="99">
        <v>88</v>
      </c>
      <c r="BV47" s="99">
        <v>6</v>
      </c>
      <c r="BW47" s="99">
        <v>8.4</v>
      </c>
      <c r="BX47" s="99" t="s">
        <v>95</v>
      </c>
      <c r="BY47" s="99" t="s">
        <v>115</v>
      </c>
      <c r="BZ47" s="99" t="s">
        <v>95</v>
      </c>
      <c r="CA47" s="99" t="s">
        <v>95</v>
      </c>
      <c r="CB47" s="99">
        <v>41033</v>
      </c>
      <c r="CC47" s="99">
        <v>42564</v>
      </c>
      <c r="CD47" s="99">
        <v>2021</v>
      </c>
      <c r="CE47" s="99">
        <v>0.76700000000000002</v>
      </c>
    </row>
    <row r="48" spans="1:83" x14ac:dyDescent="0.25">
      <c r="A48" s="99" t="s">
        <v>201</v>
      </c>
      <c r="B48" s="99">
        <v>146</v>
      </c>
      <c r="C48" s="99" t="s">
        <v>93</v>
      </c>
      <c r="D48" s="99" t="s">
        <v>93</v>
      </c>
      <c r="E48" s="99" t="s">
        <v>97</v>
      </c>
      <c r="F48" s="99" t="s">
        <v>98</v>
      </c>
      <c r="G48" s="99" t="s">
        <v>202</v>
      </c>
      <c r="H48" s="99" t="s">
        <v>94</v>
      </c>
      <c r="I48" s="99">
        <v>1</v>
      </c>
      <c r="J48" s="99">
        <v>0</v>
      </c>
      <c r="K48" s="99">
        <v>1</v>
      </c>
      <c r="L48" s="99">
        <v>30</v>
      </c>
      <c r="M48" s="99">
        <v>10</v>
      </c>
      <c r="N48" s="99">
        <v>5</v>
      </c>
      <c r="O48" s="99">
        <v>57</v>
      </c>
      <c r="P48" s="99">
        <v>150</v>
      </c>
      <c r="Q48" s="99">
        <v>2.4</v>
      </c>
      <c r="R48" s="99">
        <v>67</v>
      </c>
      <c r="S48" s="99">
        <v>7.4</v>
      </c>
      <c r="T48" s="99">
        <v>0.9</v>
      </c>
      <c r="U48" s="99">
        <v>1.8</v>
      </c>
      <c r="V48" s="99">
        <v>2.2000000000000002</v>
      </c>
      <c r="W48" s="99">
        <v>1</v>
      </c>
      <c r="X48" s="99">
        <v>12.9</v>
      </c>
      <c r="Y48" s="99">
        <v>4</v>
      </c>
      <c r="Z48" s="99">
        <v>300</v>
      </c>
      <c r="AA48" s="99">
        <v>16</v>
      </c>
      <c r="AB48" s="99">
        <v>1.3</v>
      </c>
      <c r="AC48" s="99" t="s">
        <v>95</v>
      </c>
      <c r="AD48" s="99" t="s">
        <v>95</v>
      </c>
      <c r="AE48" s="99">
        <v>4.2000000000000003E-2</v>
      </c>
      <c r="AF48" s="99">
        <v>3.2000000000000001E-2</v>
      </c>
      <c r="AG48" s="99" t="s">
        <v>95</v>
      </c>
      <c r="AH48" s="99">
        <v>0.03</v>
      </c>
      <c r="AI48" s="99" t="s">
        <v>95</v>
      </c>
      <c r="AJ48" s="99">
        <v>0.48</v>
      </c>
      <c r="AK48" s="99">
        <v>2.1</v>
      </c>
      <c r="AL48" s="99">
        <v>1.25</v>
      </c>
      <c r="AM48" s="99">
        <v>0.3</v>
      </c>
      <c r="AN48" s="99" t="s">
        <v>95</v>
      </c>
      <c r="AO48" s="99">
        <v>0.28999999999999998</v>
      </c>
      <c r="AP48" s="99">
        <v>0.27</v>
      </c>
      <c r="AQ48" s="99">
        <v>0.31</v>
      </c>
      <c r="AR48" s="99">
        <v>0.48</v>
      </c>
      <c r="AS48" s="99">
        <v>0.14000000000000001</v>
      </c>
      <c r="AT48" s="99">
        <v>0.57999999999999996</v>
      </c>
      <c r="AU48" s="99">
        <v>4.4999999999999998E-2</v>
      </c>
      <c r="AV48" s="99">
        <v>1.35E-2</v>
      </c>
      <c r="AW48" s="99">
        <v>6.8000000000000005E-2</v>
      </c>
      <c r="AX48" s="99">
        <v>15</v>
      </c>
      <c r="AY48" s="99">
        <v>10</v>
      </c>
      <c r="AZ48" s="99">
        <v>0.1</v>
      </c>
      <c r="BA48" s="99">
        <v>2.4</v>
      </c>
      <c r="BB48" s="99">
        <v>1</v>
      </c>
      <c r="BC48" s="99">
        <v>22</v>
      </c>
      <c r="BD48" s="99">
        <v>6</v>
      </c>
      <c r="BE48" s="99">
        <v>6.5</v>
      </c>
      <c r="BF48" s="99">
        <v>10</v>
      </c>
      <c r="BG48" s="99">
        <v>3.7</v>
      </c>
      <c r="BH48" s="99">
        <v>30</v>
      </c>
      <c r="BI48" s="99">
        <v>0.1</v>
      </c>
      <c r="BJ48" s="99" t="s">
        <v>95</v>
      </c>
      <c r="BK48" s="99" t="s">
        <v>94</v>
      </c>
      <c r="BL48" s="99">
        <v>0.85</v>
      </c>
      <c r="BM48" s="99" t="s">
        <v>95</v>
      </c>
      <c r="BN48" s="99">
        <v>1156</v>
      </c>
      <c r="BO48" s="99">
        <v>0.24199999999999999</v>
      </c>
      <c r="BP48" s="99" t="s">
        <v>93</v>
      </c>
      <c r="BQ48" s="99" t="s">
        <v>203</v>
      </c>
      <c r="BR48" s="99" t="s">
        <v>95</v>
      </c>
      <c r="BS48" s="99">
        <v>2.6</v>
      </c>
      <c r="BT48" s="99">
        <v>2.1</v>
      </c>
      <c r="BU48" s="99">
        <v>6.4</v>
      </c>
      <c r="BV48" s="99">
        <v>0.4</v>
      </c>
      <c r="BW48" s="99">
        <v>0.7</v>
      </c>
      <c r="BX48" s="99" t="s">
        <v>95</v>
      </c>
      <c r="BY48" s="99" t="s">
        <v>101</v>
      </c>
      <c r="BZ48" s="99" t="s">
        <v>94</v>
      </c>
      <c r="CA48" s="99" t="s">
        <v>95</v>
      </c>
      <c r="CB48" s="99">
        <v>40742</v>
      </c>
      <c r="CC48" s="99">
        <v>42598</v>
      </c>
      <c r="CD48" s="99">
        <v>2617</v>
      </c>
      <c r="CE48" s="99">
        <v>0.13900000000000001</v>
      </c>
    </row>
    <row r="49" spans="1:83" x14ac:dyDescent="0.25">
      <c r="A49" s="103" t="s">
        <v>399</v>
      </c>
      <c r="B49" s="103">
        <v>146</v>
      </c>
      <c r="C49" s="103" t="s">
        <v>94</v>
      </c>
      <c r="D49" s="103" t="s">
        <v>93</v>
      </c>
      <c r="E49" s="103" t="s">
        <v>95</v>
      </c>
      <c r="F49" s="103" t="s">
        <v>98</v>
      </c>
      <c r="G49" s="103" t="s">
        <v>400</v>
      </c>
      <c r="H49" s="103" t="s">
        <v>94</v>
      </c>
      <c r="I49" s="103">
        <v>1</v>
      </c>
      <c r="J49" s="103">
        <v>0</v>
      </c>
      <c r="K49" s="103">
        <v>1</v>
      </c>
      <c r="L49" s="103">
        <v>30</v>
      </c>
      <c r="M49" s="103">
        <v>10</v>
      </c>
      <c r="N49" s="103">
        <v>21.5</v>
      </c>
      <c r="O49" s="103">
        <v>68</v>
      </c>
      <c r="P49" s="103">
        <v>150</v>
      </c>
      <c r="Q49" s="103">
        <v>2.5</v>
      </c>
      <c r="R49" s="103">
        <v>65</v>
      </c>
      <c r="S49" s="103">
        <v>7.9</v>
      </c>
      <c r="T49" s="103">
        <v>0.6</v>
      </c>
      <c r="U49" s="103">
        <v>1.2</v>
      </c>
      <c r="V49" s="103">
        <v>1.84</v>
      </c>
      <c r="W49" s="103">
        <v>1</v>
      </c>
      <c r="X49" s="103">
        <v>12</v>
      </c>
      <c r="Y49" s="103">
        <v>8</v>
      </c>
      <c r="Z49" s="103">
        <v>300</v>
      </c>
      <c r="AA49" s="103">
        <v>42</v>
      </c>
      <c r="AB49" s="103">
        <v>1</v>
      </c>
      <c r="AC49" s="99" t="s">
        <v>95</v>
      </c>
      <c r="AD49" s="103">
        <v>0.03</v>
      </c>
      <c r="AE49" s="103" t="s">
        <v>95</v>
      </c>
      <c r="AF49" s="103">
        <v>1.6899999999999998E-2</v>
      </c>
      <c r="AG49" s="103" t="s">
        <v>95</v>
      </c>
      <c r="AH49" s="103">
        <v>1.5100000000000001E-2</v>
      </c>
      <c r="AI49" s="103" t="s">
        <v>95</v>
      </c>
      <c r="AJ49" s="103">
        <v>0.65</v>
      </c>
      <c r="AK49" s="103">
        <v>6</v>
      </c>
      <c r="AL49" s="103">
        <v>3.25</v>
      </c>
      <c r="AM49" s="103">
        <v>0.7</v>
      </c>
      <c r="AN49" s="103" t="s">
        <v>95</v>
      </c>
      <c r="AO49" s="103">
        <v>0.74299999999999999</v>
      </c>
      <c r="AP49" s="103">
        <v>0.64300000000000002</v>
      </c>
      <c r="AQ49" s="103">
        <v>0.86199999999999999</v>
      </c>
      <c r="AR49" s="103">
        <v>0.35199999999999998</v>
      </c>
      <c r="AS49" s="103">
        <v>6.9400000000000003E-2</v>
      </c>
      <c r="AT49" s="103">
        <v>0.77</v>
      </c>
      <c r="AU49" s="103">
        <v>0.125</v>
      </c>
      <c r="AV49" s="103">
        <v>3.5700000000000003E-2</v>
      </c>
      <c r="AW49" s="103">
        <v>0.24399999999999999</v>
      </c>
      <c r="AX49" s="103">
        <v>15</v>
      </c>
      <c r="AY49" s="103">
        <v>10</v>
      </c>
      <c r="AZ49" s="103">
        <v>0.1</v>
      </c>
      <c r="BA49" s="103"/>
      <c r="BB49" s="103"/>
      <c r="BC49" s="103"/>
      <c r="BD49" s="103"/>
      <c r="BE49" s="103"/>
      <c r="BF49" s="103"/>
      <c r="BG49" s="103"/>
      <c r="BH49" s="103"/>
      <c r="BI49" s="103"/>
      <c r="BJ49" s="103" t="s">
        <v>95</v>
      </c>
      <c r="BK49" s="103" t="s">
        <v>94</v>
      </c>
      <c r="BL49" s="103">
        <v>0.8</v>
      </c>
      <c r="BM49" s="103" t="s">
        <v>95</v>
      </c>
      <c r="BN49" s="103">
        <v>1156</v>
      </c>
      <c r="BO49" s="103" t="s">
        <v>95</v>
      </c>
      <c r="BP49" s="103" t="s">
        <v>93</v>
      </c>
      <c r="BQ49" s="104" t="s">
        <v>401</v>
      </c>
      <c r="BR49" s="103" t="s">
        <v>95</v>
      </c>
      <c r="BS49" s="103">
        <v>2</v>
      </c>
      <c r="BT49" s="103">
        <v>1.9</v>
      </c>
      <c r="BU49" s="103">
        <v>2.9</v>
      </c>
      <c r="BV49" s="103">
        <v>1.3</v>
      </c>
      <c r="BW49" s="103">
        <v>1.5</v>
      </c>
      <c r="BX49" s="103" t="s">
        <v>95</v>
      </c>
      <c r="BY49" s="103" t="s">
        <v>101</v>
      </c>
      <c r="BZ49" s="103" t="s">
        <v>94</v>
      </c>
      <c r="CA49" s="103" t="s">
        <v>95</v>
      </c>
      <c r="CB49" s="103">
        <v>43724</v>
      </c>
      <c r="CC49" s="103">
        <v>42598</v>
      </c>
      <c r="CD49" s="103">
        <v>2617</v>
      </c>
      <c r="CE49" s="103">
        <v>0.11799999999999999</v>
      </c>
    </row>
    <row r="50" spans="1:83" s="103" customFormat="1" x14ac:dyDescent="0.25">
      <c r="A50" s="99" t="s">
        <v>204</v>
      </c>
      <c r="B50" s="99">
        <v>146</v>
      </c>
      <c r="C50" s="99" t="s">
        <v>93</v>
      </c>
      <c r="D50" s="99" t="s">
        <v>93</v>
      </c>
      <c r="E50" s="99" t="s">
        <v>111</v>
      </c>
      <c r="F50" s="99" t="s">
        <v>132</v>
      </c>
      <c r="G50" s="99" t="s">
        <v>117</v>
      </c>
      <c r="H50" s="99" t="s">
        <v>94</v>
      </c>
      <c r="I50" s="99">
        <v>1</v>
      </c>
      <c r="J50" s="99">
        <v>0</v>
      </c>
      <c r="K50" s="99">
        <v>1</v>
      </c>
      <c r="L50" s="99">
        <v>30</v>
      </c>
      <c r="M50" s="99">
        <v>10</v>
      </c>
      <c r="N50" s="99">
        <v>87</v>
      </c>
      <c r="O50" s="99">
        <v>104</v>
      </c>
      <c r="P50" s="99">
        <v>150</v>
      </c>
      <c r="Q50" s="99">
        <v>3.125</v>
      </c>
      <c r="R50" s="99">
        <v>50</v>
      </c>
      <c r="S50" s="99">
        <v>1.8</v>
      </c>
      <c r="T50" s="99">
        <v>1.1000000000000001</v>
      </c>
      <c r="U50" s="99">
        <v>2</v>
      </c>
      <c r="V50" s="99">
        <v>3.2</v>
      </c>
      <c r="W50" s="99">
        <v>1</v>
      </c>
      <c r="X50" s="99">
        <v>17.8</v>
      </c>
      <c r="Y50" s="99">
        <v>14</v>
      </c>
      <c r="Z50" s="99">
        <v>300</v>
      </c>
      <c r="AA50" s="99">
        <v>37</v>
      </c>
      <c r="AB50" s="99">
        <v>4.7</v>
      </c>
      <c r="AC50" s="99" t="s">
        <v>95</v>
      </c>
      <c r="AD50" s="99" t="s">
        <v>95</v>
      </c>
      <c r="AE50" s="99" t="s">
        <v>95</v>
      </c>
      <c r="AF50" s="99">
        <v>1.24E-2</v>
      </c>
      <c r="AG50" s="99" t="s">
        <v>95</v>
      </c>
      <c r="AH50" s="99">
        <v>8.8000000000000005E-3</v>
      </c>
      <c r="AI50" s="99" t="s">
        <v>95</v>
      </c>
      <c r="AJ50" s="99">
        <v>0.5</v>
      </c>
      <c r="AK50" s="99">
        <v>3.6</v>
      </c>
      <c r="AL50" s="99">
        <v>1.3</v>
      </c>
      <c r="AM50" s="99">
        <v>0.9</v>
      </c>
      <c r="AN50" s="99">
        <v>7.6</v>
      </c>
      <c r="AO50" s="99">
        <v>0.81699999999999995</v>
      </c>
      <c r="AP50" s="99">
        <v>0.57999999999999996</v>
      </c>
      <c r="AQ50" s="99">
        <v>0.86599999999999999</v>
      </c>
      <c r="AR50" s="99">
        <v>1.2</v>
      </c>
      <c r="AS50" s="99">
        <v>0.39</v>
      </c>
      <c r="AT50" s="99">
        <v>1.64</v>
      </c>
      <c r="AU50" s="99">
        <v>0.105</v>
      </c>
      <c r="AV50" s="99">
        <v>3.5000000000000003E-2</v>
      </c>
      <c r="AW50" s="99">
        <v>0.16800000000000001</v>
      </c>
      <c r="AX50" s="99">
        <v>15</v>
      </c>
      <c r="AY50" s="99">
        <v>10</v>
      </c>
      <c r="AZ50" s="99">
        <v>0.01</v>
      </c>
      <c r="BA50" s="99">
        <v>1.2</v>
      </c>
      <c r="BB50" s="99">
        <v>0.6</v>
      </c>
      <c r="BC50" s="99">
        <v>90</v>
      </c>
      <c r="BD50" s="99">
        <v>0.9</v>
      </c>
      <c r="BE50" s="99">
        <v>90</v>
      </c>
      <c r="BF50" s="99">
        <v>30</v>
      </c>
      <c r="BG50" s="99">
        <v>2</v>
      </c>
      <c r="BH50" s="99">
        <v>30</v>
      </c>
      <c r="BI50" s="99">
        <v>0.01</v>
      </c>
      <c r="BJ50" s="99">
        <v>0.36</v>
      </c>
      <c r="BK50" s="99" t="s">
        <v>94</v>
      </c>
      <c r="BL50" s="99">
        <v>0.85</v>
      </c>
      <c r="BM50" s="99" t="s">
        <v>95</v>
      </c>
      <c r="BN50" s="99">
        <v>1155</v>
      </c>
      <c r="BO50" s="99">
        <v>0.69499999999999995</v>
      </c>
      <c r="BP50" s="99" t="s">
        <v>93</v>
      </c>
      <c r="BQ50" s="99" t="s">
        <v>205</v>
      </c>
      <c r="BR50" s="99" t="s">
        <v>95</v>
      </c>
      <c r="BS50" s="99">
        <v>4.7</v>
      </c>
      <c r="BT50" s="99">
        <v>3.1</v>
      </c>
      <c r="BU50" s="99">
        <v>19.600000000000001</v>
      </c>
      <c r="BV50" s="99">
        <v>1.1000000000000001</v>
      </c>
      <c r="BW50" s="99">
        <v>1.6</v>
      </c>
      <c r="BX50" s="99" t="s">
        <v>95</v>
      </c>
      <c r="BY50" s="99" t="s">
        <v>115</v>
      </c>
      <c r="BZ50" s="99" t="s">
        <v>95</v>
      </c>
      <c r="CA50" s="99" t="s">
        <v>95</v>
      </c>
      <c r="CB50" s="99">
        <v>40778</v>
      </c>
      <c r="CC50" s="99">
        <v>42577</v>
      </c>
      <c r="CD50" s="99">
        <v>2505</v>
      </c>
      <c r="CE50" s="99">
        <v>0.314</v>
      </c>
    </row>
    <row r="51" spans="1:83" x14ac:dyDescent="0.25">
      <c r="A51" s="99" t="s">
        <v>206</v>
      </c>
      <c r="B51" s="99">
        <v>146</v>
      </c>
      <c r="C51" s="99" t="s">
        <v>93</v>
      </c>
      <c r="D51" s="99" t="s">
        <v>93</v>
      </c>
      <c r="E51" s="99" t="s">
        <v>111</v>
      </c>
      <c r="F51" s="99" t="s">
        <v>132</v>
      </c>
      <c r="G51" s="99" t="s">
        <v>117</v>
      </c>
      <c r="H51" s="99" t="s">
        <v>94</v>
      </c>
      <c r="I51" s="99">
        <v>1</v>
      </c>
      <c r="J51" s="99">
        <v>0</v>
      </c>
      <c r="K51" s="99">
        <v>1</v>
      </c>
      <c r="L51" s="99">
        <v>30</v>
      </c>
      <c r="M51" s="99">
        <v>10</v>
      </c>
      <c r="N51" s="99">
        <v>65</v>
      </c>
      <c r="O51" s="99">
        <v>85</v>
      </c>
      <c r="P51" s="99">
        <v>150</v>
      </c>
      <c r="Q51" s="99">
        <v>3.125</v>
      </c>
      <c r="R51" s="99">
        <v>50</v>
      </c>
      <c r="S51" s="99">
        <v>1.9</v>
      </c>
      <c r="T51" s="99">
        <v>1.1000000000000001</v>
      </c>
      <c r="U51" s="99">
        <v>2</v>
      </c>
      <c r="V51" s="99">
        <v>3</v>
      </c>
      <c r="W51" s="99">
        <v>1</v>
      </c>
      <c r="X51" s="99">
        <v>14.6</v>
      </c>
      <c r="Y51" s="99">
        <v>11</v>
      </c>
      <c r="Z51" s="99">
        <v>300</v>
      </c>
      <c r="AA51" s="99">
        <v>44</v>
      </c>
      <c r="AB51" s="99">
        <v>4.7</v>
      </c>
      <c r="AC51" s="99" t="s">
        <v>95</v>
      </c>
      <c r="AD51" s="99" t="s">
        <v>95</v>
      </c>
      <c r="AE51" s="99" t="s">
        <v>95</v>
      </c>
      <c r="AF51" s="99">
        <v>1.55E-2</v>
      </c>
      <c r="AG51" s="99" t="s">
        <v>95</v>
      </c>
      <c r="AH51" s="99">
        <v>1.2200000000000001E-2</v>
      </c>
      <c r="AI51" s="99" t="s">
        <v>95</v>
      </c>
      <c r="AJ51" s="99">
        <v>0.48</v>
      </c>
      <c r="AK51" s="99">
        <v>2.8</v>
      </c>
      <c r="AL51" s="99">
        <v>1</v>
      </c>
      <c r="AM51" s="99">
        <v>0.6</v>
      </c>
      <c r="AN51" s="99">
        <v>5.7</v>
      </c>
      <c r="AO51" s="99">
        <v>0.43</v>
      </c>
      <c r="AP51" s="99">
        <v>0.42199999999999999</v>
      </c>
      <c r="AQ51" s="99">
        <v>0.48</v>
      </c>
      <c r="AR51" s="99">
        <v>0.9</v>
      </c>
      <c r="AS51" s="99">
        <v>0.28599999999999998</v>
      </c>
      <c r="AT51" s="99">
        <v>1.5</v>
      </c>
      <c r="AU51" s="99">
        <v>7.0000000000000007E-2</v>
      </c>
      <c r="AV51" s="99">
        <v>2.5999999999999999E-2</v>
      </c>
      <c r="AW51" s="99">
        <v>9.5000000000000001E-2</v>
      </c>
      <c r="AX51" s="99">
        <v>15</v>
      </c>
      <c r="AY51" s="99">
        <v>10</v>
      </c>
      <c r="AZ51" s="99">
        <v>0.01</v>
      </c>
      <c r="BA51" s="99">
        <v>0.8</v>
      </c>
      <c r="BB51" s="99">
        <v>0.5</v>
      </c>
      <c r="BC51" s="99">
        <v>40</v>
      </c>
      <c r="BD51" s="99">
        <v>30</v>
      </c>
      <c r="BE51" s="99">
        <v>0.7</v>
      </c>
      <c r="BF51" s="99">
        <v>30</v>
      </c>
      <c r="BG51" s="99">
        <v>0.01</v>
      </c>
      <c r="BH51" s="99">
        <v>30</v>
      </c>
      <c r="BI51" s="99">
        <v>0.01</v>
      </c>
      <c r="BJ51" s="99">
        <v>1.75</v>
      </c>
      <c r="BK51" s="99" t="s">
        <v>94</v>
      </c>
      <c r="BL51" s="99">
        <v>0.85</v>
      </c>
      <c r="BM51" s="99" t="s">
        <v>95</v>
      </c>
      <c r="BN51" s="99">
        <v>1155</v>
      </c>
      <c r="BO51" s="99">
        <v>0.50600000000000001</v>
      </c>
      <c r="BP51" s="99" t="s">
        <v>93</v>
      </c>
      <c r="BQ51" s="99" t="s">
        <v>207</v>
      </c>
      <c r="BR51" s="99" t="s">
        <v>95</v>
      </c>
      <c r="BS51" s="99">
        <v>4.7</v>
      </c>
      <c r="BT51" s="99">
        <v>3</v>
      </c>
      <c r="BU51" s="99">
        <v>10.5</v>
      </c>
      <c r="BV51" s="99">
        <v>0.8</v>
      </c>
      <c r="BW51" s="99">
        <v>1.2</v>
      </c>
      <c r="BX51" s="99" t="s">
        <v>95</v>
      </c>
      <c r="BY51" s="99" t="s">
        <v>115</v>
      </c>
      <c r="BZ51" s="99" t="s">
        <v>95</v>
      </c>
      <c r="CA51" s="99" t="s">
        <v>95</v>
      </c>
      <c r="CB51" s="99">
        <v>40778</v>
      </c>
      <c r="CC51" s="99">
        <v>42577</v>
      </c>
      <c r="CD51" s="99">
        <v>2506</v>
      </c>
      <c r="CE51" s="99">
        <v>0.29599999999999999</v>
      </c>
    </row>
    <row r="52" spans="1:83" s="103" customFormat="1" x14ac:dyDescent="0.25">
      <c r="A52" s="100" t="s">
        <v>487</v>
      </c>
      <c r="B52" s="100">
        <v>146</v>
      </c>
      <c r="C52" s="100" t="s">
        <v>93</v>
      </c>
      <c r="D52" s="100" t="s">
        <v>94</v>
      </c>
      <c r="E52" s="100" t="s">
        <v>95</v>
      </c>
      <c r="F52" s="100" t="s">
        <v>95</v>
      </c>
      <c r="G52" s="100" t="s">
        <v>208</v>
      </c>
      <c r="H52" s="100" t="s">
        <v>94</v>
      </c>
      <c r="I52" s="100">
        <v>1</v>
      </c>
      <c r="J52" s="100">
        <v>0</v>
      </c>
      <c r="K52" s="100" t="s">
        <v>95</v>
      </c>
      <c r="L52" s="100">
        <v>30</v>
      </c>
      <c r="M52" s="100">
        <v>12</v>
      </c>
      <c r="N52" s="100">
        <v>3.1</v>
      </c>
      <c r="O52" s="100">
        <v>12</v>
      </c>
      <c r="P52" s="100">
        <v>150</v>
      </c>
      <c r="Q52" s="100">
        <v>0.5</v>
      </c>
      <c r="R52" s="100">
        <v>110</v>
      </c>
      <c r="S52" s="100" t="s">
        <v>95</v>
      </c>
      <c r="T52" s="100">
        <v>0.65</v>
      </c>
      <c r="U52" s="100">
        <v>1.1000000000000001</v>
      </c>
      <c r="V52" s="100" t="s">
        <v>95</v>
      </c>
      <c r="W52" s="100">
        <v>0.9</v>
      </c>
      <c r="X52" s="100">
        <v>5.6</v>
      </c>
      <c r="Y52" s="100">
        <v>0.5</v>
      </c>
      <c r="Z52" s="100">
        <v>300</v>
      </c>
      <c r="AA52" s="100">
        <v>4.8</v>
      </c>
      <c r="AB52" s="100">
        <v>23</v>
      </c>
      <c r="AC52" s="100">
        <v>0.25</v>
      </c>
      <c r="AD52" s="100">
        <v>0.14299999999999999</v>
      </c>
      <c r="AE52" s="100" t="s">
        <v>95</v>
      </c>
      <c r="AF52" s="100">
        <v>0.11700000000000001</v>
      </c>
      <c r="AG52" s="100" t="s">
        <v>95</v>
      </c>
      <c r="AH52" s="100">
        <v>0.109</v>
      </c>
      <c r="AI52" s="100" t="s">
        <v>95</v>
      </c>
      <c r="AJ52" s="100">
        <v>0.36</v>
      </c>
      <c r="AK52" s="100">
        <v>1.04</v>
      </c>
      <c r="AL52" s="100">
        <v>0.59</v>
      </c>
      <c r="AM52" s="100">
        <v>2</v>
      </c>
      <c r="AN52" s="100"/>
      <c r="AO52" s="100">
        <v>0.157</v>
      </c>
      <c r="AP52" s="100">
        <v>0.15</v>
      </c>
      <c r="AQ52" s="100">
        <v>0.161</v>
      </c>
      <c r="AR52" s="100">
        <v>9.4700000000000006E-2</v>
      </c>
      <c r="AS52" s="100">
        <v>4.3999999999999997E-2</v>
      </c>
      <c r="AT52" s="100">
        <v>0.114</v>
      </c>
      <c r="AU52" s="100">
        <v>1.0999999999999999E-2</v>
      </c>
      <c r="AV52" s="100">
        <v>2.2000000000000001E-3</v>
      </c>
      <c r="AW52" s="100">
        <v>1.5900000000000001E-2</v>
      </c>
      <c r="AX52" s="100">
        <v>15</v>
      </c>
      <c r="AY52" s="100">
        <v>10</v>
      </c>
      <c r="AZ52" s="100">
        <v>0.01</v>
      </c>
      <c r="BA52" s="100">
        <v>0.09</v>
      </c>
      <c r="BB52" s="100">
        <v>0.85</v>
      </c>
      <c r="BC52" s="100">
        <v>7</v>
      </c>
      <c r="BD52" s="100">
        <v>30</v>
      </c>
      <c r="BE52" s="100">
        <v>0.2</v>
      </c>
      <c r="BF52" s="100">
        <v>30</v>
      </c>
      <c r="BG52" s="100">
        <v>0.01</v>
      </c>
      <c r="BH52" s="100">
        <v>30</v>
      </c>
      <c r="BI52" s="100">
        <v>0.01</v>
      </c>
      <c r="BJ52" s="100">
        <v>5.59</v>
      </c>
      <c r="BK52" s="100" t="s">
        <v>94</v>
      </c>
      <c r="BL52" s="100">
        <v>0.73</v>
      </c>
      <c r="BM52" s="100" t="s">
        <v>95</v>
      </c>
      <c r="BN52" s="100" t="s">
        <v>95</v>
      </c>
      <c r="BO52" s="100" t="s">
        <v>95</v>
      </c>
      <c r="BP52" s="100" t="s">
        <v>93</v>
      </c>
      <c r="BQ52" s="100" t="s">
        <v>488</v>
      </c>
      <c r="BR52" s="100" t="s">
        <v>95</v>
      </c>
      <c r="BS52" s="100">
        <v>23</v>
      </c>
      <c r="BT52" s="100">
        <v>1.5</v>
      </c>
      <c r="BU52" s="100">
        <v>1.5</v>
      </c>
      <c r="BV52" s="100">
        <v>0.13300000000000001</v>
      </c>
      <c r="BW52" s="100">
        <v>0.22600000000000001</v>
      </c>
      <c r="BX52" s="100" t="s">
        <v>95</v>
      </c>
      <c r="BY52" s="100" t="s">
        <v>475</v>
      </c>
      <c r="BZ52" s="100" t="s">
        <v>95</v>
      </c>
      <c r="CA52" s="100" t="s">
        <v>95</v>
      </c>
      <c r="CB52" s="100">
        <v>42577</v>
      </c>
      <c r="CC52" s="100">
        <v>42577</v>
      </c>
      <c r="CD52" s="100">
        <v>2507</v>
      </c>
      <c r="CE52" s="100">
        <v>5.0999999999999997E-2</v>
      </c>
    </row>
    <row r="53" spans="1:83" x14ac:dyDescent="0.25">
      <c r="A53" s="100" t="s">
        <v>489</v>
      </c>
      <c r="B53" s="100">
        <v>146</v>
      </c>
      <c r="C53" s="100" t="s">
        <v>93</v>
      </c>
      <c r="D53" s="100" t="s">
        <v>94</v>
      </c>
      <c r="E53" s="100" t="s">
        <v>95</v>
      </c>
      <c r="F53" s="100" t="s">
        <v>95</v>
      </c>
      <c r="G53" s="100" t="s">
        <v>103</v>
      </c>
      <c r="H53" s="100" t="s">
        <v>94</v>
      </c>
      <c r="I53" s="100">
        <v>1</v>
      </c>
      <c r="J53" s="100">
        <v>0</v>
      </c>
      <c r="K53" s="100" t="s">
        <v>95</v>
      </c>
      <c r="L53" s="100">
        <v>30</v>
      </c>
      <c r="M53" s="100">
        <v>10</v>
      </c>
      <c r="N53" s="100">
        <v>2.2999999999999998</v>
      </c>
      <c r="O53" s="100">
        <v>14.8</v>
      </c>
      <c r="P53" s="100">
        <v>150</v>
      </c>
      <c r="Q53" s="100">
        <v>0.5</v>
      </c>
      <c r="R53" s="100">
        <v>110</v>
      </c>
      <c r="S53" s="100" t="s">
        <v>95</v>
      </c>
      <c r="T53" s="100">
        <v>0.7</v>
      </c>
      <c r="U53" s="100">
        <v>1.2</v>
      </c>
      <c r="V53" s="100" t="s">
        <v>95</v>
      </c>
      <c r="W53" s="100">
        <v>1</v>
      </c>
      <c r="X53" s="100" t="s">
        <v>95</v>
      </c>
      <c r="Y53" s="100" t="s">
        <v>95</v>
      </c>
      <c r="Z53" s="100" t="s">
        <v>95</v>
      </c>
      <c r="AA53" s="100">
        <v>5.9</v>
      </c>
      <c r="AB53" s="100">
        <v>220</v>
      </c>
      <c r="AC53" s="100">
        <v>0.18</v>
      </c>
      <c r="AD53" s="100">
        <v>8.2000000000000003E-2</v>
      </c>
      <c r="AE53" s="100" t="s">
        <v>95</v>
      </c>
      <c r="AF53" s="100">
        <v>6.7000000000000004E-2</v>
      </c>
      <c r="AG53" s="100" t="s">
        <v>95</v>
      </c>
      <c r="AH53" s="100">
        <v>6.4000000000000001E-2</v>
      </c>
      <c r="AI53" s="100" t="s">
        <v>95</v>
      </c>
      <c r="AJ53" s="100">
        <v>0.46</v>
      </c>
      <c r="AK53" s="100">
        <v>2.1</v>
      </c>
      <c r="AL53" s="100">
        <v>1</v>
      </c>
      <c r="AM53" s="100">
        <v>0.12</v>
      </c>
      <c r="AN53" s="100" t="s">
        <v>95</v>
      </c>
      <c r="AO53" s="100">
        <v>0.30199999999999999</v>
      </c>
      <c r="AP53" s="100">
        <v>0.26700000000000002</v>
      </c>
      <c r="AQ53" s="100">
        <v>0.34399999999999997</v>
      </c>
      <c r="AR53" s="100">
        <v>0.13300000000000001</v>
      </c>
      <c r="AS53" s="100">
        <v>3.1E-2</v>
      </c>
      <c r="AT53" s="100">
        <v>0.21</v>
      </c>
      <c r="AU53" s="100">
        <v>5.1200000000000002E-2</v>
      </c>
      <c r="AV53" s="100">
        <v>1.4999999999999999E-2</v>
      </c>
      <c r="AW53" s="100">
        <v>0.10199999999999999</v>
      </c>
      <c r="AX53" s="100">
        <v>15</v>
      </c>
      <c r="AY53" s="100">
        <v>10</v>
      </c>
      <c r="AZ53" s="100">
        <v>0.1</v>
      </c>
      <c r="BA53" s="100">
        <v>1</v>
      </c>
      <c r="BB53" s="100">
        <v>0.5</v>
      </c>
      <c r="BC53" s="100">
        <v>5</v>
      </c>
      <c r="BD53" s="100">
        <v>1.9</v>
      </c>
      <c r="BE53" s="100">
        <v>5</v>
      </c>
      <c r="BF53" s="100">
        <v>30</v>
      </c>
      <c r="BG53" s="100">
        <v>0.19</v>
      </c>
      <c r="BH53" s="100">
        <v>30</v>
      </c>
      <c r="BI53" s="100">
        <v>0.01</v>
      </c>
      <c r="BJ53" s="100">
        <v>2.13</v>
      </c>
      <c r="BK53" s="100" t="s">
        <v>94</v>
      </c>
      <c r="BL53" s="100">
        <v>0.7</v>
      </c>
      <c r="BM53" s="100" t="s">
        <v>95</v>
      </c>
      <c r="BN53" s="100" t="s">
        <v>95</v>
      </c>
      <c r="BO53" s="100" t="s">
        <v>95</v>
      </c>
      <c r="BP53" s="100" t="s">
        <v>93</v>
      </c>
      <c r="BQ53" s="100" t="s">
        <v>490</v>
      </c>
      <c r="BR53" s="100" t="s">
        <v>95</v>
      </c>
      <c r="BS53" s="100">
        <v>220</v>
      </c>
      <c r="BT53" s="100">
        <v>1.7</v>
      </c>
      <c r="BU53" s="100" t="s">
        <v>95</v>
      </c>
      <c r="BV53" s="100">
        <v>0.63</v>
      </c>
      <c r="BW53" s="100">
        <v>0.41</v>
      </c>
      <c r="BX53" s="100" t="s">
        <v>95</v>
      </c>
      <c r="BY53" s="100" t="s">
        <v>475</v>
      </c>
      <c r="BZ53" s="100" t="s">
        <v>95</v>
      </c>
      <c r="CA53" s="100" t="s">
        <v>95</v>
      </c>
      <c r="CB53" s="100">
        <v>42577</v>
      </c>
      <c r="CC53" s="100" t="s">
        <v>95</v>
      </c>
      <c r="CD53" s="100">
        <v>2591</v>
      </c>
      <c r="CE53" s="100">
        <v>5.3999999999999999E-2</v>
      </c>
    </row>
    <row r="54" spans="1:83" s="103" customFormat="1" x14ac:dyDescent="0.25">
      <c r="A54" s="100" t="s">
        <v>491</v>
      </c>
      <c r="B54" s="100">
        <v>146</v>
      </c>
      <c r="C54" s="100" t="s">
        <v>93</v>
      </c>
      <c r="D54" s="100" t="s">
        <v>94</v>
      </c>
      <c r="E54" s="100" t="s">
        <v>95</v>
      </c>
      <c r="F54" s="100" t="s">
        <v>95</v>
      </c>
      <c r="G54" s="100" t="s">
        <v>208</v>
      </c>
      <c r="H54" s="100" t="s">
        <v>94</v>
      </c>
      <c r="I54" s="100">
        <v>1</v>
      </c>
      <c r="J54" s="100">
        <v>0</v>
      </c>
      <c r="K54" s="100" t="s">
        <v>95</v>
      </c>
      <c r="L54" s="100">
        <v>30</v>
      </c>
      <c r="M54" s="100">
        <v>12</v>
      </c>
      <c r="N54" s="100">
        <v>1.5</v>
      </c>
      <c r="O54" s="100">
        <v>5</v>
      </c>
      <c r="P54" s="100">
        <v>150</v>
      </c>
      <c r="Q54" s="100">
        <v>0.5</v>
      </c>
      <c r="R54" s="100">
        <v>110</v>
      </c>
      <c r="S54" s="100" t="s">
        <v>95</v>
      </c>
      <c r="T54" s="100">
        <v>0.65</v>
      </c>
      <c r="U54" s="100">
        <v>1.1000000000000001</v>
      </c>
      <c r="V54" s="100" t="s">
        <v>95</v>
      </c>
      <c r="W54" s="100">
        <v>0.9</v>
      </c>
      <c r="X54" s="100">
        <v>5.5</v>
      </c>
      <c r="Y54" s="100">
        <v>0.5</v>
      </c>
      <c r="Z54" s="100">
        <v>300</v>
      </c>
      <c r="AA54" s="100">
        <v>2.4</v>
      </c>
      <c r="AB54" s="100">
        <v>23</v>
      </c>
      <c r="AC54" s="100">
        <v>0.55000000000000004</v>
      </c>
      <c r="AD54" s="100">
        <v>0.31</v>
      </c>
      <c r="AE54" s="100" t="s">
        <v>95</v>
      </c>
      <c r="AF54" s="100">
        <v>0.26</v>
      </c>
      <c r="AG54" s="100" t="s">
        <v>95</v>
      </c>
      <c r="AH54" s="100">
        <v>0.24</v>
      </c>
      <c r="AI54" s="100" t="s">
        <v>95</v>
      </c>
      <c r="AJ54" s="100">
        <v>0.33</v>
      </c>
      <c r="AK54" s="100">
        <v>1.01</v>
      </c>
      <c r="AL54" s="100">
        <v>0.55000000000000004</v>
      </c>
      <c r="AM54" s="100">
        <v>2.0499999999999998</v>
      </c>
      <c r="AN54" s="100" t="s">
        <v>95</v>
      </c>
      <c r="AO54" s="100">
        <v>0.157</v>
      </c>
      <c r="AP54" s="100">
        <v>0.14499999999999999</v>
      </c>
      <c r="AQ54" s="100">
        <v>0.16</v>
      </c>
      <c r="AR54" s="100">
        <v>8.5000000000000006E-2</v>
      </c>
      <c r="AS54" s="100">
        <v>4.2000000000000003E-2</v>
      </c>
      <c r="AT54" s="100">
        <v>0.11</v>
      </c>
      <c r="AU54" s="100">
        <v>1.0999999999999999E-2</v>
      </c>
      <c r="AV54" s="100">
        <v>2E-3</v>
      </c>
      <c r="AW54" s="100">
        <v>1.7000000000000001E-2</v>
      </c>
      <c r="AX54" s="100">
        <v>15</v>
      </c>
      <c r="AY54" s="100">
        <v>10</v>
      </c>
      <c r="AZ54" s="100">
        <v>0.01</v>
      </c>
      <c r="BA54" s="100">
        <v>0.04</v>
      </c>
      <c r="BB54" s="100">
        <v>1.3</v>
      </c>
      <c r="BC54" s="100">
        <v>5</v>
      </c>
      <c r="BD54" s="100">
        <v>1.4</v>
      </c>
      <c r="BE54" s="100">
        <v>5</v>
      </c>
      <c r="BF54" s="100">
        <v>30</v>
      </c>
      <c r="BG54" s="100">
        <v>0.2</v>
      </c>
      <c r="BH54" s="100">
        <v>30</v>
      </c>
      <c r="BI54" s="100">
        <v>0.01</v>
      </c>
      <c r="BJ54" s="100">
        <v>5.0999999999999996</v>
      </c>
      <c r="BK54" s="100" t="s">
        <v>94</v>
      </c>
      <c r="BL54" s="100">
        <v>0.73</v>
      </c>
      <c r="BM54" s="100" t="s">
        <v>95</v>
      </c>
      <c r="BN54" s="100" t="s">
        <v>95</v>
      </c>
      <c r="BO54" s="100" t="s">
        <v>95</v>
      </c>
      <c r="BP54" s="100" t="s">
        <v>93</v>
      </c>
      <c r="BQ54" s="100" t="s">
        <v>492</v>
      </c>
      <c r="BR54" s="100" t="s">
        <v>95</v>
      </c>
      <c r="BS54" s="100">
        <v>23</v>
      </c>
      <c r="BT54" s="100">
        <v>1.5</v>
      </c>
      <c r="BU54" s="100">
        <v>1.47</v>
      </c>
      <c r="BV54" s="100">
        <v>0.13</v>
      </c>
      <c r="BW54" s="100">
        <v>0.22</v>
      </c>
      <c r="BX54" s="100" t="s">
        <v>95</v>
      </c>
      <c r="BY54" s="100" t="s">
        <v>475</v>
      </c>
      <c r="BZ54" s="100" t="s">
        <v>95</v>
      </c>
      <c r="CA54" s="100" t="s">
        <v>95</v>
      </c>
      <c r="CB54" s="100">
        <v>42577</v>
      </c>
      <c r="CC54" s="100">
        <v>42577</v>
      </c>
      <c r="CD54" s="100">
        <v>2508</v>
      </c>
      <c r="CE54" s="100">
        <v>0.04</v>
      </c>
    </row>
    <row r="55" spans="1:83" x14ac:dyDescent="0.25">
      <c r="A55" s="100" t="s">
        <v>493</v>
      </c>
      <c r="B55" s="100">
        <v>146</v>
      </c>
      <c r="C55" s="100" t="s">
        <v>93</v>
      </c>
      <c r="D55" s="100" t="s">
        <v>94</v>
      </c>
      <c r="E55" s="100" t="s">
        <v>95</v>
      </c>
      <c r="F55" s="100" t="s">
        <v>95</v>
      </c>
      <c r="G55" s="100" t="s">
        <v>208</v>
      </c>
      <c r="H55" s="100" t="s">
        <v>94</v>
      </c>
      <c r="I55" s="100">
        <v>1</v>
      </c>
      <c r="J55" s="100">
        <v>0</v>
      </c>
      <c r="K55" s="100" t="s">
        <v>95</v>
      </c>
      <c r="L55" s="100">
        <v>30</v>
      </c>
      <c r="M55" s="100">
        <v>12</v>
      </c>
      <c r="N55" s="100">
        <v>3</v>
      </c>
      <c r="O55" s="100">
        <v>18</v>
      </c>
      <c r="P55" s="100">
        <v>150</v>
      </c>
      <c r="Q55" s="100">
        <v>0.5</v>
      </c>
      <c r="R55" s="100">
        <v>110</v>
      </c>
      <c r="S55" s="100" t="s">
        <v>95</v>
      </c>
      <c r="T55" s="100">
        <v>0.65</v>
      </c>
      <c r="U55" s="100">
        <v>1.1000000000000001</v>
      </c>
      <c r="V55" s="100" t="s">
        <v>95</v>
      </c>
      <c r="W55" s="100">
        <v>0.9</v>
      </c>
      <c r="X55" s="100">
        <v>6.2</v>
      </c>
      <c r="Y55" s="100">
        <v>0.5</v>
      </c>
      <c r="Z55" s="100">
        <v>300</v>
      </c>
      <c r="AA55" s="100">
        <v>4</v>
      </c>
      <c r="AB55" s="100">
        <v>8</v>
      </c>
      <c r="AC55" s="100">
        <v>0.27</v>
      </c>
      <c r="AD55" s="100">
        <v>0.16</v>
      </c>
      <c r="AE55" s="100" t="s">
        <v>95</v>
      </c>
      <c r="AF55" s="100">
        <v>0.128</v>
      </c>
      <c r="AG55" s="100" t="s">
        <v>95</v>
      </c>
      <c r="AH55" s="100">
        <v>0.121</v>
      </c>
      <c r="AI55" s="100" t="s">
        <v>95</v>
      </c>
      <c r="AJ55" s="100">
        <v>0.35</v>
      </c>
      <c r="AK55" s="100">
        <v>0.92</v>
      </c>
      <c r="AL55" s="100">
        <v>0.6</v>
      </c>
      <c r="AM55" s="100">
        <v>0.14000000000000001</v>
      </c>
      <c r="AN55" s="100" t="s">
        <v>95</v>
      </c>
      <c r="AO55" s="100">
        <v>0.155</v>
      </c>
      <c r="AP55" s="100">
        <v>0.15</v>
      </c>
      <c r="AQ55" s="100">
        <v>0.161</v>
      </c>
      <c r="AR55" s="100">
        <v>9.5200000000000007E-2</v>
      </c>
      <c r="AS55" s="100">
        <v>4.3999999999999997E-2</v>
      </c>
      <c r="AT55" s="100">
        <v>0.129</v>
      </c>
      <c r="AU55" s="100">
        <v>1.0699999999999999E-2</v>
      </c>
      <c r="AV55" s="100">
        <v>2.2000000000000001E-3</v>
      </c>
      <c r="AW55" s="100">
        <v>1.9099999999999999E-2</v>
      </c>
      <c r="AX55" s="100">
        <v>15</v>
      </c>
      <c r="AY55" s="100">
        <v>10</v>
      </c>
      <c r="AZ55" s="100">
        <v>0.01</v>
      </c>
      <c r="BA55" s="100">
        <v>0.06</v>
      </c>
      <c r="BB55" s="100">
        <v>0.85</v>
      </c>
      <c r="BC55" s="100">
        <v>5.5</v>
      </c>
      <c r="BD55" s="100">
        <v>1.5</v>
      </c>
      <c r="BE55" s="100">
        <v>5.5</v>
      </c>
      <c r="BF55" s="100">
        <v>30</v>
      </c>
      <c r="BG55" s="100">
        <v>0.2</v>
      </c>
      <c r="BH55" s="100">
        <v>30</v>
      </c>
      <c r="BI55" s="100">
        <v>0.01</v>
      </c>
      <c r="BJ55" s="100">
        <v>4.6900000000000004</v>
      </c>
      <c r="BK55" s="100" t="s">
        <v>94</v>
      </c>
      <c r="BL55" s="100">
        <v>0.73</v>
      </c>
      <c r="BM55" s="100" t="s">
        <v>95</v>
      </c>
      <c r="BN55" s="100" t="s">
        <v>95</v>
      </c>
      <c r="BO55" s="100" t="s">
        <v>95</v>
      </c>
      <c r="BP55" s="100" t="s">
        <v>93</v>
      </c>
      <c r="BQ55" s="100" t="s">
        <v>494</v>
      </c>
      <c r="BR55" s="100" t="s">
        <v>95</v>
      </c>
      <c r="BS55" s="100">
        <v>8</v>
      </c>
      <c r="BT55" s="100">
        <v>1.5</v>
      </c>
      <c r="BU55" s="100">
        <v>1.3</v>
      </c>
      <c r="BV55" s="100">
        <v>7.4999999999999997E-2</v>
      </c>
      <c r="BW55" s="100">
        <v>0.28000000000000003</v>
      </c>
      <c r="BX55" s="100" t="s">
        <v>95</v>
      </c>
      <c r="BY55" s="100" t="s">
        <v>475</v>
      </c>
      <c r="BZ55" s="100" t="s">
        <v>95</v>
      </c>
      <c r="CA55" s="100" t="s">
        <v>95</v>
      </c>
      <c r="CB55" s="100">
        <v>42577</v>
      </c>
      <c r="CC55" s="100">
        <v>42577</v>
      </c>
      <c r="CD55" s="100">
        <v>2509</v>
      </c>
      <c r="CE55" s="100">
        <v>5.6000000000000001E-2</v>
      </c>
    </row>
    <row r="56" spans="1:83" s="103" customFormat="1" x14ac:dyDescent="0.25">
      <c r="A56" s="103" t="s">
        <v>635</v>
      </c>
      <c r="B56" s="103">
        <v>146</v>
      </c>
      <c r="C56" s="103" t="s">
        <v>93</v>
      </c>
      <c r="D56" s="103" t="s">
        <v>93</v>
      </c>
      <c r="E56" s="103" t="s">
        <v>95</v>
      </c>
      <c r="F56" s="103" t="s">
        <v>95</v>
      </c>
      <c r="G56" s="103" t="s">
        <v>400</v>
      </c>
      <c r="H56" s="103" t="s">
        <v>94</v>
      </c>
      <c r="I56" s="103">
        <v>1</v>
      </c>
      <c r="J56" s="103">
        <v>0</v>
      </c>
      <c r="K56" s="103">
        <v>1</v>
      </c>
      <c r="L56" s="103">
        <v>30</v>
      </c>
      <c r="M56" s="103">
        <v>20</v>
      </c>
      <c r="N56" s="103">
        <v>100</v>
      </c>
      <c r="O56" s="103">
        <v>187</v>
      </c>
      <c r="P56" s="103">
        <v>150</v>
      </c>
      <c r="Q56" s="103">
        <v>3.2</v>
      </c>
      <c r="R56" s="103">
        <v>49</v>
      </c>
      <c r="S56" s="103">
        <v>1</v>
      </c>
      <c r="T56" s="103">
        <v>1</v>
      </c>
      <c r="U56" s="103">
        <v>1.8</v>
      </c>
      <c r="V56" s="103" t="s">
        <v>95</v>
      </c>
      <c r="W56" s="103">
        <v>1</v>
      </c>
      <c r="X56" s="103">
        <v>32</v>
      </c>
      <c r="Y56" s="103">
        <v>25</v>
      </c>
      <c r="Z56" s="103">
        <v>300</v>
      </c>
      <c r="AA56" s="103">
        <v>110</v>
      </c>
      <c r="AB56" s="103">
        <v>1.3</v>
      </c>
      <c r="AC56" s="103" t="s">
        <v>95</v>
      </c>
      <c r="AD56" s="103" t="s">
        <v>95</v>
      </c>
      <c r="AE56" s="103" t="s">
        <v>95</v>
      </c>
      <c r="AF56" s="103">
        <v>3.7000000000000002E-3</v>
      </c>
      <c r="AG56" s="103" t="s">
        <v>95</v>
      </c>
      <c r="AH56" s="103" t="s">
        <v>95</v>
      </c>
      <c r="AI56" s="103">
        <v>2.8999999999999998E-3</v>
      </c>
      <c r="AJ56" s="103">
        <v>0.45</v>
      </c>
      <c r="AK56" s="103">
        <v>13.2</v>
      </c>
      <c r="AL56" s="103">
        <v>5</v>
      </c>
      <c r="AM56" s="103">
        <v>2.9</v>
      </c>
      <c r="AN56" s="103">
        <v>28</v>
      </c>
      <c r="AO56" s="103" t="s">
        <v>95</v>
      </c>
      <c r="AP56" s="103">
        <v>2.04</v>
      </c>
      <c r="AQ56" s="103" t="s">
        <v>95</v>
      </c>
      <c r="AR56" s="103" t="s">
        <v>95</v>
      </c>
      <c r="AS56" s="103">
        <v>1.35</v>
      </c>
      <c r="AT56" s="103" t="s">
        <v>95</v>
      </c>
      <c r="AU56" s="103" t="s">
        <v>95</v>
      </c>
      <c r="AV56" s="103">
        <v>6.6000000000000003E-2</v>
      </c>
      <c r="AW56" s="103" t="s">
        <v>95</v>
      </c>
      <c r="AX56" s="103">
        <v>15</v>
      </c>
      <c r="AY56" s="103" t="s">
        <v>95</v>
      </c>
      <c r="AZ56" s="103" t="s">
        <v>95</v>
      </c>
      <c r="BA56" s="103" t="s">
        <v>95</v>
      </c>
      <c r="BB56" s="103" t="s">
        <v>95</v>
      </c>
      <c r="BC56" s="103" t="s">
        <v>95</v>
      </c>
      <c r="BD56" s="103" t="s">
        <v>95</v>
      </c>
      <c r="BE56" s="103" t="s">
        <v>95</v>
      </c>
      <c r="BF56" s="103" t="s">
        <v>95</v>
      </c>
      <c r="BG56" s="103" t="s">
        <v>95</v>
      </c>
      <c r="BH56" s="103" t="s">
        <v>95</v>
      </c>
      <c r="BI56" s="103" t="s">
        <v>95</v>
      </c>
      <c r="BJ56" s="103" t="s">
        <v>95</v>
      </c>
      <c r="BK56" s="103" t="s">
        <v>94</v>
      </c>
      <c r="BL56" s="103">
        <v>0.8</v>
      </c>
      <c r="BM56" s="103" t="s">
        <v>95</v>
      </c>
      <c r="BN56" s="103">
        <v>1155</v>
      </c>
      <c r="BO56" s="103" t="s">
        <v>95</v>
      </c>
      <c r="BP56" s="103" t="s">
        <v>93</v>
      </c>
      <c r="BQ56" s="104" t="s">
        <v>648</v>
      </c>
      <c r="BR56" s="103" t="s">
        <v>95</v>
      </c>
      <c r="BS56" s="103">
        <v>2.6</v>
      </c>
      <c r="BT56" s="103">
        <v>2.5</v>
      </c>
      <c r="BU56" s="103">
        <v>46</v>
      </c>
      <c r="BV56" s="103">
        <v>3.5</v>
      </c>
      <c r="BW56" s="103">
        <v>5.4</v>
      </c>
      <c r="BX56" s="103" t="s">
        <v>95</v>
      </c>
      <c r="BY56" s="103" t="s">
        <v>213</v>
      </c>
      <c r="BZ56" s="103" t="s">
        <v>95</v>
      </c>
      <c r="CA56" s="103" t="s">
        <v>95</v>
      </c>
      <c r="CB56" s="103" t="s">
        <v>95</v>
      </c>
      <c r="CC56" s="103" t="s">
        <v>95</v>
      </c>
      <c r="CD56" s="103" t="s">
        <v>95</v>
      </c>
      <c r="CE56" s="103">
        <v>0.625</v>
      </c>
    </row>
    <row r="57" spans="1:83" s="103" customFormat="1" x14ac:dyDescent="0.25">
      <c r="A57" s="103" t="s">
        <v>636</v>
      </c>
      <c r="B57" s="103">
        <v>146</v>
      </c>
      <c r="C57" s="103" t="s">
        <v>93</v>
      </c>
      <c r="D57" s="103" t="s">
        <v>93</v>
      </c>
      <c r="E57" s="103" t="s">
        <v>95</v>
      </c>
      <c r="F57" s="103" t="s">
        <v>95</v>
      </c>
      <c r="G57" s="103" t="s">
        <v>400</v>
      </c>
      <c r="H57" s="103" t="s">
        <v>94</v>
      </c>
      <c r="I57" s="103">
        <v>1</v>
      </c>
      <c r="J57" s="103">
        <v>0</v>
      </c>
      <c r="K57" s="103">
        <v>1</v>
      </c>
      <c r="L57" s="103">
        <v>30</v>
      </c>
      <c r="M57" s="103">
        <v>20</v>
      </c>
      <c r="N57" s="103">
        <v>100</v>
      </c>
      <c r="O57" s="103">
        <v>153</v>
      </c>
      <c r="P57" s="103">
        <v>150</v>
      </c>
      <c r="Q57" s="103">
        <v>3.2</v>
      </c>
      <c r="R57" s="103">
        <v>50</v>
      </c>
      <c r="S57" s="103">
        <v>1.3</v>
      </c>
      <c r="T57" s="103">
        <v>1</v>
      </c>
      <c r="U57" s="103">
        <v>1.8</v>
      </c>
      <c r="V57" s="103" t="s">
        <v>95</v>
      </c>
      <c r="W57" s="103">
        <v>1</v>
      </c>
      <c r="X57" s="103">
        <v>28</v>
      </c>
      <c r="Y57" s="103">
        <v>20</v>
      </c>
      <c r="Z57" s="103">
        <v>300</v>
      </c>
      <c r="AA57" s="103">
        <v>82</v>
      </c>
      <c r="AB57" s="103">
        <v>1</v>
      </c>
      <c r="AC57" s="103" t="s">
        <v>95</v>
      </c>
      <c r="AD57" s="103" t="s">
        <v>95</v>
      </c>
      <c r="AE57" s="103" t="s">
        <v>95</v>
      </c>
      <c r="AF57" s="103">
        <v>4.5999999999999999E-3</v>
      </c>
      <c r="AG57" s="103" t="s">
        <v>95</v>
      </c>
      <c r="AH57" s="103" t="s">
        <v>95</v>
      </c>
      <c r="AI57" s="103">
        <v>3.5000000000000001E-3</v>
      </c>
      <c r="AJ57" s="103">
        <v>0.5</v>
      </c>
      <c r="AK57" s="103">
        <v>10</v>
      </c>
      <c r="AL57" s="103">
        <v>3</v>
      </c>
      <c r="AM57" s="103">
        <v>1.9</v>
      </c>
      <c r="AN57" s="103">
        <v>22</v>
      </c>
      <c r="AO57" s="103" t="s">
        <v>95</v>
      </c>
      <c r="AP57" s="103">
        <v>1.56</v>
      </c>
      <c r="AQ57" s="103" t="s">
        <v>95</v>
      </c>
      <c r="AR57" s="103" t="s">
        <v>95</v>
      </c>
      <c r="AS57" s="103">
        <v>1.03</v>
      </c>
      <c r="AT57" s="103" t="s">
        <v>95</v>
      </c>
      <c r="AU57" s="103" t="s">
        <v>95</v>
      </c>
      <c r="AV57" s="103">
        <v>6.5000000000000002E-2</v>
      </c>
      <c r="AW57" s="103" t="s">
        <v>95</v>
      </c>
      <c r="AX57" s="103">
        <v>15</v>
      </c>
      <c r="AY57" s="103" t="s">
        <v>95</v>
      </c>
      <c r="AZ57" s="103" t="s">
        <v>95</v>
      </c>
      <c r="BA57" s="103" t="s">
        <v>95</v>
      </c>
      <c r="BB57" s="103" t="s">
        <v>95</v>
      </c>
      <c r="BC57" s="103" t="s">
        <v>95</v>
      </c>
      <c r="BD57" s="103" t="s">
        <v>95</v>
      </c>
      <c r="BE57" s="103" t="s">
        <v>95</v>
      </c>
      <c r="BF57" s="103" t="s">
        <v>95</v>
      </c>
      <c r="BG57" s="103" t="s">
        <v>95</v>
      </c>
      <c r="BH57" s="103" t="s">
        <v>95</v>
      </c>
      <c r="BI57" s="103" t="s">
        <v>95</v>
      </c>
      <c r="BJ57" s="103" t="s">
        <v>95</v>
      </c>
      <c r="BK57" s="103" t="s">
        <v>94</v>
      </c>
      <c r="BL57" s="103">
        <v>0.8</v>
      </c>
      <c r="BM57" s="103" t="s">
        <v>95</v>
      </c>
      <c r="BN57" s="103">
        <v>1155</v>
      </c>
      <c r="BO57" s="103" t="s">
        <v>95</v>
      </c>
      <c r="BP57" s="103" t="s">
        <v>93</v>
      </c>
      <c r="BQ57" s="104" t="s">
        <v>649</v>
      </c>
      <c r="BR57" s="103" t="s">
        <v>95</v>
      </c>
      <c r="BS57" s="103">
        <v>2</v>
      </c>
      <c r="BT57" s="103">
        <v>2.5</v>
      </c>
      <c r="BU57" s="103">
        <v>30</v>
      </c>
      <c r="BV57" s="103">
        <v>2.7</v>
      </c>
      <c r="BW57" s="103">
        <v>3.5</v>
      </c>
      <c r="BX57" s="103" t="s">
        <v>95</v>
      </c>
      <c r="BY57" s="103" t="s">
        <v>213</v>
      </c>
      <c r="BZ57" s="103" t="s">
        <v>95</v>
      </c>
      <c r="CA57" s="103" t="s">
        <v>95</v>
      </c>
      <c r="CB57" s="103" t="s">
        <v>95</v>
      </c>
      <c r="CC57" s="103" t="s">
        <v>95</v>
      </c>
      <c r="CD57" s="103" t="s">
        <v>95</v>
      </c>
      <c r="CE57" s="103">
        <v>0.56200000000000006</v>
      </c>
    </row>
    <row r="58" spans="1:83" s="103" customFormat="1" x14ac:dyDescent="0.25">
      <c r="A58" s="103" t="s">
        <v>637</v>
      </c>
      <c r="B58" s="103">
        <v>146</v>
      </c>
      <c r="C58" s="103" t="s">
        <v>93</v>
      </c>
      <c r="D58" s="103" t="s">
        <v>93</v>
      </c>
      <c r="E58" s="103" t="s">
        <v>95</v>
      </c>
      <c r="F58" s="103" t="s">
        <v>95</v>
      </c>
      <c r="G58" s="103" t="s">
        <v>400</v>
      </c>
      <c r="H58" s="103" t="s">
        <v>94</v>
      </c>
      <c r="I58" s="103">
        <v>1</v>
      </c>
      <c r="J58" s="103">
        <v>0</v>
      </c>
      <c r="K58" s="103">
        <v>1</v>
      </c>
      <c r="L58" s="103">
        <v>30</v>
      </c>
      <c r="M58" s="103">
        <v>20</v>
      </c>
      <c r="N58" s="103">
        <v>100</v>
      </c>
      <c r="O58" s="103">
        <v>150</v>
      </c>
      <c r="P58" s="103">
        <v>150</v>
      </c>
      <c r="Q58" s="103">
        <v>3.2</v>
      </c>
      <c r="R58" s="103">
        <v>50</v>
      </c>
      <c r="S58" s="103">
        <v>1</v>
      </c>
      <c r="T58" s="103">
        <v>1</v>
      </c>
      <c r="U58" s="103">
        <v>1.8</v>
      </c>
      <c r="V58" s="103" t="s">
        <v>95</v>
      </c>
      <c r="W58" s="103">
        <v>1</v>
      </c>
      <c r="X58" s="103">
        <v>27</v>
      </c>
      <c r="Y58" s="103">
        <v>20</v>
      </c>
      <c r="Z58" s="103">
        <v>300</v>
      </c>
      <c r="AA58" s="103">
        <v>76</v>
      </c>
      <c r="AB58" s="103">
        <v>1.1000000000000001</v>
      </c>
      <c r="AC58" s="103" t="s">
        <v>95</v>
      </c>
      <c r="AD58" s="103" t="s">
        <v>95</v>
      </c>
      <c r="AE58" s="103" t="s">
        <v>95</v>
      </c>
      <c r="AF58" s="103">
        <v>5.3E-3</v>
      </c>
      <c r="AG58" s="103" t="s">
        <v>95</v>
      </c>
      <c r="AH58" s="103" t="s">
        <v>95</v>
      </c>
      <c r="AI58" s="103">
        <v>4.0000000000000001E-3</v>
      </c>
      <c r="AJ58" s="103">
        <v>0.45</v>
      </c>
      <c r="AK58" s="103">
        <v>8.3000000000000007</v>
      </c>
      <c r="AL58" s="103">
        <v>2.5</v>
      </c>
      <c r="AM58" s="103">
        <v>1.6</v>
      </c>
      <c r="AN58" s="103">
        <v>17</v>
      </c>
      <c r="AO58" s="103" t="s">
        <v>95</v>
      </c>
      <c r="AP58" s="103">
        <v>1.27</v>
      </c>
      <c r="AQ58" s="103" t="s">
        <v>95</v>
      </c>
      <c r="AR58" s="103" t="s">
        <v>95</v>
      </c>
      <c r="AS58" s="103">
        <v>0.86</v>
      </c>
      <c r="AT58" s="103" t="s">
        <v>95</v>
      </c>
      <c r="AU58" s="103" t="s">
        <v>95</v>
      </c>
      <c r="AV58" s="103">
        <v>0.05</v>
      </c>
      <c r="AW58" s="103" t="s">
        <v>95</v>
      </c>
      <c r="AX58" s="103">
        <v>15</v>
      </c>
      <c r="AY58" s="103" t="s">
        <v>95</v>
      </c>
      <c r="AZ58" s="103" t="s">
        <v>95</v>
      </c>
      <c r="BA58" s="103" t="s">
        <v>95</v>
      </c>
      <c r="BB58" s="103" t="s">
        <v>95</v>
      </c>
      <c r="BC58" s="103" t="s">
        <v>95</v>
      </c>
      <c r="BD58" s="103" t="s">
        <v>95</v>
      </c>
      <c r="BE58" s="103" t="s">
        <v>95</v>
      </c>
      <c r="BF58" s="103" t="s">
        <v>95</v>
      </c>
      <c r="BG58" s="103" t="s">
        <v>95</v>
      </c>
      <c r="BH58" s="103" t="s">
        <v>95</v>
      </c>
      <c r="BI58" s="103" t="s">
        <v>95</v>
      </c>
      <c r="BJ58" s="103" t="s">
        <v>95</v>
      </c>
      <c r="BK58" s="103" t="s">
        <v>94</v>
      </c>
      <c r="BL58" s="103">
        <v>0.8</v>
      </c>
      <c r="BM58" s="103" t="s">
        <v>95</v>
      </c>
      <c r="BN58" s="103">
        <v>1155</v>
      </c>
      <c r="BO58" s="103" t="s">
        <v>95</v>
      </c>
      <c r="BP58" s="103" t="s">
        <v>93</v>
      </c>
      <c r="BQ58" s="104" t="s">
        <v>650</v>
      </c>
      <c r="BR58" s="103" t="s">
        <v>95</v>
      </c>
      <c r="BS58" s="103">
        <v>2.2000000000000002</v>
      </c>
      <c r="BT58" s="103">
        <v>2.5</v>
      </c>
      <c r="BU58" s="103">
        <v>33</v>
      </c>
      <c r="BV58" s="103">
        <v>2.2999999999999998</v>
      </c>
      <c r="BW58" s="103">
        <v>3.1</v>
      </c>
      <c r="BX58" s="103" t="s">
        <v>95</v>
      </c>
      <c r="BY58" s="103" t="s">
        <v>213</v>
      </c>
      <c r="BZ58" s="103" t="s">
        <v>95</v>
      </c>
      <c r="CA58" s="103" t="s">
        <v>95</v>
      </c>
      <c r="CB58" s="103" t="s">
        <v>95</v>
      </c>
      <c r="CC58" s="103" t="s">
        <v>95</v>
      </c>
      <c r="CD58" s="103" t="s">
        <v>95</v>
      </c>
      <c r="CE58" s="103">
        <v>0.495</v>
      </c>
    </row>
    <row r="59" spans="1:83" s="103" customFormat="1" x14ac:dyDescent="0.25">
      <c r="A59" s="103" t="s">
        <v>638</v>
      </c>
      <c r="B59" s="103">
        <v>146</v>
      </c>
      <c r="C59" s="103" t="s">
        <v>93</v>
      </c>
      <c r="D59" s="103" t="s">
        <v>93</v>
      </c>
      <c r="E59" s="103" t="s">
        <v>95</v>
      </c>
      <c r="F59" s="103" t="s">
        <v>95</v>
      </c>
      <c r="G59" s="103" t="s">
        <v>400</v>
      </c>
      <c r="H59" s="103" t="s">
        <v>94</v>
      </c>
      <c r="I59" s="103">
        <v>1</v>
      </c>
      <c r="J59" s="103">
        <v>0</v>
      </c>
      <c r="K59" s="103">
        <v>1</v>
      </c>
      <c r="L59" s="103">
        <v>30</v>
      </c>
      <c r="M59" s="103">
        <v>20</v>
      </c>
      <c r="N59" s="103">
        <v>61</v>
      </c>
      <c r="O59" s="103">
        <v>163</v>
      </c>
      <c r="P59" s="103">
        <v>150</v>
      </c>
      <c r="Q59" s="103">
        <v>3.1</v>
      </c>
      <c r="R59" s="103">
        <v>50</v>
      </c>
      <c r="S59" s="103">
        <v>2.1</v>
      </c>
      <c r="T59" s="103">
        <v>1.1000000000000001</v>
      </c>
      <c r="U59" s="103">
        <v>2.1</v>
      </c>
      <c r="V59" s="103" t="s">
        <v>95</v>
      </c>
      <c r="W59" s="103">
        <v>1</v>
      </c>
      <c r="X59" s="103">
        <v>16</v>
      </c>
      <c r="Y59" s="103">
        <v>11</v>
      </c>
      <c r="Z59" s="103">
        <v>300</v>
      </c>
      <c r="AA59" s="103">
        <v>44</v>
      </c>
      <c r="AB59" s="103">
        <v>0.7</v>
      </c>
      <c r="AC59" s="103" t="s">
        <v>95</v>
      </c>
      <c r="AD59" s="103" t="s">
        <v>95</v>
      </c>
      <c r="AE59" s="103" t="s">
        <v>95</v>
      </c>
      <c r="AF59" s="103">
        <v>1.61E-2</v>
      </c>
      <c r="AG59" s="103" t="s">
        <v>95</v>
      </c>
      <c r="AH59" s="103" t="s">
        <v>95</v>
      </c>
      <c r="AI59" s="103">
        <v>1.0800000000000001E-2</v>
      </c>
      <c r="AJ59" s="103">
        <v>0.47</v>
      </c>
      <c r="AK59" s="103">
        <v>2.8</v>
      </c>
      <c r="AL59" s="103">
        <v>1</v>
      </c>
      <c r="AM59" s="103">
        <v>0.7</v>
      </c>
      <c r="AN59" s="103">
        <v>6</v>
      </c>
      <c r="AO59" s="103" t="s">
        <v>95</v>
      </c>
      <c r="AP59" s="103">
        <v>0.41</v>
      </c>
      <c r="AQ59" s="103" t="s">
        <v>95</v>
      </c>
      <c r="AR59" s="103" t="s">
        <v>95</v>
      </c>
      <c r="AS59" s="103">
        <v>0.27</v>
      </c>
      <c r="AT59" s="103" t="s">
        <v>95</v>
      </c>
      <c r="AU59" s="103" t="s">
        <v>95</v>
      </c>
      <c r="AV59" s="103">
        <v>2.3E-2</v>
      </c>
      <c r="AW59" s="103" t="s">
        <v>95</v>
      </c>
      <c r="AX59" s="103">
        <v>15</v>
      </c>
      <c r="AY59" s="103" t="s">
        <v>95</v>
      </c>
      <c r="AZ59" s="103" t="s">
        <v>95</v>
      </c>
      <c r="BA59" s="103" t="s">
        <v>95</v>
      </c>
      <c r="BB59" s="103" t="s">
        <v>95</v>
      </c>
      <c r="BC59" s="103" t="s">
        <v>95</v>
      </c>
      <c r="BD59" s="103" t="s">
        <v>95</v>
      </c>
      <c r="BE59" s="103" t="s">
        <v>95</v>
      </c>
      <c r="BF59" s="103" t="s">
        <v>95</v>
      </c>
      <c r="BG59" s="103" t="s">
        <v>95</v>
      </c>
      <c r="BH59" s="103" t="s">
        <v>95</v>
      </c>
      <c r="BI59" s="103" t="s">
        <v>95</v>
      </c>
      <c r="BJ59" s="103" t="s">
        <v>95</v>
      </c>
      <c r="BK59" s="103" t="s">
        <v>94</v>
      </c>
      <c r="BL59" s="103">
        <v>0.85</v>
      </c>
      <c r="BM59" s="103" t="s">
        <v>95</v>
      </c>
      <c r="BN59" s="103">
        <v>1155</v>
      </c>
      <c r="BO59" s="103" t="s">
        <v>95</v>
      </c>
      <c r="BP59" s="103" t="s">
        <v>93</v>
      </c>
      <c r="BQ59" s="104" t="s">
        <v>651</v>
      </c>
      <c r="BR59" s="103" t="s">
        <v>95</v>
      </c>
      <c r="BS59" s="103">
        <v>1.4</v>
      </c>
      <c r="BT59" s="103">
        <v>3</v>
      </c>
      <c r="BU59" s="103">
        <v>11</v>
      </c>
      <c r="BV59" s="103">
        <v>0.7</v>
      </c>
      <c r="BW59" s="103">
        <v>1.3</v>
      </c>
      <c r="BX59" s="103" t="s">
        <v>95</v>
      </c>
      <c r="BY59" s="103" t="s">
        <v>213</v>
      </c>
      <c r="BZ59" s="103" t="s">
        <v>95</v>
      </c>
      <c r="CA59" s="103" t="s">
        <v>95</v>
      </c>
      <c r="CB59" s="103" t="s">
        <v>95</v>
      </c>
      <c r="CC59" s="103" t="s">
        <v>95</v>
      </c>
      <c r="CD59" s="103" t="s">
        <v>95</v>
      </c>
      <c r="CE59" s="103">
        <v>0.24399999999999999</v>
      </c>
    </row>
    <row r="60" spans="1:83" s="103" customFormat="1" x14ac:dyDescent="0.25">
      <c r="A60" s="103" t="s">
        <v>639</v>
      </c>
      <c r="B60" s="103">
        <v>146</v>
      </c>
      <c r="C60" s="103" t="s">
        <v>93</v>
      </c>
      <c r="D60" s="103" t="s">
        <v>93</v>
      </c>
      <c r="E60" s="103" t="s">
        <v>95</v>
      </c>
      <c r="F60" s="103" t="s">
        <v>95</v>
      </c>
      <c r="G60" s="103" t="s">
        <v>400</v>
      </c>
      <c r="H60" s="103" t="s">
        <v>94</v>
      </c>
      <c r="I60" s="103">
        <v>1</v>
      </c>
      <c r="J60" s="103">
        <v>0</v>
      </c>
      <c r="K60" s="103">
        <v>1</v>
      </c>
      <c r="L60" s="103">
        <v>30</v>
      </c>
      <c r="M60" s="103">
        <v>20</v>
      </c>
      <c r="N60" s="103">
        <v>55</v>
      </c>
      <c r="O60" s="103">
        <v>129</v>
      </c>
      <c r="P60" s="103">
        <v>150</v>
      </c>
      <c r="Q60" s="103">
        <v>3</v>
      </c>
      <c r="R60" s="103">
        <v>51</v>
      </c>
      <c r="S60" s="103">
        <v>1.6</v>
      </c>
      <c r="T60" s="103">
        <v>1</v>
      </c>
      <c r="U60" s="103">
        <v>2.1</v>
      </c>
      <c r="V60" s="103" t="s">
        <v>95</v>
      </c>
      <c r="W60" s="103">
        <v>1</v>
      </c>
      <c r="X60" s="103">
        <v>24</v>
      </c>
      <c r="Y60" s="103">
        <v>20</v>
      </c>
      <c r="Z60" s="103">
        <v>300</v>
      </c>
      <c r="AA60" s="103">
        <v>59</v>
      </c>
      <c r="AB60" s="103">
        <v>0.85</v>
      </c>
      <c r="AC60" s="103" t="s">
        <v>95</v>
      </c>
      <c r="AD60" s="103" t="s">
        <v>95</v>
      </c>
      <c r="AE60" s="103" t="s">
        <v>95</v>
      </c>
      <c r="AF60" s="103">
        <v>7.3000000000000001E-3</v>
      </c>
      <c r="AG60" s="103" t="s">
        <v>95</v>
      </c>
      <c r="AH60" s="103" t="s">
        <v>95</v>
      </c>
      <c r="AI60" s="103">
        <v>5.1999999999999998E-3</v>
      </c>
      <c r="AJ60" s="103">
        <v>0.47</v>
      </c>
      <c r="AK60" s="103">
        <v>6.4</v>
      </c>
      <c r="AL60" s="103">
        <v>2.5</v>
      </c>
      <c r="AM60" s="103">
        <v>1.5</v>
      </c>
      <c r="AN60" s="103">
        <v>13</v>
      </c>
      <c r="AO60" s="103" t="s">
        <v>95</v>
      </c>
      <c r="AP60" s="103">
        <v>0.96</v>
      </c>
      <c r="AQ60" s="103" t="s">
        <v>95</v>
      </c>
      <c r="AR60" s="103" t="s">
        <v>95</v>
      </c>
      <c r="AS60" s="103">
        <v>0.63</v>
      </c>
      <c r="AT60" s="103" t="s">
        <v>95</v>
      </c>
      <c r="AU60" s="103" t="s">
        <v>95</v>
      </c>
      <c r="AV60" s="103">
        <v>5.0999999999999997E-2</v>
      </c>
      <c r="AW60" s="103" t="s">
        <v>95</v>
      </c>
      <c r="AX60" s="103">
        <v>15</v>
      </c>
      <c r="AY60" s="103" t="s">
        <v>95</v>
      </c>
      <c r="AZ60" s="103" t="s">
        <v>95</v>
      </c>
      <c r="BA60" s="103" t="s">
        <v>95</v>
      </c>
      <c r="BB60" s="103" t="s">
        <v>95</v>
      </c>
      <c r="BC60" s="103" t="s">
        <v>95</v>
      </c>
      <c r="BD60" s="103" t="s">
        <v>95</v>
      </c>
      <c r="BE60" s="103" t="s">
        <v>95</v>
      </c>
      <c r="BF60" s="103" t="s">
        <v>95</v>
      </c>
      <c r="BG60" s="103" t="s">
        <v>95</v>
      </c>
      <c r="BH60" s="103" t="s">
        <v>95</v>
      </c>
      <c r="BI60" s="103" t="s">
        <v>95</v>
      </c>
      <c r="BJ60" s="103" t="s">
        <v>95</v>
      </c>
      <c r="BK60" s="103" t="s">
        <v>94</v>
      </c>
      <c r="BL60" s="103">
        <v>0.85</v>
      </c>
      <c r="BM60" s="103" t="s">
        <v>95</v>
      </c>
      <c r="BN60" s="103">
        <v>1155</v>
      </c>
      <c r="BO60" s="103" t="s">
        <v>95</v>
      </c>
      <c r="BP60" s="103" t="s">
        <v>93</v>
      </c>
      <c r="BQ60" s="104" t="s">
        <v>652</v>
      </c>
      <c r="BR60" s="103" t="s">
        <v>95</v>
      </c>
      <c r="BS60" s="103">
        <v>1.7</v>
      </c>
      <c r="BT60" s="103">
        <v>3</v>
      </c>
      <c r="BU60" s="103">
        <v>25</v>
      </c>
      <c r="BV60" s="103">
        <v>1.9</v>
      </c>
      <c r="BW60" s="103">
        <v>2.7</v>
      </c>
      <c r="BX60" s="103" t="s">
        <v>95</v>
      </c>
      <c r="BY60" s="103" t="s">
        <v>213</v>
      </c>
      <c r="BZ60" s="103" t="s">
        <v>95</v>
      </c>
      <c r="CA60" s="103" t="s">
        <v>95</v>
      </c>
      <c r="CB60" s="103" t="s">
        <v>95</v>
      </c>
      <c r="CC60" s="103" t="s">
        <v>95</v>
      </c>
      <c r="CD60" s="103" t="s">
        <v>95</v>
      </c>
      <c r="CE60" s="103">
        <v>0.35799999999999998</v>
      </c>
    </row>
    <row r="61" spans="1:83" s="103" customFormat="1" x14ac:dyDescent="0.25">
      <c r="A61" s="103" t="s">
        <v>640</v>
      </c>
      <c r="B61" s="103">
        <v>146</v>
      </c>
      <c r="C61" s="103" t="s">
        <v>93</v>
      </c>
      <c r="D61" s="103" t="s">
        <v>93</v>
      </c>
      <c r="E61" s="103" t="s">
        <v>95</v>
      </c>
      <c r="F61" s="103" t="s">
        <v>95</v>
      </c>
      <c r="G61" s="103" t="s">
        <v>400</v>
      </c>
      <c r="H61" s="103" t="s">
        <v>94</v>
      </c>
      <c r="I61" s="103">
        <v>1</v>
      </c>
      <c r="J61" s="103">
        <v>0</v>
      </c>
      <c r="K61" s="103">
        <v>1</v>
      </c>
      <c r="L61" s="103">
        <v>30</v>
      </c>
      <c r="M61" s="103">
        <v>20</v>
      </c>
      <c r="N61" s="103">
        <v>87</v>
      </c>
      <c r="O61" s="103">
        <v>104</v>
      </c>
      <c r="P61" s="103">
        <v>150</v>
      </c>
      <c r="Q61" s="103">
        <v>3</v>
      </c>
      <c r="R61" s="103">
        <v>51</v>
      </c>
      <c r="S61" s="103">
        <v>1.8</v>
      </c>
      <c r="T61" s="103">
        <v>1.1000000000000001</v>
      </c>
      <c r="U61" s="103">
        <v>2</v>
      </c>
      <c r="V61" s="103" t="s">
        <v>95</v>
      </c>
      <c r="W61" s="103">
        <v>1</v>
      </c>
      <c r="X61" s="103">
        <v>17.8</v>
      </c>
      <c r="Y61" s="103">
        <v>14</v>
      </c>
      <c r="Z61" s="103">
        <v>300</v>
      </c>
      <c r="AA61" s="103">
        <v>37</v>
      </c>
      <c r="AB61" s="103">
        <v>4.7</v>
      </c>
      <c r="AC61" s="103" t="s">
        <v>95</v>
      </c>
      <c r="AD61" s="103" t="s">
        <v>95</v>
      </c>
      <c r="AE61" s="103" t="s">
        <v>95</v>
      </c>
      <c r="AF61" s="103">
        <v>1.24E-2</v>
      </c>
      <c r="AG61" s="103" t="s">
        <v>95</v>
      </c>
      <c r="AH61" s="103" t="s">
        <v>95</v>
      </c>
      <c r="AI61" s="103">
        <v>8.0999999999999996E-3</v>
      </c>
      <c r="AJ61" s="103">
        <v>0.42</v>
      </c>
      <c r="AK61" s="103">
        <v>3.6</v>
      </c>
      <c r="AL61" s="103">
        <v>1</v>
      </c>
      <c r="AM61" s="103">
        <v>0.9</v>
      </c>
      <c r="AN61" s="103">
        <v>7.5</v>
      </c>
      <c r="AO61" s="103" t="s">
        <v>95</v>
      </c>
      <c r="AP61" s="103">
        <v>0.57999999999999996</v>
      </c>
      <c r="AQ61" s="103" t="s">
        <v>95</v>
      </c>
      <c r="AR61" s="103" t="s">
        <v>95</v>
      </c>
      <c r="AS61" s="103">
        <v>0.39</v>
      </c>
      <c r="AT61" s="103" t="s">
        <v>95</v>
      </c>
      <c r="AU61" s="103" t="s">
        <v>95</v>
      </c>
      <c r="AV61" s="103">
        <v>3.5000000000000003E-2</v>
      </c>
      <c r="AW61" s="103" t="s">
        <v>95</v>
      </c>
      <c r="AX61" s="103">
        <v>15</v>
      </c>
      <c r="AY61" s="103" t="s">
        <v>95</v>
      </c>
      <c r="AZ61" s="103" t="s">
        <v>95</v>
      </c>
      <c r="BA61" s="103" t="s">
        <v>95</v>
      </c>
      <c r="BB61" s="103" t="s">
        <v>95</v>
      </c>
      <c r="BC61" s="103" t="s">
        <v>95</v>
      </c>
      <c r="BD61" s="103" t="s">
        <v>95</v>
      </c>
      <c r="BE61" s="103" t="s">
        <v>95</v>
      </c>
      <c r="BF61" s="103" t="s">
        <v>95</v>
      </c>
      <c r="BG61" s="103" t="s">
        <v>95</v>
      </c>
      <c r="BH61" s="103" t="s">
        <v>95</v>
      </c>
      <c r="BI61" s="103" t="s">
        <v>95</v>
      </c>
      <c r="BJ61" s="103" t="s">
        <v>95</v>
      </c>
      <c r="BK61" s="103" t="s">
        <v>94</v>
      </c>
      <c r="BL61" s="103">
        <v>0.85</v>
      </c>
      <c r="BM61" s="103" t="s">
        <v>95</v>
      </c>
      <c r="BN61" s="103">
        <v>1155</v>
      </c>
      <c r="BO61" s="103" t="s">
        <v>95</v>
      </c>
      <c r="BP61" s="103" t="s">
        <v>93</v>
      </c>
      <c r="BQ61" s="104" t="s">
        <v>653</v>
      </c>
      <c r="BR61" s="103" t="s">
        <v>95</v>
      </c>
      <c r="BS61" s="103" t="s">
        <v>95</v>
      </c>
      <c r="BT61" s="103">
        <v>3</v>
      </c>
      <c r="BU61" s="103">
        <v>19.600000000000001</v>
      </c>
      <c r="BV61" s="103">
        <v>1.1000000000000001</v>
      </c>
      <c r="BW61" s="103">
        <v>1.6</v>
      </c>
      <c r="BX61" s="103" t="s">
        <v>95</v>
      </c>
      <c r="BY61" s="103" t="s">
        <v>213</v>
      </c>
      <c r="BZ61" s="103" t="s">
        <v>95</v>
      </c>
      <c r="CA61" s="103" t="s">
        <v>95</v>
      </c>
      <c r="CB61" s="103" t="s">
        <v>95</v>
      </c>
      <c r="CC61" s="103" t="s">
        <v>95</v>
      </c>
      <c r="CD61" s="103" t="s">
        <v>95</v>
      </c>
      <c r="CE61" s="103">
        <v>0.374</v>
      </c>
    </row>
    <row r="62" spans="1:83" s="103" customFormat="1" x14ac:dyDescent="0.25">
      <c r="A62" s="103" t="s">
        <v>641</v>
      </c>
      <c r="B62" s="103">
        <v>146</v>
      </c>
      <c r="C62" s="103" t="s">
        <v>93</v>
      </c>
      <c r="D62" s="103" t="s">
        <v>93</v>
      </c>
      <c r="E62" s="103" t="s">
        <v>95</v>
      </c>
      <c r="F62" s="103" t="s">
        <v>95</v>
      </c>
      <c r="G62" s="103" t="s">
        <v>400</v>
      </c>
      <c r="H62" s="103" t="s">
        <v>94</v>
      </c>
      <c r="I62" s="103">
        <v>1</v>
      </c>
      <c r="J62" s="103">
        <v>0</v>
      </c>
      <c r="K62" s="103">
        <v>1</v>
      </c>
      <c r="L62" s="103">
        <v>30</v>
      </c>
      <c r="M62" s="103">
        <v>20</v>
      </c>
      <c r="N62" s="103">
        <v>65</v>
      </c>
      <c r="O62" s="103">
        <v>85</v>
      </c>
      <c r="P62" s="103">
        <v>150</v>
      </c>
      <c r="Q62" s="103">
        <v>3</v>
      </c>
      <c r="R62" s="103">
        <v>51</v>
      </c>
      <c r="S62" s="103">
        <v>1.9</v>
      </c>
      <c r="T62" s="103">
        <v>1.1000000000000001</v>
      </c>
      <c r="U62" s="103">
        <v>2</v>
      </c>
      <c r="V62" s="103" t="s">
        <v>95</v>
      </c>
      <c r="W62" s="103">
        <v>1</v>
      </c>
      <c r="X62" s="103">
        <v>14.6</v>
      </c>
      <c r="Y62" s="103">
        <v>11</v>
      </c>
      <c r="Z62" s="103">
        <v>300</v>
      </c>
      <c r="AA62" s="103">
        <v>44</v>
      </c>
      <c r="AB62" s="103">
        <v>4.7</v>
      </c>
      <c r="AC62" s="103" t="s">
        <v>95</v>
      </c>
      <c r="AD62" s="103" t="s">
        <v>95</v>
      </c>
      <c r="AE62" s="103" t="s">
        <v>95</v>
      </c>
      <c r="AF62" s="103">
        <v>1.55E-2</v>
      </c>
      <c r="AG62" s="103" t="s">
        <v>95</v>
      </c>
      <c r="AH62" s="103" t="s">
        <v>95</v>
      </c>
      <c r="AI62" s="103">
        <v>1.0800000000000001E-2</v>
      </c>
      <c r="AJ62" s="103">
        <v>0.5</v>
      </c>
      <c r="AK62" s="103">
        <v>2.8</v>
      </c>
      <c r="AL62" s="103">
        <v>1</v>
      </c>
      <c r="AM62" s="103">
        <v>0.6</v>
      </c>
      <c r="AN62" s="103">
        <v>6</v>
      </c>
      <c r="AO62" s="103" t="s">
        <v>95</v>
      </c>
      <c r="AP62" s="103">
        <v>0.42199999999999999</v>
      </c>
      <c r="AQ62" s="103" t="s">
        <v>95</v>
      </c>
      <c r="AR62" s="103" t="s">
        <v>95</v>
      </c>
      <c r="AS62" s="103">
        <v>0.28599999999999998</v>
      </c>
      <c r="AT62" s="103" t="s">
        <v>95</v>
      </c>
      <c r="AU62" s="103" t="s">
        <v>95</v>
      </c>
      <c r="AV62" s="103">
        <v>2.5999999999999999E-2</v>
      </c>
      <c r="AW62" s="103" t="s">
        <v>95</v>
      </c>
      <c r="AX62" s="103">
        <v>15</v>
      </c>
      <c r="AY62" s="103" t="s">
        <v>95</v>
      </c>
      <c r="AZ62" s="103" t="s">
        <v>95</v>
      </c>
      <c r="BA62" s="103" t="s">
        <v>95</v>
      </c>
      <c r="BB62" s="103" t="s">
        <v>95</v>
      </c>
      <c r="BC62" s="103" t="s">
        <v>95</v>
      </c>
      <c r="BD62" s="103" t="s">
        <v>95</v>
      </c>
      <c r="BE62" s="103" t="s">
        <v>95</v>
      </c>
      <c r="BF62" s="103" t="s">
        <v>95</v>
      </c>
      <c r="BG62" s="103" t="s">
        <v>95</v>
      </c>
      <c r="BH62" s="103" t="s">
        <v>95</v>
      </c>
      <c r="BI62" s="103" t="s">
        <v>95</v>
      </c>
      <c r="BJ62" s="103" t="s">
        <v>95</v>
      </c>
      <c r="BK62" s="103" t="s">
        <v>94</v>
      </c>
      <c r="BL62" s="103">
        <v>0.85</v>
      </c>
      <c r="BM62" s="103" t="s">
        <v>95</v>
      </c>
      <c r="BN62" s="103">
        <v>1155</v>
      </c>
      <c r="BO62" s="103" t="s">
        <v>95</v>
      </c>
      <c r="BP62" s="103" t="s">
        <v>93</v>
      </c>
      <c r="BQ62" s="104" t="s">
        <v>654</v>
      </c>
      <c r="BR62" s="103" t="s">
        <v>95</v>
      </c>
      <c r="BS62" s="103" t="s">
        <v>95</v>
      </c>
      <c r="BT62" s="103">
        <v>3.1</v>
      </c>
      <c r="BU62" s="103">
        <v>10.5</v>
      </c>
      <c r="BV62" s="103">
        <v>0.8</v>
      </c>
      <c r="BW62" s="103">
        <v>1.2</v>
      </c>
      <c r="BX62" s="103" t="s">
        <v>95</v>
      </c>
      <c r="BY62" s="103" t="s">
        <v>213</v>
      </c>
      <c r="BZ62" s="103" t="s">
        <v>95</v>
      </c>
      <c r="CA62" s="103" t="s">
        <v>95</v>
      </c>
      <c r="CB62" s="103" t="s">
        <v>95</v>
      </c>
      <c r="CC62" s="103" t="s">
        <v>95</v>
      </c>
      <c r="CD62" s="103" t="s">
        <v>95</v>
      </c>
      <c r="CE62" s="103">
        <v>0.35099999999999998</v>
      </c>
    </row>
    <row r="63" spans="1:83" s="103" customFormat="1" x14ac:dyDescent="0.25">
      <c r="A63" s="103" t="s">
        <v>642</v>
      </c>
      <c r="B63" s="103">
        <v>146</v>
      </c>
      <c r="C63" s="103" t="s">
        <v>93</v>
      </c>
      <c r="D63" s="103" t="s">
        <v>93</v>
      </c>
      <c r="E63" s="103" t="s">
        <v>95</v>
      </c>
      <c r="F63" s="103" t="s">
        <v>95</v>
      </c>
      <c r="G63" s="103" t="s">
        <v>400</v>
      </c>
      <c r="H63" s="103" t="s">
        <v>94</v>
      </c>
      <c r="I63" s="103">
        <v>1</v>
      </c>
      <c r="J63" s="103">
        <v>0</v>
      </c>
      <c r="K63" s="103">
        <v>1</v>
      </c>
      <c r="L63" s="103">
        <v>30</v>
      </c>
      <c r="M63" s="103">
        <v>20</v>
      </c>
      <c r="N63" s="103">
        <v>48</v>
      </c>
      <c r="O63" s="103">
        <v>71</v>
      </c>
      <c r="P63" s="103">
        <v>150</v>
      </c>
      <c r="Q63" s="103">
        <v>2.6</v>
      </c>
      <c r="R63" s="103">
        <v>60</v>
      </c>
      <c r="S63" s="103">
        <v>3.9</v>
      </c>
      <c r="T63" s="103">
        <v>1.1000000000000001</v>
      </c>
      <c r="U63" s="103">
        <v>2.1</v>
      </c>
      <c r="V63" s="103" t="s">
        <v>95</v>
      </c>
      <c r="W63" s="103">
        <v>1</v>
      </c>
      <c r="X63" s="103">
        <v>14</v>
      </c>
      <c r="Y63" s="103">
        <v>11</v>
      </c>
      <c r="Z63" s="103">
        <v>300</v>
      </c>
      <c r="AA63" s="103">
        <v>101</v>
      </c>
      <c r="AB63" s="103">
        <v>1.5</v>
      </c>
      <c r="AC63" s="103" t="s">
        <v>95</v>
      </c>
      <c r="AD63" s="103" t="s">
        <v>95</v>
      </c>
      <c r="AE63" s="103" t="s">
        <v>95</v>
      </c>
      <c r="AF63" s="103">
        <v>1.18E-2</v>
      </c>
      <c r="AG63" s="103" t="s">
        <v>95</v>
      </c>
      <c r="AH63" s="103" t="s">
        <v>95</v>
      </c>
      <c r="AI63" s="103">
        <v>8.9999999999999993E-3</v>
      </c>
      <c r="AJ63" s="103">
        <v>0.7</v>
      </c>
      <c r="AK63" s="103">
        <v>6</v>
      </c>
      <c r="AL63" s="103">
        <v>3</v>
      </c>
      <c r="AM63" s="103">
        <v>1.4</v>
      </c>
      <c r="AN63" s="103">
        <v>13</v>
      </c>
      <c r="AO63" s="103" t="s">
        <v>95</v>
      </c>
      <c r="AP63" s="103">
        <v>1.05</v>
      </c>
      <c r="AQ63" s="103" t="s">
        <v>95</v>
      </c>
      <c r="AR63" s="103" t="s">
        <v>95</v>
      </c>
      <c r="AS63" s="103">
        <v>0.24399999999999999</v>
      </c>
      <c r="AT63" s="103" t="s">
        <v>95</v>
      </c>
      <c r="AU63" s="103" t="s">
        <v>95</v>
      </c>
      <c r="AV63" s="103">
        <v>2.4E-2</v>
      </c>
      <c r="AW63" s="103" t="s">
        <v>95</v>
      </c>
      <c r="AX63" s="103">
        <v>15</v>
      </c>
      <c r="AY63" s="103" t="s">
        <v>95</v>
      </c>
      <c r="AZ63" s="103" t="s">
        <v>95</v>
      </c>
      <c r="BA63" s="103" t="s">
        <v>95</v>
      </c>
      <c r="BB63" s="103" t="s">
        <v>95</v>
      </c>
      <c r="BC63" s="103" t="s">
        <v>95</v>
      </c>
      <c r="BD63" s="103" t="s">
        <v>95</v>
      </c>
      <c r="BE63" s="103" t="s">
        <v>95</v>
      </c>
      <c r="BF63" s="103" t="s">
        <v>95</v>
      </c>
      <c r="BG63" s="103" t="s">
        <v>95</v>
      </c>
      <c r="BH63" s="103" t="s">
        <v>95</v>
      </c>
      <c r="BI63" s="103" t="s">
        <v>95</v>
      </c>
      <c r="BJ63" s="103" t="s">
        <v>95</v>
      </c>
      <c r="BK63" s="103" t="s">
        <v>94</v>
      </c>
      <c r="BL63" s="103">
        <v>0.8</v>
      </c>
      <c r="BM63" s="103" t="s">
        <v>95</v>
      </c>
      <c r="BN63" s="103">
        <v>1155</v>
      </c>
      <c r="BO63" s="103" t="s">
        <v>95</v>
      </c>
      <c r="BP63" s="103" t="s">
        <v>93</v>
      </c>
      <c r="BQ63" s="104" t="s">
        <v>655</v>
      </c>
      <c r="BR63" s="103" t="s">
        <v>95</v>
      </c>
      <c r="BS63" s="103">
        <v>3</v>
      </c>
      <c r="BT63" s="103">
        <v>2.8</v>
      </c>
      <c r="BU63" s="103">
        <v>13</v>
      </c>
      <c r="BV63" s="103">
        <v>1.5</v>
      </c>
      <c r="BW63" s="103">
        <v>2.2999999999999998</v>
      </c>
      <c r="BX63" s="103" t="s">
        <v>95</v>
      </c>
      <c r="BY63" s="103" t="s">
        <v>122</v>
      </c>
      <c r="BZ63" s="103" t="s">
        <v>95</v>
      </c>
      <c r="CA63" s="103" t="s">
        <v>95</v>
      </c>
      <c r="CB63" s="103" t="s">
        <v>95</v>
      </c>
      <c r="CC63" s="103" t="s">
        <v>95</v>
      </c>
      <c r="CD63" s="103" t="s">
        <v>95</v>
      </c>
      <c r="CE63" s="103">
        <v>0.245</v>
      </c>
    </row>
    <row r="64" spans="1:83" s="103" customFormat="1" x14ac:dyDescent="0.25">
      <c r="A64" s="103" t="s">
        <v>643</v>
      </c>
      <c r="B64" s="103">
        <v>146</v>
      </c>
      <c r="C64" s="103" t="s">
        <v>93</v>
      </c>
      <c r="D64" s="103" t="s">
        <v>93</v>
      </c>
      <c r="E64" s="103" t="s">
        <v>95</v>
      </c>
      <c r="F64" s="103" t="s">
        <v>95</v>
      </c>
      <c r="G64" s="103" t="s">
        <v>400</v>
      </c>
      <c r="H64" s="103" t="s">
        <v>94</v>
      </c>
      <c r="I64" s="103">
        <v>1</v>
      </c>
      <c r="J64" s="103">
        <v>0</v>
      </c>
      <c r="K64" s="103">
        <v>1</v>
      </c>
      <c r="L64" s="103">
        <v>30</v>
      </c>
      <c r="M64" s="103">
        <v>20</v>
      </c>
      <c r="N64" s="103">
        <v>48</v>
      </c>
      <c r="O64" s="103">
        <v>85</v>
      </c>
      <c r="P64" s="103">
        <v>150</v>
      </c>
      <c r="Q64" s="103">
        <v>3</v>
      </c>
      <c r="R64" s="103">
        <v>52.3</v>
      </c>
      <c r="S64" s="103">
        <v>4.2</v>
      </c>
      <c r="T64" s="103">
        <v>1.2</v>
      </c>
      <c r="U64" s="103">
        <v>2.2000000000000002</v>
      </c>
      <c r="V64" s="103" t="s">
        <v>95</v>
      </c>
      <c r="W64" s="103">
        <v>1</v>
      </c>
      <c r="X64" s="103">
        <v>13.5</v>
      </c>
      <c r="Y64" s="103">
        <v>11</v>
      </c>
      <c r="Z64" s="103">
        <v>300</v>
      </c>
      <c r="AA64" s="103">
        <v>107</v>
      </c>
      <c r="AB64" s="103">
        <v>1.4</v>
      </c>
      <c r="AC64" s="103" t="s">
        <v>95</v>
      </c>
      <c r="AD64" s="103" t="s">
        <v>95</v>
      </c>
      <c r="AE64" s="103" t="s">
        <v>95</v>
      </c>
      <c r="AF64" s="103">
        <v>1.0999999999999999E-2</v>
      </c>
      <c r="AG64" s="103" t="s">
        <v>95</v>
      </c>
      <c r="AH64" s="103" t="s">
        <v>95</v>
      </c>
      <c r="AI64" s="103">
        <v>8.8000000000000005E-3</v>
      </c>
      <c r="AJ64" s="103">
        <v>0.75</v>
      </c>
      <c r="AK64" s="103">
        <v>6</v>
      </c>
      <c r="AL64" s="103">
        <v>3</v>
      </c>
      <c r="AM64" s="103">
        <v>1.4</v>
      </c>
      <c r="AN64" s="103">
        <v>13</v>
      </c>
      <c r="AO64" s="103" t="s">
        <v>95</v>
      </c>
      <c r="AP64" s="103">
        <v>1.06</v>
      </c>
      <c r="AQ64" s="103" t="s">
        <v>95</v>
      </c>
      <c r="AR64" s="103" t="s">
        <v>95</v>
      </c>
      <c r="AS64" s="103">
        <v>0.247</v>
      </c>
      <c r="AT64" s="103" t="s">
        <v>95</v>
      </c>
      <c r="AU64" s="103" t="s">
        <v>95</v>
      </c>
      <c r="AV64" s="103">
        <v>1.9E-2</v>
      </c>
      <c r="AW64" s="103" t="s">
        <v>95</v>
      </c>
      <c r="AX64" s="103">
        <v>15</v>
      </c>
      <c r="AY64" s="103" t="s">
        <v>95</v>
      </c>
      <c r="AZ64" s="103" t="s">
        <v>95</v>
      </c>
      <c r="BA64" s="103" t="s">
        <v>95</v>
      </c>
      <c r="BB64" s="103" t="s">
        <v>95</v>
      </c>
      <c r="BC64" s="103" t="s">
        <v>95</v>
      </c>
      <c r="BD64" s="103" t="s">
        <v>95</v>
      </c>
      <c r="BE64" s="103" t="s">
        <v>95</v>
      </c>
      <c r="BF64" s="103" t="s">
        <v>95</v>
      </c>
      <c r="BG64" s="103" t="s">
        <v>95</v>
      </c>
      <c r="BH64" s="103" t="s">
        <v>95</v>
      </c>
      <c r="BI64" s="103" t="s">
        <v>95</v>
      </c>
      <c r="BJ64" s="103" t="s">
        <v>95</v>
      </c>
      <c r="BK64" s="103" t="s">
        <v>94</v>
      </c>
      <c r="BL64" s="103">
        <v>0.8</v>
      </c>
      <c r="BM64" s="103" t="s">
        <v>95</v>
      </c>
      <c r="BN64" s="103">
        <v>1155</v>
      </c>
      <c r="BO64" s="103" t="s">
        <v>95</v>
      </c>
      <c r="BP64" s="103" t="s">
        <v>93</v>
      </c>
      <c r="BQ64" s="104" t="s">
        <v>656</v>
      </c>
      <c r="BR64" s="103" t="s">
        <v>95</v>
      </c>
      <c r="BS64" s="103">
        <v>1.9</v>
      </c>
      <c r="BT64" s="103">
        <v>2.8</v>
      </c>
      <c r="BU64" s="103">
        <v>8.6999999999999993</v>
      </c>
      <c r="BV64" s="103">
        <v>1.4</v>
      </c>
      <c r="BW64" s="103">
        <v>2.8</v>
      </c>
      <c r="BX64" s="103" t="s">
        <v>95</v>
      </c>
      <c r="BY64" s="103" t="s">
        <v>115</v>
      </c>
      <c r="BZ64" s="103" t="s">
        <v>95</v>
      </c>
      <c r="CA64" s="103" t="s">
        <v>95</v>
      </c>
      <c r="CB64" s="103" t="s">
        <v>95</v>
      </c>
      <c r="CC64" s="103" t="s">
        <v>95</v>
      </c>
      <c r="CD64" s="103" t="s">
        <v>95</v>
      </c>
      <c r="CE64" s="103">
        <v>0.307</v>
      </c>
    </row>
    <row r="65" spans="1:83" s="103" customFormat="1" x14ac:dyDescent="0.25">
      <c r="A65" s="103" t="s">
        <v>644</v>
      </c>
      <c r="B65" s="103">
        <v>146</v>
      </c>
      <c r="C65" s="103" t="s">
        <v>93</v>
      </c>
      <c r="D65" s="103" t="s">
        <v>93</v>
      </c>
      <c r="E65" s="103" t="s">
        <v>95</v>
      </c>
      <c r="F65" s="103" t="s">
        <v>95</v>
      </c>
      <c r="G65" s="103" t="s">
        <v>400</v>
      </c>
      <c r="H65" s="103" t="s">
        <v>94</v>
      </c>
      <c r="I65" s="103">
        <v>1</v>
      </c>
      <c r="J65" s="103">
        <v>0</v>
      </c>
      <c r="K65" s="103">
        <v>1</v>
      </c>
      <c r="L65" s="103">
        <v>30</v>
      </c>
      <c r="M65" s="103">
        <v>20</v>
      </c>
      <c r="N65" s="103">
        <v>60</v>
      </c>
      <c r="O65" s="103">
        <v>84</v>
      </c>
      <c r="P65" s="103">
        <v>150</v>
      </c>
      <c r="Q65" s="103">
        <v>2.6</v>
      </c>
      <c r="R65" s="103">
        <v>60</v>
      </c>
      <c r="S65" s="103">
        <v>2.2999999999999998</v>
      </c>
      <c r="T65" s="103">
        <v>1.1000000000000001</v>
      </c>
      <c r="U65" s="103">
        <v>1.9</v>
      </c>
      <c r="V65" s="103" t="s">
        <v>95</v>
      </c>
      <c r="W65" s="103">
        <v>1</v>
      </c>
      <c r="X65" s="103">
        <v>15</v>
      </c>
      <c r="Y65" s="103">
        <v>11</v>
      </c>
      <c r="Z65" s="103">
        <v>300</v>
      </c>
      <c r="AA65" s="103">
        <v>106</v>
      </c>
      <c r="AB65" s="103">
        <v>0.9</v>
      </c>
      <c r="AC65" s="103" t="s">
        <v>95</v>
      </c>
      <c r="AD65" s="103" t="s">
        <v>95</v>
      </c>
      <c r="AE65" s="103" t="s">
        <v>95</v>
      </c>
      <c r="AF65" s="103">
        <v>8.0999999999999996E-3</v>
      </c>
      <c r="AG65" s="103" t="s">
        <v>95</v>
      </c>
      <c r="AH65" s="103" t="s">
        <v>95</v>
      </c>
      <c r="AI65" s="103">
        <v>6.0000000000000001E-3</v>
      </c>
      <c r="AJ65" s="103">
        <v>0.7</v>
      </c>
      <c r="AK65" s="103">
        <v>9</v>
      </c>
      <c r="AL65" s="103">
        <v>5</v>
      </c>
      <c r="AM65" s="103">
        <v>1.8</v>
      </c>
      <c r="AN65" s="103">
        <v>18</v>
      </c>
      <c r="AO65" s="103" t="s">
        <v>95</v>
      </c>
      <c r="AP65" s="103">
        <v>1.58</v>
      </c>
      <c r="AQ65" s="103" t="s">
        <v>95</v>
      </c>
      <c r="AR65" s="103" t="s">
        <v>95</v>
      </c>
      <c r="AS65" s="103">
        <v>0.38500000000000001</v>
      </c>
      <c r="AT65" s="103" t="s">
        <v>95</v>
      </c>
      <c r="AU65" s="103" t="s">
        <v>95</v>
      </c>
      <c r="AV65" s="103">
        <v>2.8000000000000001E-2</v>
      </c>
      <c r="AW65" s="103" t="s">
        <v>95</v>
      </c>
      <c r="AX65" s="103">
        <v>15</v>
      </c>
      <c r="AY65" s="103" t="s">
        <v>95</v>
      </c>
      <c r="AZ65" s="103" t="s">
        <v>95</v>
      </c>
      <c r="BA65" s="103" t="s">
        <v>95</v>
      </c>
      <c r="BB65" s="103" t="s">
        <v>95</v>
      </c>
      <c r="BC65" s="103" t="s">
        <v>95</v>
      </c>
      <c r="BD65" s="103" t="s">
        <v>95</v>
      </c>
      <c r="BE65" s="103" t="s">
        <v>95</v>
      </c>
      <c r="BF65" s="103" t="s">
        <v>95</v>
      </c>
      <c r="BG65" s="103" t="s">
        <v>95</v>
      </c>
      <c r="BH65" s="103" t="s">
        <v>95</v>
      </c>
      <c r="BI65" s="103" t="s">
        <v>95</v>
      </c>
      <c r="BJ65" s="103" t="s">
        <v>95</v>
      </c>
      <c r="BK65" s="103" t="s">
        <v>94</v>
      </c>
      <c r="BL65" s="103">
        <v>0.8</v>
      </c>
      <c r="BM65" s="103" t="s">
        <v>95</v>
      </c>
      <c r="BN65" s="103">
        <v>1155</v>
      </c>
      <c r="BO65" s="103" t="s">
        <v>95</v>
      </c>
      <c r="BP65" s="103" t="s">
        <v>93</v>
      </c>
      <c r="BQ65" s="104" t="s">
        <v>657</v>
      </c>
      <c r="BR65" s="103" t="s">
        <v>95</v>
      </c>
      <c r="BS65" s="103">
        <v>1.8</v>
      </c>
      <c r="BT65" s="103">
        <v>2.8</v>
      </c>
      <c r="BU65" s="103">
        <v>17</v>
      </c>
      <c r="BV65" s="103">
        <v>2.2999999999999998</v>
      </c>
      <c r="BW65" s="103">
        <v>3.6</v>
      </c>
      <c r="BX65" s="103" t="s">
        <v>95</v>
      </c>
      <c r="BY65" s="103" t="s">
        <v>122</v>
      </c>
      <c r="BZ65" s="103" t="s">
        <v>95</v>
      </c>
      <c r="CA65" s="103" t="s">
        <v>95</v>
      </c>
      <c r="CB65" s="103" t="s">
        <v>95</v>
      </c>
      <c r="CC65" s="103" t="s">
        <v>95</v>
      </c>
      <c r="CD65" s="103" t="s">
        <v>95</v>
      </c>
      <c r="CE65" s="103">
        <v>0.29499999999999998</v>
      </c>
    </row>
    <row r="66" spans="1:83" s="103" customFormat="1" x14ac:dyDescent="0.25">
      <c r="A66" s="103" t="s">
        <v>645</v>
      </c>
      <c r="B66" s="103">
        <v>146</v>
      </c>
      <c r="C66" s="103" t="s">
        <v>93</v>
      </c>
      <c r="D66" s="103" t="s">
        <v>93</v>
      </c>
      <c r="E66" s="103" t="s">
        <v>95</v>
      </c>
      <c r="F66" s="103" t="s">
        <v>95</v>
      </c>
      <c r="G66" s="103" t="s">
        <v>400</v>
      </c>
      <c r="H66" s="103" t="s">
        <v>94</v>
      </c>
      <c r="I66" s="103">
        <v>1</v>
      </c>
      <c r="J66" s="103">
        <v>0</v>
      </c>
      <c r="K66" s="103">
        <v>1</v>
      </c>
      <c r="L66" s="103">
        <v>30</v>
      </c>
      <c r="M66" s="103">
        <v>20</v>
      </c>
      <c r="N66" s="103">
        <v>88</v>
      </c>
      <c r="O66" s="103">
        <v>106</v>
      </c>
      <c r="P66" s="103">
        <v>150</v>
      </c>
      <c r="Q66" s="103">
        <v>3</v>
      </c>
      <c r="R66" s="103">
        <v>50</v>
      </c>
      <c r="S66" s="103">
        <v>1.8</v>
      </c>
      <c r="T66" s="103">
        <v>1.1000000000000001</v>
      </c>
      <c r="U66" s="103">
        <v>1.9</v>
      </c>
      <c r="V66" s="103" t="s">
        <v>95</v>
      </c>
      <c r="W66" s="103">
        <v>1</v>
      </c>
      <c r="X66" s="103">
        <v>18</v>
      </c>
      <c r="Y66" s="103">
        <v>15</v>
      </c>
      <c r="Z66" s="103">
        <v>300</v>
      </c>
      <c r="AA66" s="103">
        <v>77</v>
      </c>
      <c r="AB66" s="103">
        <v>0.9</v>
      </c>
      <c r="AC66" s="103" t="s">
        <v>95</v>
      </c>
      <c r="AD66" s="103" t="s">
        <v>95</v>
      </c>
      <c r="AE66" s="103" t="s">
        <v>95</v>
      </c>
      <c r="AF66" s="103">
        <v>7.4999999999999997E-3</v>
      </c>
      <c r="AG66" s="103" t="s">
        <v>95</v>
      </c>
      <c r="AH66" s="103" t="s">
        <v>95</v>
      </c>
      <c r="AI66" s="103">
        <v>6.1999999999999998E-3</v>
      </c>
      <c r="AJ66" s="103">
        <v>0.75</v>
      </c>
      <c r="AK66" s="103">
        <v>9</v>
      </c>
      <c r="AL66" s="103">
        <v>4</v>
      </c>
      <c r="AM66" s="103">
        <v>2.1</v>
      </c>
      <c r="AN66" s="103">
        <v>18</v>
      </c>
      <c r="AO66" s="103" t="s">
        <v>95</v>
      </c>
      <c r="AP66" s="103">
        <v>1.58</v>
      </c>
      <c r="AQ66" s="103" t="s">
        <v>95</v>
      </c>
      <c r="AR66" s="103" t="s">
        <v>95</v>
      </c>
      <c r="AS66" s="103">
        <v>0.38500000000000001</v>
      </c>
      <c r="AT66" s="103" t="s">
        <v>95</v>
      </c>
      <c r="AU66" s="103" t="s">
        <v>95</v>
      </c>
      <c r="AV66" s="103">
        <v>2.8000000000000001E-2</v>
      </c>
      <c r="AW66" s="103" t="s">
        <v>95</v>
      </c>
      <c r="AX66" s="103">
        <v>15</v>
      </c>
      <c r="AY66" s="103" t="s">
        <v>95</v>
      </c>
      <c r="AZ66" s="103" t="s">
        <v>95</v>
      </c>
      <c r="BA66" s="103" t="s">
        <v>95</v>
      </c>
      <c r="BB66" s="103" t="s">
        <v>95</v>
      </c>
      <c r="BC66" s="103" t="s">
        <v>95</v>
      </c>
      <c r="BD66" s="103" t="s">
        <v>95</v>
      </c>
      <c r="BE66" s="103" t="s">
        <v>95</v>
      </c>
      <c r="BF66" s="103" t="s">
        <v>95</v>
      </c>
      <c r="BG66" s="103" t="s">
        <v>95</v>
      </c>
      <c r="BH66" s="103" t="s">
        <v>95</v>
      </c>
      <c r="BI66" s="103" t="s">
        <v>95</v>
      </c>
      <c r="BJ66" s="103" t="s">
        <v>95</v>
      </c>
      <c r="BK66" s="103" t="s">
        <v>94</v>
      </c>
      <c r="BL66" s="103">
        <v>0.8</v>
      </c>
      <c r="BM66" s="103" t="s">
        <v>95</v>
      </c>
      <c r="BN66" s="103">
        <v>1155</v>
      </c>
      <c r="BO66" s="103" t="s">
        <v>95</v>
      </c>
      <c r="BP66" s="103" t="s">
        <v>93</v>
      </c>
      <c r="BQ66" s="104" t="s">
        <v>658</v>
      </c>
      <c r="BR66" s="103" t="s">
        <v>95</v>
      </c>
      <c r="BS66" s="103">
        <v>1.8</v>
      </c>
      <c r="BT66" s="103">
        <v>2.8</v>
      </c>
      <c r="BU66" s="103">
        <v>20</v>
      </c>
      <c r="BV66" s="103">
        <v>2</v>
      </c>
      <c r="BW66" s="103">
        <v>3.6</v>
      </c>
      <c r="BX66" s="103" t="s">
        <v>95</v>
      </c>
      <c r="BY66" s="103" t="s">
        <v>115</v>
      </c>
      <c r="BZ66" s="103" t="s">
        <v>95</v>
      </c>
      <c r="CA66" s="103" t="s">
        <v>95</v>
      </c>
      <c r="CB66" s="103" t="s">
        <v>95</v>
      </c>
      <c r="CC66" s="103" t="s">
        <v>95</v>
      </c>
      <c r="CD66" s="103" t="s">
        <v>95</v>
      </c>
      <c r="CE66" s="103">
        <v>0.313</v>
      </c>
    </row>
    <row r="67" spans="1:83" s="103" customFormat="1" x14ac:dyDescent="0.25">
      <c r="A67" s="103" t="s">
        <v>646</v>
      </c>
      <c r="B67" s="103">
        <v>146</v>
      </c>
      <c r="C67" s="103" t="s">
        <v>93</v>
      </c>
      <c r="D67" s="103" t="s">
        <v>93</v>
      </c>
      <c r="E67" s="103" t="s">
        <v>95</v>
      </c>
      <c r="F67" s="103" t="s">
        <v>95</v>
      </c>
      <c r="G67" s="103" t="s">
        <v>400</v>
      </c>
      <c r="H67" s="103" t="s">
        <v>94</v>
      </c>
      <c r="I67" s="103">
        <v>1</v>
      </c>
      <c r="J67" s="103">
        <v>0</v>
      </c>
      <c r="K67" s="103">
        <v>1</v>
      </c>
      <c r="L67" s="103">
        <v>30</v>
      </c>
      <c r="M67" s="103">
        <v>20</v>
      </c>
      <c r="N67" s="103">
        <v>100</v>
      </c>
      <c r="O67" s="103">
        <v>151</v>
      </c>
      <c r="P67" s="103">
        <v>150</v>
      </c>
      <c r="Q67" s="103">
        <v>3.1</v>
      </c>
      <c r="R67" s="103">
        <v>50.6</v>
      </c>
      <c r="S67" s="103">
        <v>1.3</v>
      </c>
      <c r="T67" s="103">
        <v>1</v>
      </c>
      <c r="U67" s="103">
        <v>1.9</v>
      </c>
      <c r="V67" s="103" t="s">
        <v>95</v>
      </c>
      <c r="W67" s="103">
        <v>1</v>
      </c>
      <c r="X67" s="103">
        <v>23.1</v>
      </c>
      <c r="Y67" s="103">
        <v>20</v>
      </c>
      <c r="Z67" s="103">
        <v>300</v>
      </c>
      <c r="AA67" s="103">
        <v>106</v>
      </c>
      <c r="AB67" s="103">
        <v>0.7</v>
      </c>
      <c r="AC67" s="103" t="s">
        <v>95</v>
      </c>
      <c r="AD67" s="103" t="s">
        <v>95</v>
      </c>
      <c r="AE67" s="103" t="s">
        <v>95</v>
      </c>
      <c r="AF67" s="103">
        <v>4.0000000000000001E-3</v>
      </c>
      <c r="AG67" s="103" t="s">
        <v>95</v>
      </c>
      <c r="AH67" s="103" t="s">
        <v>95</v>
      </c>
      <c r="AI67" s="103">
        <v>3.0999999999999999E-3</v>
      </c>
      <c r="AJ67" s="103">
        <v>0.7</v>
      </c>
      <c r="AK67" s="103">
        <v>17.5</v>
      </c>
      <c r="AL67" s="103">
        <v>12</v>
      </c>
      <c r="AM67" s="103">
        <v>4.0999999999999996</v>
      </c>
      <c r="AN67" s="103">
        <v>37</v>
      </c>
      <c r="AO67" s="103" t="s">
        <v>95</v>
      </c>
      <c r="AP67" s="103">
        <v>2.71</v>
      </c>
      <c r="AQ67" s="103" t="s">
        <v>95</v>
      </c>
      <c r="AR67" s="103" t="s">
        <v>95</v>
      </c>
      <c r="AS67" s="103">
        <v>0.63500000000000001</v>
      </c>
      <c r="AT67" s="103" t="s">
        <v>95</v>
      </c>
      <c r="AU67" s="103" t="s">
        <v>95</v>
      </c>
      <c r="AV67" s="103">
        <v>4.8000000000000001E-2</v>
      </c>
      <c r="AW67" s="103" t="s">
        <v>95</v>
      </c>
      <c r="AX67" s="103">
        <v>15</v>
      </c>
      <c r="AY67" s="103" t="s">
        <v>95</v>
      </c>
      <c r="AZ67" s="103" t="s">
        <v>95</v>
      </c>
      <c r="BA67" s="103" t="s">
        <v>95</v>
      </c>
      <c r="BB67" s="103" t="s">
        <v>95</v>
      </c>
      <c r="BC67" s="103" t="s">
        <v>95</v>
      </c>
      <c r="BD67" s="103" t="s">
        <v>95</v>
      </c>
      <c r="BE67" s="103" t="s">
        <v>95</v>
      </c>
      <c r="BF67" s="103" t="s">
        <v>95</v>
      </c>
      <c r="BG67" s="103" t="s">
        <v>95</v>
      </c>
      <c r="BH67" s="103" t="s">
        <v>95</v>
      </c>
      <c r="BI67" s="103" t="s">
        <v>95</v>
      </c>
      <c r="BJ67" s="103" t="s">
        <v>95</v>
      </c>
      <c r="BK67" s="103" t="s">
        <v>94</v>
      </c>
      <c r="BL67" s="103">
        <v>0.8</v>
      </c>
      <c r="BM67" s="103" t="s">
        <v>95</v>
      </c>
      <c r="BN67" s="103">
        <v>1155</v>
      </c>
      <c r="BO67" s="103" t="s">
        <v>95</v>
      </c>
      <c r="BP67" s="103" t="s">
        <v>93</v>
      </c>
      <c r="BQ67" s="104" t="s">
        <v>659</v>
      </c>
      <c r="BR67" s="103" t="s">
        <v>95</v>
      </c>
      <c r="BS67" s="103">
        <v>0.9</v>
      </c>
      <c r="BT67" s="103">
        <v>2.8</v>
      </c>
      <c r="BU67" s="103">
        <v>23.8</v>
      </c>
      <c r="BV67" s="103">
        <v>4.7</v>
      </c>
      <c r="BW67" s="103">
        <v>5.8</v>
      </c>
      <c r="BX67" s="103" t="s">
        <v>95</v>
      </c>
      <c r="BY67" s="103" t="s">
        <v>115</v>
      </c>
      <c r="BZ67" s="103" t="s">
        <v>95</v>
      </c>
      <c r="CA67" s="103" t="s">
        <v>95</v>
      </c>
      <c r="CB67" s="103" t="s">
        <v>95</v>
      </c>
      <c r="CC67" s="103" t="s">
        <v>95</v>
      </c>
      <c r="CD67" s="103" t="s">
        <v>95</v>
      </c>
      <c r="CE67" s="103">
        <v>0.443</v>
      </c>
    </row>
    <row r="68" spans="1:83" s="103" customFormat="1" x14ac:dyDescent="0.25">
      <c r="A68" s="105" t="s">
        <v>647</v>
      </c>
      <c r="B68" s="103">
        <v>146</v>
      </c>
      <c r="C68" s="103" t="s">
        <v>93</v>
      </c>
      <c r="D68" s="103" t="s">
        <v>93</v>
      </c>
      <c r="E68" s="103" t="s">
        <v>95</v>
      </c>
      <c r="F68" s="103" t="s">
        <v>95</v>
      </c>
      <c r="G68" s="103" t="s">
        <v>400</v>
      </c>
      <c r="H68" s="103" t="s">
        <v>94</v>
      </c>
      <c r="I68" s="103">
        <v>1</v>
      </c>
      <c r="J68" s="103">
        <v>0</v>
      </c>
      <c r="K68" s="103">
        <v>1</v>
      </c>
      <c r="L68" s="103">
        <v>30</v>
      </c>
      <c r="M68" s="103">
        <v>20</v>
      </c>
      <c r="N68" s="103">
        <v>115</v>
      </c>
      <c r="O68" s="103">
        <v>153</v>
      </c>
      <c r="P68" s="103">
        <v>150</v>
      </c>
      <c r="Q68" s="103">
        <v>3</v>
      </c>
      <c r="R68" s="103">
        <v>52</v>
      </c>
      <c r="S68" s="103">
        <v>2.2000000000000002</v>
      </c>
      <c r="T68" s="103">
        <v>1</v>
      </c>
      <c r="U68" s="103">
        <v>1.9</v>
      </c>
      <c r="V68" s="103" t="s">
        <v>95</v>
      </c>
      <c r="W68" s="103">
        <v>1</v>
      </c>
      <c r="X68" s="103">
        <v>25</v>
      </c>
      <c r="Y68" s="103">
        <v>25</v>
      </c>
      <c r="Z68" s="103">
        <v>300</v>
      </c>
      <c r="AA68" s="103">
        <v>109</v>
      </c>
      <c r="AB68" s="103">
        <v>0.8</v>
      </c>
      <c r="AC68" s="103" t="s">
        <v>95</v>
      </c>
      <c r="AD68" s="103" t="s">
        <v>95</v>
      </c>
      <c r="AE68" s="103" t="s">
        <v>95</v>
      </c>
      <c r="AF68" s="103">
        <v>3.3999999999999998E-3</v>
      </c>
      <c r="AG68" s="103" t="s">
        <v>95</v>
      </c>
      <c r="AH68" s="103" t="s">
        <v>95</v>
      </c>
      <c r="AI68" s="103">
        <v>2.7000000000000001E-3</v>
      </c>
      <c r="AJ68" s="103">
        <v>0.7</v>
      </c>
      <c r="AK68" s="103">
        <v>23</v>
      </c>
      <c r="AL68" s="103">
        <v>10</v>
      </c>
      <c r="AM68" s="103">
        <v>5</v>
      </c>
      <c r="AN68" s="103">
        <v>50</v>
      </c>
      <c r="AO68" s="103" t="s">
        <v>95</v>
      </c>
      <c r="AP68" s="103">
        <v>3.875</v>
      </c>
      <c r="AQ68" s="103" t="s">
        <v>95</v>
      </c>
      <c r="AR68" s="103" t="s">
        <v>95</v>
      </c>
      <c r="AS68" s="103">
        <v>0.94899999999999995</v>
      </c>
      <c r="AT68" s="103" t="s">
        <v>95</v>
      </c>
      <c r="AU68" s="103" t="s">
        <v>95</v>
      </c>
      <c r="AV68" s="103">
        <v>7.0000000000000007E-2</v>
      </c>
      <c r="AW68" s="103" t="s">
        <v>95</v>
      </c>
      <c r="AX68" s="103">
        <v>15</v>
      </c>
      <c r="AY68" s="103" t="s">
        <v>95</v>
      </c>
      <c r="AZ68" s="103" t="s">
        <v>95</v>
      </c>
      <c r="BA68" s="103" t="s">
        <v>95</v>
      </c>
      <c r="BB68" s="103" t="s">
        <v>95</v>
      </c>
      <c r="BC68" s="103" t="s">
        <v>95</v>
      </c>
      <c r="BD68" s="103" t="s">
        <v>95</v>
      </c>
      <c r="BE68" s="103" t="s">
        <v>95</v>
      </c>
      <c r="BF68" s="103" t="s">
        <v>95</v>
      </c>
      <c r="BG68" s="103" t="s">
        <v>95</v>
      </c>
      <c r="BH68" s="103" t="s">
        <v>95</v>
      </c>
      <c r="BI68" s="103" t="s">
        <v>95</v>
      </c>
      <c r="BJ68" s="103" t="s">
        <v>95</v>
      </c>
      <c r="BK68" s="103" t="s">
        <v>94</v>
      </c>
      <c r="BL68" s="103">
        <v>0.8</v>
      </c>
      <c r="BM68" s="103" t="s">
        <v>95</v>
      </c>
      <c r="BN68" s="103">
        <v>1155</v>
      </c>
      <c r="BO68" s="103" t="s">
        <v>95</v>
      </c>
      <c r="BP68" s="103" t="s">
        <v>93</v>
      </c>
      <c r="BQ68" s="104" t="s">
        <v>660</v>
      </c>
      <c r="BR68" s="103" t="s">
        <v>95</v>
      </c>
      <c r="BS68" s="103">
        <v>1.6</v>
      </c>
      <c r="BT68" s="103">
        <v>2.8</v>
      </c>
      <c r="BU68" s="103">
        <v>31</v>
      </c>
      <c r="BV68" s="103">
        <v>5</v>
      </c>
      <c r="BW68" s="103">
        <v>7.5</v>
      </c>
      <c r="BX68" s="103" t="s">
        <v>95</v>
      </c>
      <c r="BY68" s="103" t="s">
        <v>115</v>
      </c>
      <c r="BZ68" s="103" t="s">
        <v>95</v>
      </c>
      <c r="CA68" s="103" t="s">
        <v>95</v>
      </c>
      <c r="CB68" s="103" t="s">
        <v>95</v>
      </c>
      <c r="CC68" s="103" t="s">
        <v>95</v>
      </c>
      <c r="CD68" s="103" t="s">
        <v>95</v>
      </c>
      <c r="CE68" s="103">
        <v>0.56200000000000006</v>
      </c>
    </row>
    <row r="69" spans="1:83" s="103" customFormat="1" x14ac:dyDescent="0.25">
      <c r="A69" s="99" t="s">
        <v>210</v>
      </c>
      <c r="B69" s="99">
        <v>146</v>
      </c>
      <c r="C69" s="99" t="s">
        <v>93</v>
      </c>
      <c r="D69" s="99" t="s">
        <v>93</v>
      </c>
      <c r="E69" s="99" t="s">
        <v>111</v>
      </c>
      <c r="F69" s="99" t="s">
        <v>169</v>
      </c>
      <c r="G69" s="99" t="s">
        <v>211</v>
      </c>
      <c r="H69" s="99" t="s">
        <v>94</v>
      </c>
      <c r="I69" s="99">
        <v>1</v>
      </c>
      <c r="J69" s="99">
        <v>0</v>
      </c>
      <c r="K69" s="99">
        <v>1</v>
      </c>
      <c r="L69" s="99">
        <v>30</v>
      </c>
      <c r="M69" s="99">
        <v>20</v>
      </c>
      <c r="N69" s="99">
        <v>100</v>
      </c>
      <c r="O69" s="99">
        <v>400</v>
      </c>
      <c r="P69" s="99">
        <v>150</v>
      </c>
      <c r="Q69" s="99">
        <v>3.125</v>
      </c>
      <c r="R69" s="99">
        <v>50</v>
      </c>
      <c r="S69" s="99">
        <v>1.3</v>
      </c>
      <c r="T69" s="99">
        <v>1.1499999999999999</v>
      </c>
      <c r="U69" s="99">
        <v>1.65</v>
      </c>
      <c r="V69" s="99">
        <v>2.4</v>
      </c>
      <c r="W69" s="99">
        <v>1</v>
      </c>
      <c r="X69" s="99">
        <v>36</v>
      </c>
      <c r="Y69" s="99">
        <v>40</v>
      </c>
      <c r="Z69" s="99">
        <v>300</v>
      </c>
      <c r="AA69" s="99">
        <v>197</v>
      </c>
      <c r="AB69" s="99">
        <v>0.7</v>
      </c>
      <c r="AC69" s="99" t="s">
        <v>95</v>
      </c>
      <c r="AD69" s="99" t="s">
        <v>95</v>
      </c>
      <c r="AE69" s="99" t="s">
        <v>95</v>
      </c>
      <c r="AF69" s="99">
        <v>1.8E-3</v>
      </c>
      <c r="AG69" s="99" t="s">
        <v>95</v>
      </c>
      <c r="AH69" s="99" t="s">
        <v>95</v>
      </c>
      <c r="AI69" s="99">
        <v>1.4E-3</v>
      </c>
      <c r="AJ69" s="99">
        <v>0.75</v>
      </c>
      <c r="AK69" s="99">
        <v>30</v>
      </c>
      <c r="AL69" s="99">
        <v>14.5</v>
      </c>
      <c r="AM69" s="99">
        <v>6.1</v>
      </c>
      <c r="AN69" s="99">
        <v>63</v>
      </c>
      <c r="AO69" s="99">
        <v>5.75</v>
      </c>
      <c r="AP69" s="99">
        <v>5.4</v>
      </c>
      <c r="AQ69" s="99">
        <v>5.95</v>
      </c>
      <c r="AR69" s="99">
        <v>7.11</v>
      </c>
      <c r="AS69" s="99">
        <v>1.77</v>
      </c>
      <c r="AT69" s="99">
        <v>8.9</v>
      </c>
      <c r="AU69" s="99">
        <v>0.379</v>
      </c>
      <c r="AV69" s="99">
        <v>6.8000000000000005E-2</v>
      </c>
      <c r="AW69" s="99">
        <v>0.47399999999999998</v>
      </c>
      <c r="AX69" s="99">
        <v>15</v>
      </c>
      <c r="AY69" s="99">
        <v>10</v>
      </c>
      <c r="AZ69" s="99">
        <v>0.1</v>
      </c>
      <c r="BA69" s="99">
        <v>40</v>
      </c>
      <c r="BB69" s="99">
        <v>0.7</v>
      </c>
      <c r="BC69" s="99">
        <v>283</v>
      </c>
      <c r="BD69" s="99">
        <v>1.7</v>
      </c>
      <c r="BE69" s="99">
        <v>283</v>
      </c>
      <c r="BF69" s="99">
        <v>30</v>
      </c>
      <c r="BG69" s="99">
        <v>3.43</v>
      </c>
      <c r="BH69" s="99">
        <v>30</v>
      </c>
      <c r="BI69" s="99">
        <v>0.1</v>
      </c>
      <c r="BJ69" s="99">
        <v>0.16</v>
      </c>
      <c r="BK69" s="99" t="s">
        <v>94</v>
      </c>
      <c r="BL69" s="99">
        <v>0.8</v>
      </c>
      <c r="BM69" s="99" t="s">
        <v>95</v>
      </c>
      <c r="BN69" s="99">
        <v>1155</v>
      </c>
      <c r="BO69" s="99">
        <v>5.5</v>
      </c>
      <c r="BP69" s="99" t="s">
        <v>93</v>
      </c>
      <c r="BQ69" s="99" t="s">
        <v>212</v>
      </c>
      <c r="BR69" s="99" t="s">
        <v>95</v>
      </c>
      <c r="BS69" s="99">
        <v>1.4</v>
      </c>
      <c r="BT69" s="99">
        <v>2.5</v>
      </c>
      <c r="BU69" s="99">
        <v>68</v>
      </c>
      <c r="BV69" s="99">
        <v>7.5</v>
      </c>
      <c r="BW69" s="99">
        <v>11</v>
      </c>
      <c r="BX69" s="99" t="s">
        <v>95</v>
      </c>
      <c r="BY69" s="99" t="s">
        <v>213</v>
      </c>
      <c r="BZ69" s="99" t="s">
        <v>95</v>
      </c>
      <c r="CA69" s="99" t="s">
        <v>95</v>
      </c>
      <c r="CB69" s="99">
        <v>42173</v>
      </c>
      <c r="CC69" s="99">
        <v>42577</v>
      </c>
      <c r="CD69" s="99">
        <v>2523</v>
      </c>
      <c r="CE69" s="99">
        <v>0.80600000000000005</v>
      </c>
    </row>
    <row r="70" spans="1:83" s="103" customFormat="1" x14ac:dyDescent="0.25">
      <c r="A70" s="99" t="s">
        <v>214</v>
      </c>
      <c r="B70" s="99">
        <v>146</v>
      </c>
      <c r="C70" s="99" t="s">
        <v>93</v>
      </c>
      <c r="D70" s="99" t="s">
        <v>93</v>
      </c>
      <c r="E70" s="99" t="s">
        <v>111</v>
      </c>
      <c r="F70" s="99" t="s">
        <v>112</v>
      </c>
      <c r="G70" s="99" t="s">
        <v>215</v>
      </c>
      <c r="H70" s="99" t="s">
        <v>94</v>
      </c>
      <c r="I70" s="99">
        <v>1</v>
      </c>
      <c r="J70" s="99">
        <v>0</v>
      </c>
      <c r="K70" s="99">
        <v>1</v>
      </c>
      <c r="L70" s="99">
        <v>30</v>
      </c>
      <c r="M70" s="99">
        <v>20</v>
      </c>
      <c r="N70" s="99">
        <v>100</v>
      </c>
      <c r="O70" s="99">
        <v>400</v>
      </c>
      <c r="P70" s="99">
        <v>150</v>
      </c>
      <c r="Q70" s="99">
        <v>3.125</v>
      </c>
      <c r="R70" s="99">
        <v>50</v>
      </c>
      <c r="S70" s="99">
        <v>1.2</v>
      </c>
      <c r="T70" s="99">
        <v>1.2</v>
      </c>
      <c r="U70" s="99">
        <v>1.7</v>
      </c>
      <c r="V70" s="99">
        <v>2.2999999999999998</v>
      </c>
      <c r="W70" s="99">
        <v>1</v>
      </c>
      <c r="X70" s="99">
        <v>37</v>
      </c>
      <c r="Y70" s="99">
        <v>40</v>
      </c>
      <c r="Z70" s="99">
        <v>300</v>
      </c>
      <c r="AA70" s="99">
        <v>235</v>
      </c>
      <c r="AB70" s="99">
        <v>1.2</v>
      </c>
      <c r="AC70" s="99" t="s">
        <v>95</v>
      </c>
      <c r="AD70" s="99" t="s">
        <v>95</v>
      </c>
      <c r="AE70" s="99" t="s">
        <v>95</v>
      </c>
      <c r="AF70" s="99">
        <v>1.5E-3</v>
      </c>
      <c r="AG70" s="99" t="s">
        <v>95</v>
      </c>
      <c r="AH70" s="99" t="s">
        <v>95</v>
      </c>
      <c r="AI70" s="99">
        <v>1.1000000000000001E-3</v>
      </c>
      <c r="AJ70" s="99">
        <v>0.7</v>
      </c>
      <c r="AK70" s="99">
        <v>39</v>
      </c>
      <c r="AL70" s="99">
        <v>15.3</v>
      </c>
      <c r="AM70" s="99">
        <v>8.3000000000000007</v>
      </c>
      <c r="AN70" s="99">
        <v>85</v>
      </c>
      <c r="AO70" s="99">
        <v>7.72</v>
      </c>
      <c r="AP70" s="99">
        <v>7.07</v>
      </c>
      <c r="AQ70" s="99">
        <v>8</v>
      </c>
      <c r="AR70" s="99">
        <v>7.87</v>
      </c>
      <c r="AS70" s="99">
        <v>1.78</v>
      </c>
      <c r="AT70" s="99">
        <v>10.050000000000001</v>
      </c>
      <c r="AU70" s="99">
        <v>0.57499999999999996</v>
      </c>
      <c r="AV70" s="99">
        <v>0.09</v>
      </c>
      <c r="AW70" s="99">
        <v>0.8</v>
      </c>
      <c r="AX70" s="99">
        <v>15</v>
      </c>
      <c r="AY70" s="99">
        <v>10</v>
      </c>
      <c r="AZ70" s="99">
        <v>0.1</v>
      </c>
      <c r="BA70" s="99">
        <v>43.7</v>
      </c>
      <c r="BB70" s="99">
        <v>0.55000000000000004</v>
      </c>
      <c r="BC70" s="99">
        <v>240</v>
      </c>
      <c r="BD70" s="99">
        <v>2.15</v>
      </c>
      <c r="BE70" s="99">
        <v>240</v>
      </c>
      <c r="BF70" s="99">
        <v>30</v>
      </c>
      <c r="BG70" s="99">
        <v>4.0199999999999996</v>
      </c>
      <c r="BH70" s="99">
        <v>30</v>
      </c>
      <c r="BI70" s="99">
        <v>0.1</v>
      </c>
      <c r="BJ70" s="99">
        <v>0.11600000000000001</v>
      </c>
      <c r="BK70" s="99" t="s">
        <v>94</v>
      </c>
      <c r="BL70" s="99">
        <v>0.8</v>
      </c>
      <c r="BM70" s="99" t="s">
        <v>95</v>
      </c>
      <c r="BN70" s="99">
        <v>1346</v>
      </c>
      <c r="BO70" s="99">
        <v>7.2</v>
      </c>
      <c r="BP70" s="99" t="s">
        <v>93</v>
      </c>
      <c r="BQ70" s="99" t="s">
        <v>216</v>
      </c>
      <c r="BR70" s="99" t="s">
        <v>95</v>
      </c>
      <c r="BS70" s="99">
        <v>2.4</v>
      </c>
      <c r="BT70" s="99">
        <v>2.6</v>
      </c>
      <c r="BU70" s="99">
        <v>80</v>
      </c>
      <c r="BV70" s="99">
        <v>9.3000000000000007</v>
      </c>
      <c r="BW70" s="99">
        <v>14.4</v>
      </c>
      <c r="BX70" s="99" t="s">
        <v>95</v>
      </c>
      <c r="BY70" s="99" t="s">
        <v>115</v>
      </c>
      <c r="BZ70" s="99" t="s">
        <v>95</v>
      </c>
      <c r="CA70" s="99" t="s">
        <v>95</v>
      </c>
      <c r="CB70" s="99" t="s">
        <v>95</v>
      </c>
      <c r="CC70" s="99">
        <v>42564</v>
      </c>
      <c r="CD70" s="99">
        <v>2038</v>
      </c>
      <c r="CE70" s="99">
        <v>0.89800000000000002</v>
      </c>
    </row>
    <row r="71" spans="1:83" x14ac:dyDescent="0.25">
      <c r="A71" s="99" t="s">
        <v>217</v>
      </c>
      <c r="B71" s="99">
        <v>146</v>
      </c>
      <c r="C71" s="99" t="s">
        <v>93</v>
      </c>
      <c r="D71" s="99" t="s">
        <v>94</v>
      </c>
      <c r="E71" s="99" t="s">
        <v>95</v>
      </c>
      <c r="F71" s="99" t="s">
        <v>169</v>
      </c>
      <c r="G71" s="99" t="s">
        <v>208</v>
      </c>
      <c r="H71" s="99" t="s">
        <v>94</v>
      </c>
      <c r="I71" s="99">
        <v>1</v>
      </c>
      <c r="J71" s="99">
        <v>0</v>
      </c>
      <c r="K71" s="99" t="s">
        <v>95</v>
      </c>
      <c r="L71" s="99">
        <v>30</v>
      </c>
      <c r="M71" s="99">
        <v>20</v>
      </c>
      <c r="N71" s="99">
        <v>100</v>
      </c>
      <c r="O71" s="99">
        <v>400</v>
      </c>
      <c r="P71" s="99">
        <v>150</v>
      </c>
      <c r="Q71" s="99">
        <v>3.125</v>
      </c>
      <c r="R71" s="99">
        <v>50</v>
      </c>
      <c r="S71" s="99">
        <v>0.8</v>
      </c>
      <c r="T71" s="99">
        <v>1.1000000000000001</v>
      </c>
      <c r="U71" s="99">
        <v>1.9</v>
      </c>
      <c r="V71" s="99">
        <v>2.4</v>
      </c>
      <c r="W71" s="99">
        <v>1</v>
      </c>
      <c r="X71" s="99">
        <v>51</v>
      </c>
      <c r="Y71" s="99">
        <v>50</v>
      </c>
      <c r="Z71" s="99">
        <v>300</v>
      </c>
      <c r="AA71" s="99">
        <v>271</v>
      </c>
      <c r="AB71" s="99">
        <v>1.8</v>
      </c>
      <c r="AC71" s="99" t="s">
        <v>95</v>
      </c>
      <c r="AD71" s="99" t="s">
        <v>95</v>
      </c>
      <c r="AE71" s="99" t="s">
        <v>95</v>
      </c>
      <c r="AF71" s="99">
        <v>8.9999999999999998E-4</v>
      </c>
      <c r="AG71" s="99" t="s">
        <v>95</v>
      </c>
      <c r="AH71" s="99" t="s">
        <v>95</v>
      </c>
      <c r="AI71" s="99">
        <v>5.9999999999999995E-4</v>
      </c>
      <c r="AJ71" s="99">
        <v>0.68</v>
      </c>
      <c r="AK71" s="99">
        <v>93</v>
      </c>
      <c r="AL71" s="99">
        <v>54</v>
      </c>
      <c r="AM71" s="99">
        <v>17</v>
      </c>
      <c r="AN71" s="99">
        <v>180</v>
      </c>
      <c r="AO71" s="99">
        <v>12.8</v>
      </c>
      <c r="AP71" s="99">
        <v>10.4</v>
      </c>
      <c r="AQ71" s="99">
        <v>13.8</v>
      </c>
      <c r="AR71" s="99">
        <v>4.75</v>
      </c>
      <c r="AS71" s="99">
        <v>1.45</v>
      </c>
      <c r="AT71" s="99">
        <v>6.2</v>
      </c>
      <c r="AU71" s="99">
        <v>2.74</v>
      </c>
      <c r="AV71" s="99">
        <v>0.877</v>
      </c>
      <c r="AW71" s="99">
        <v>3.62</v>
      </c>
      <c r="AX71" s="99">
        <v>15</v>
      </c>
      <c r="AY71" s="99">
        <v>10</v>
      </c>
      <c r="AZ71" s="99">
        <v>0.1</v>
      </c>
      <c r="BA71" s="99">
        <v>86.2</v>
      </c>
      <c r="BB71" s="99">
        <v>0.46</v>
      </c>
      <c r="BC71" s="99">
        <v>400</v>
      </c>
      <c r="BD71" s="99">
        <v>0.68</v>
      </c>
      <c r="BE71" s="99">
        <v>400</v>
      </c>
      <c r="BF71" s="99">
        <v>30</v>
      </c>
      <c r="BG71" s="99">
        <v>2</v>
      </c>
      <c r="BH71" s="99">
        <v>30</v>
      </c>
      <c r="BI71" s="99">
        <v>0.1</v>
      </c>
      <c r="BJ71" s="99">
        <v>5.8000000000000003E-2</v>
      </c>
      <c r="BK71" s="99" t="s">
        <v>94</v>
      </c>
      <c r="BL71" s="99">
        <v>0.8</v>
      </c>
      <c r="BM71" s="99" t="s">
        <v>95</v>
      </c>
      <c r="BN71" s="99" t="s">
        <v>95</v>
      </c>
      <c r="BO71" s="99" t="s">
        <v>95</v>
      </c>
      <c r="BP71" s="99" t="s">
        <v>93</v>
      </c>
      <c r="BQ71" s="99" t="s">
        <v>218</v>
      </c>
      <c r="BR71" s="99" t="s">
        <v>95</v>
      </c>
      <c r="BS71" s="99">
        <v>3.6</v>
      </c>
      <c r="BT71" s="99">
        <v>2.5</v>
      </c>
      <c r="BU71" s="99">
        <v>34</v>
      </c>
      <c r="BV71" s="99">
        <v>34</v>
      </c>
      <c r="BW71" s="99">
        <v>27</v>
      </c>
      <c r="BX71" s="99" t="s">
        <v>95</v>
      </c>
      <c r="BY71" s="99" t="s">
        <v>115</v>
      </c>
      <c r="BZ71" s="99" t="s">
        <v>95</v>
      </c>
      <c r="CA71" s="99" t="s">
        <v>95</v>
      </c>
      <c r="CB71" s="99">
        <v>42577</v>
      </c>
      <c r="CC71" s="99">
        <v>42577</v>
      </c>
      <c r="CD71" s="99">
        <v>2524</v>
      </c>
      <c r="CE71" s="99">
        <v>0.76200000000000001</v>
      </c>
    </row>
    <row r="72" spans="1:83" x14ac:dyDescent="0.25">
      <c r="A72" s="99" t="s">
        <v>219</v>
      </c>
      <c r="B72" s="99">
        <v>146</v>
      </c>
      <c r="C72" s="99" t="s">
        <v>93</v>
      </c>
      <c r="D72" s="99" t="s">
        <v>93</v>
      </c>
      <c r="E72" s="99" t="s">
        <v>97</v>
      </c>
      <c r="F72" s="99" t="s">
        <v>98</v>
      </c>
      <c r="G72" s="99" t="s">
        <v>220</v>
      </c>
      <c r="H72" s="99" t="s">
        <v>94</v>
      </c>
      <c r="I72" s="99">
        <v>1</v>
      </c>
      <c r="J72" s="99">
        <v>0</v>
      </c>
      <c r="K72" s="99">
        <v>1</v>
      </c>
      <c r="L72" s="99">
        <v>30</v>
      </c>
      <c r="M72" s="99">
        <v>20</v>
      </c>
      <c r="N72" s="99">
        <v>22</v>
      </c>
      <c r="O72" s="99">
        <v>39</v>
      </c>
      <c r="P72" s="99">
        <v>150</v>
      </c>
      <c r="Q72" s="99">
        <v>2.5</v>
      </c>
      <c r="R72" s="99">
        <v>65</v>
      </c>
      <c r="S72" s="99">
        <v>6.2</v>
      </c>
      <c r="T72" s="99">
        <v>1.3</v>
      </c>
      <c r="U72" s="99">
        <v>2</v>
      </c>
      <c r="V72" s="99">
        <v>2.5</v>
      </c>
      <c r="W72" s="99">
        <v>1</v>
      </c>
      <c r="X72" s="99">
        <v>11</v>
      </c>
      <c r="Y72" s="99">
        <v>5</v>
      </c>
      <c r="Z72" s="99">
        <v>300</v>
      </c>
      <c r="AA72" s="99">
        <v>43</v>
      </c>
      <c r="AB72" s="99">
        <v>3.8</v>
      </c>
      <c r="AC72" s="99" t="s">
        <v>95</v>
      </c>
      <c r="AD72" s="99" t="s">
        <v>95</v>
      </c>
      <c r="AE72" s="99" t="s">
        <v>95</v>
      </c>
      <c r="AF72" s="99">
        <v>2.9000000000000001E-2</v>
      </c>
      <c r="AG72" s="99" t="s">
        <v>95</v>
      </c>
      <c r="AH72" s="99" t="s">
        <v>95</v>
      </c>
      <c r="AI72" s="99">
        <v>2.4E-2</v>
      </c>
      <c r="AJ72" s="99">
        <v>0.78</v>
      </c>
      <c r="AK72" s="99">
        <v>2.4</v>
      </c>
      <c r="AL72" s="99">
        <v>1.3</v>
      </c>
      <c r="AM72" s="99">
        <v>0.6</v>
      </c>
      <c r="AN72" s="99">
        <v>5</v>
      </c>
      <c r="AO72" s="99">
        <v>0.38100000000000001</v>
      </c>
      <c r="AP72" s="99">
        <v>0.36</v>
      </c>
      <c r="AQ72" s="99">
        <v>0.39</v>
      </c>
      <c r="AR72" s="99">
        <v>0.39600000000000002</v>
      </c>
      <c r="AS72" s="99">
        <v>0.10100000000000001</v>
      </c>
      <c r="AT72" s="99">
        <v>0.48199999999999998</v>
      </c>
      <c r="AU72" s="99">
        <v>3.49E-2</v>
      </c>
      <c r="AV72" s="99">
        <v>8.9999999999999993E-3</v>
      </c>
      <c r="AW72" s="99">
        <v>4.1700000000000001E-2</v>
      </c>
      <c r="AX72" s="99">
        <v>15</v>
      </c>
      <c r="AY72" s="99">
        <v>10</v>
      </c>
      <c r="AZ72" s="99">
        <v>0.01</v>
      </c>
      <c r="BA72" s="99">
        <v>0.36</v>
      </c>
      <c r="BB72" s="99">
        <v>0.8</v>
      </c>
      <c r="BC72" s="99">
        <v>25</v>
      </c>
      <c r="BD72" s="99">
        <v>30</v>
      </c>
      <c r="BE72" s="99">
        <v>0.7</v>
      </c>
      <c r="BF72" s="99">
        <v>30</v>
      </c>
      <c r="BG72" s="99">
        <v>0.01</v>
      </c>
      <c r="BH72" s="99">
        <v>30</v>
      </c>
      <c r="BI72" s="99">
        <v>0.01</v>
      </c>
      <c r="BJ72" s="99">
        <v>2.0699999999999998</v>
      </c>
      <c r="BK72" s="99" t="s">
        <v>94</v>
      </c>
      <c r="BL72" s="99">
        <v>0.8</v>
      </c>
      <c r="BM72" s="99" t="s">
        <v>95</v>
      </c>
      <c r="BN72" s="99" t="s">
        <v>95</v>
      </c>
      <c r="BO72" s="99" t="s">
        <v>95</v>
      </c>
      <c r="BP72" s="99" t="s">
        <v>93</v>
      </c>
      <c r="BQ72" s="99" t="s">
        <v>221</v>
      </c>
      <c r="BR72" s="99" t="s">
        <v>95</v>
      </c>
      <c r="BS72" s="99">
        <v>7.6</v>
      </c>
      <c r="BT72" s="99">
        <v>2.9</v>
      </c>
      <c r="BU72" s="99">
        <v>2.2999999999999998</v>
      </c>
      <c r="BV72" s="99">
        <v>0.9</v>
      </c>
      <c r="BW72" s="99">
        <v>0.6</v>
      </c>
      <c r="BX72" s="99" t="s">
        <v>95</v>
      </c>
      <c r="BY72" s="99" t="s">
        <v>101</v>
      </c>
      <c r="BZ72" s="99" t="s">
        <v>95</v>
      </c>
      <c r="CA72" s="99" t="s">
        <v>95</v>
      </c>
      <c r="CB72" s="99">
        <v>42194</v>
      </c>
      <c r="CC72" s="99">
        <v>42598</v>
      </c>
      <c r="CD72" s="99">
        <v>2525</v>
      </c>
      <c r="CE72" s="99">
        <v>0.109</v>
      </c>
    </row>
    <row r="73" spans="1:83" x14ac:dyDescent="0.25">
      <c r="A73" s="99" t="s">
        <v>222</v>
      </c>
      <c r="B73" s="99">
        <v>146</v>
      </c>
      <c r="C73" s="99" t="s">
        <v>93</v>
      </c>
      <c r="D73" s="99" t="s">
        <v>93</v>
      </c>
      <c r="E73" s="99" t="s">
        <v>111</v>
      </c>
      <c r="F73" s="99" t="s">
        <v>172</v>
      </c>
      <c r="G73" s="99" t="s">
        <v>223</v>
      </c>
      <c r="H73" s="99" t="s">
        <v>94</v>
      </c>
      <c r="I73" s="99">
        <v>1</v>
      </c>
      <c r="J73" s="99">
        <v>0</v>
      </c>
      <c r="K73" s="99">
        <v>1</v>
      </c>
      <c r="L73" s="99">
        <v>30</v>
      </c>
      <c r="M73" s="99">
        <v>20</v>
      </c>
      <c r="N73" s="99">
        <v>100</v>
      </c>
      <c r="O73" s="99">
        <v>400</v>
      </c>
      <c r="P73" s="99">
        <v>150</v>
      </c>
      <c r="Q73" s="99">
        <v>195</v>
      </c>
      <c r="R73" s="99">
        <v>50</v>
      </c>
      <c r="S73" s="99">
        <v>0.8</v>
      </c>
      <c r="T73" s="99">
        <v>1.1000000000000001</v>
      </c>
      <c r="U73" s="99">
        <v>1.8</v>
      </c>
      <c r="V73" s="99">
        <v>2.4</v>
      </c>
      <c r="W73" s="99">
        <v>1</v>
      </c>
      <c r="X73" s="99">
        <v>21</v>
      </c>
      <c r="Y73" s="99">
        <v>35</v>
      </c>
      <c r="Z73" s="99">
        <v>300</v>
      </c>
      <c r="AA73" s="99">
        <v>181</v>
      </c>
      <c r="AB73" s="99">
        <v>0.9</v>
      </c>
      <c r="AC73" s="99" t="s">
        <v>95</v>
      </c>
      <c r="AD73" s="99" t="s">
        <v>95</v>
      </c>
      <c r="AE73" s="99" t="s">
        <v>95</v>
      </c>
      <c r="AF73" s="99">
        <v>1.4E-3</v>
      </c>
      <c r="AG73" s="99" t="s">
        <v>95</v>
      </c>
      <c r="AH73" s="99" t="s">
        <v>95</v>
      </c>
      <c r="AI73" s="99">
        <v>1E-3</v>
      </c>
      <c r="AJ73" s="99">
        <v>0.77</v>
      </c>
      <c r="AK73" s="99">
        <v>49</v>
      </c>
      <c r="AL73" s="99">
        <v>30</v>
      </c>
      <c r="AM73" s="99">
        <v>8.6</v>
      </c>
      <c r="AN73" s="99">
        <v>110</v>
      </c>
      <c r="AO73" s="99">
        <v>7.53</v>
      </c>
      <c r="AP73" s="99">
        <v>6.92</v>
      </c>
      <c r="AQ73" s="99">
        <v>7.97</v>
      </c>
      <c r="AR73" s="99">
        <v>3.51</v>
      </c>
      <c r="AS73" s="99">
        <v>0.76900000000000002</v>
      </c>
      <c r="AT73" s="99">
        <v>4.99</v>
      </c>
      <c r="AU73" s="99">
        <v>0.88700000000000001</v>
      </c>
      <c r="AV73" s="99">
        <v>0.3</v>
      </c>
      <c r="AW73" s="99">
        <v>1.29</v>
      </c>
      <c r="AX73" s="99">
        <v>15</v>
      </c>
      <c r="AY73" s="99">
        <v>10</v>
      </c>
      <c r="AZ73" s="99">
        <v>0.1</v>
      </c>
      <c r="BA73" s="99">
        <v>56.82</v>
      </c>
      <c r="BB73" s="99">
        <v>0.65</v>
      </c>
      <c r="BC73" s="99">
        <v>320</v>
      </c>
      <c r="BD73" s="99">
        <v>3.5</v>
      </c>
      <c r="BE73" s="99">
        <v>60</v>
      </c>
      <c r="BF73" s="99">
        <v>30</v>
      </c>
      <c r="BG73" s="99">
        <v>10</v>
      </c>
      <c r="BH73" s="99">
        <v>10</v>
      </c>
      <c r="BI73" s="99">
        <v>0.1</v>
      </c>
      <c r="BJ73" s="99">
        <v>0.09</v>
      </c>
      <c r="BK73" s="99" t="s">
        <v>94</v>
      </c>
      <c r="BL73" s="99">
        <v>0.8</v>
      </c>
      <c r="BM73" s="99" t="s">
        <v>94</v>
      </c>
      <c r="BN73" s="99">
        <v>1155</v>
      </c>
      <c r="BO73" s="99">
        <v>6.68</v>
      </c>
      <c r="BP73" s="99" t="s">
        <v>93</v>
      </c>
      <c r="BQ73" s="99" t="s">
        <v>224</v>
      </c>
      <c r="BR73" s="99" t="s">
        <v>95</v>
      </c>
      <c r="BS73" s="99">
        <v>1.8</v>
      </c>
      <c r="BT73" s="99">
        <v>2.8</v>
      </c>
      <c r="BU73" s="99">
        <v>29</v>
      </c>
      <c r="BV73" s="99">
        <v>11.9</v>
      </c>
      <c r="BW73" s="99">
        <v>17.100000000000001</v>
      </c>
      <c r="BX73" s="99" t="s">
        <v>95</v>
      </c>
      <c r="BY73" s="99" t="s">
        <v>213</v>
      </c>
      <c r="BZ73" s="99" t="s">
        <v>94</v>
      </c>
      <c r="CA73" s="99" t="s">
        <v>95</v>
      </c>
      <c r="CB73" s="99">
        <v>42173</v>
      </c>
      <c r="CC73" s="99">
        <v>42577</v>
      </c>
      <c r="CD73" s="99">
        <v>2526</v>
      </c>
      <c r="CE73" s="99">
        <v>0.55000000000000004</v>
      </c>
    </row>
    <row r="74" spans="1:83" x14ac:dyDescent="0.25">
      <c r="A74" s="103" t="s">
        <v>225</v>
      </c>
      <c r="B74" s="103">
        <v>146</v>
      </c>
      <c r="C74" s="103" t="s">
        <v>93</v>
      </c>
      <c r="D74" s="103" t="s">
        <v>93</v>
      </c>
      <c r="E74" s="103" t="s">
        <v>111</v>
      </c>
      <c r="F74" s="103" t="s">
        <v>120</v>
      </c>
      <c r="G74" s="103" t="s">
        <v>226</v>
      </c>
      <c r="H74" s="103" t="s">
        <v>94</v>
      </c>
      <c r="I74" s="103">
        <v>1</v>
      </c>
      <c r="J74" s="103">
        <v>0</v>
      </c>
      <c r="K74" s="103">
        <v>1</v>
      </c>
      <c r="L74" s="103">
        <v>30</v>
      </c>
      <c r="M74" s="103">
        <v>20</v>
      </c>
      <c r="N74" s="103">
        <v>60</v>
      </c>
      <c r="O74" s="103">
        <v>240</v>
      </c>
      <c r="P74" s="103">
        <v>150</v>
      </c>
      <c r="Q74" s="103">
        <v>2.7776999999999998</v>
      </c>
      <c r="R74" s="103">
        <v>55</v>
      </c>
      <c r="S74" s="103">
        <v>1.5</v>
      </c>
      <c r="T74" s="103">
        <v>1.1000000000000001</v>
      </c>
      <c r="U74" s="103">
        <v>1.8</v>
      </c>
      <c r="V74" s="103">
        <v>2.5</v>
      </c>
      <c r="W74" s="103">
        <v>1</v>
      </c>
      <c r="X74" s="103">
        <v>13</v>
      </c>
      <c r="Y74" s="103">
        <v>25</v>
      </c>
      <c r="Z74" s="103">
        <v>300</v>
      </c>
      <c r="AA74" s="103">
        <v>118</v>
      </c>
      <c r="AB74" s="103">
        <v>0.9</v>
      </c>
      <c r="AC74" s="99" t="s">
        <v>95</v>
      </c>
      <c r="AD74" s="103" t="s">
        <v>95</v>
      </c>
      <c r="AE74" s="103" t="s">
        <v>95</v>
      </c>
      <c r="AF74" s="103">
        <v>3.2000000000000002E-3</v>
      </c>
      <c r="AG74" s="103" t="s">
        <v>95</v>
      </c>
      <c r="AH74" s="103" t="s">
        <v>95</v>
      </c>
      <c r="AI74" s="103">
        <v>2E-3</v>
      </c>
      <c r="AJ74" s="103">
        <v>0.75</v>
      </c>
      <c r="AK74" s="103">
        <v>23</v>
      </c>
      <c r="AL74" s="103">
        <v>11.6</v>
      </c>
      <c r="AM74" s="103">
        <v>4.5999999999999996</v>
      </c>
      <c r="AN74" s="103">
        <v>47.5</v>
      </c>
      <c r="AO74" s="103">
        <v>3.67</v>
      </c>
      <c r="AP74" s="103">
        <v>3.4</v>
      </c>
      <c r="AQ74" s="103">
        <v>4</v>
      </c>
      <c r="AR74" s="103">
        <v>1.76</v>
      </c>
      <c r="AS74" s="103">
        <v>0.39300000000000002</v>
      </c>
      <c r="AT74" s="103">
        <v>2.64</v>
      </c>
      <c r="AU74" s="103">
        <v>0.4</v>
      </c>
      <c r="AV74" s="103">
        <v>0.157</v>
      </c>
      <c r="AW74" s="103">
        <v>0.7</v>
      </c>
      <c r="AX74" s="103">
        <v>15</v>
      </c>
      <c r="AY74" s="103">
        <v>10</v>
      </c>
      <c r="AZ74" s="103">
        <v>0.1</v>
      </c>
      <c r="BA74" s="103">
        <v>30</v>
      </c>
      <c r="BB74" s="103">
        <v>0.6</v>
      </c>
      <c r="BC74" s="103">
        <v>180</v>
      </c>
      <c r="BD74" s="103">
        <v>0.85</v>
      </c>
      <c r="BE74" s="103">
        <v>180</v>
      </c>
      <c r="BF74" s="103">
        <v>30</v>
      </c>
      <c r="BG74" s="103">
        <v>0.5</v>
      </c>
      <c r="BH74" s="103">
        <v>30</v>
      </c>
      <c r="BI74" s="103">
        <v>0.1</v>
      </c>
      <c r="BJ74" s="103">
        <v>0.22</v>
      </c>
      <c r="BK74" s="103" t="s">
        <v>94</v>
      </c>
      <c r="BL74" s="103">
        <v>0.8</v>
      </c>
      <c r="BM74" s="103" t="s">
        <v>95</v>
      </c>
      <c r="BN74" s="103">
        <v>0</v>
      </c>
      <c r="BO74" s="103">
        <v>3.3</v>
      </c>
      <c r="BP74" s="103" t="s">
        <v>93</v>
      </c>
      <c r="BQ74" s="103" t="s">
        <v>227</v>
      </c>
      <c r="BR74" s="103" t="s">
        <v>95</v>
      </c>
      <c r="BS74" s="103">
        <v>1.8</v>
      </c>
      <c r="BT74" s="103">
        <v>2.5</v>
      </c>
      <c r="BU74" s="103">
        <v>15</v>
      </c>
      <c r="BV74" s="103">
        <v>5.4</v>
      </c>
      <c r="BW74" s="103">
        <v>8.5</v>
      </c>
      <c r="BX74" s="103" t="s">
        <v>95</v>
      </c>
      <c r="BY74" s="103" t="s">
        <v>115</v>
      </c>
      <c r="BZ74" s="103" t="s">
        <v>95</v>
      </c>
      <c r="CA74" s="103" t="s">
        <v>95</v>
      </c>
      <c r="CB74" s="103">
        <v>42576</v>
      </c>
      <c r="CC74" s="103">
        <v>43741</v>
      </c>
      <c r="CD74" s="103">
        <v>2040</v>
      </c>
      <c r="CE74" s="103">
        <v>0.32400000000000001</v>
      </c>
    </row>
    <row r="75" spans="1:83" x14ac:dyDescent="0.25">
      <c r="A75" s="99" t="s">
        <v>228</v>
      </c>
      <c r="B75" s="99">
        <v>146</v>
      </c>
      <c r="C75" s="99" t="s">
        <v>93</v>
      </c>
      <c r="D75" s="99" t="s">
        <v>93</v>
      </c>
      <c r="E75" s="99" t="s">
        <v>111</v>
      </c>
      <c r="F75" s="99" t="s">
        <v>169</v>
      </c>
      <c r="G75" s="99" t="s">
        <v>211</v>
      </c>
      <c r="H75" s="99" t="s">
        <v>94</v>
      </c>
      <c r="I75" s="99">
        <v>1</v>
      </c>
      <c r="J75" s="99">
        <v>0</v>
      </c>
      <c r="K75" s="99">
        <v>1</v>
      </c>
      <c r="L75" s="99">
        <v>30</v>
      </c>
      <c r="M75" s="99">
        <v>20</v>
      </c>
      <c r="N75" s="99">
        <v>100</v>
      </c>
      <c r="O75" s="99">
        <v>400</v>
      </c>
      <c r="P75" s="99">
        <v>150</v>
      </c>
      <c r="Q75" s="99">
        <v>3.125</v>
      </c>
      <c r="R75" s="99">
        <v>50</v>
      </c>
      <c r="S75" s="99">
        <v>1.31</v>
      </c>
      <c r="T75" s="99">
        <v>1.1000000000000001</v>
      </c>
      <c r="U75" s="99">
        <v>1.8</v>
      </c>
      <c r="V75" s="99">
        <v>2.4</v>
      </c>
      <c r="W75" s="99">
        <v>1</v>
      </c>
      <c r="X75" s="99">
        <v>14</v>
      </c>
      <c r="Y75" s="99">
        <v>25</v>
      </c>
      <c r="Z75" s="99">
        <v>300</v>
      </c>
      <c r="AA75" s="99">
        <v>120</v>
      </c>
      <c r="AB75" s="99">
        <v>1</v>
      </c>
      <c r="AC75" s="99" t="s">
        <v>95</v>
      </c>
      <c r="AD75" s="99" t="s">
        <v>95</v>
      </c>
      <c r="AE75" s="99" t="s">
        <v>95</v>
      </c>
      <c r="AF75" s="99">
        <v>2.8999999999999998E-3</v>
      </c>
      <c r="AG75" s="99" t="s">
        <v>95</v>
      </c>
      <c r="AH75" s="99" t="s">
        <v>95</v>
      </c>
      <c r="AI75" s="99">
        <v>2E-3</v>
      </c>
      <c r="AJ75" s="99">
        <v>0.85</v>
      </c>
      <c r="AK75" s="99">
        <v>25</v>
      </c>
      <c r="AL75" s="99">
        <v>13.5</v>
      </c>
      <c r="AM75" s="99">
        <v>4.7</v>
      </c>
      <c r="AN75" s="99">
        <v>53</v>
      </c>
      <c r="AO75" s="99">
        <v>3.71</v>
      </c>
      <c r="AP75" s="99">
        <v>3.41</v>
      </c>
      <c r="AQ75" s="99">
        <v>3.99</v>
      </c>
      <c r="AR75" s="99">
        <v>1.78</v>
      </c>
      <c r="AS75" s="99">
        <v>0.38900000000000001</v>
      </c>
      <c r="AT75" s="99">
        <v>2.75</v>
      </c>
      <c r="AU75" s="99">
        <v>0.36299999999999999</v>
      </c>
      <c r="AV75" s="99">
        <v>0.151</v>
      </c>
      <c r="AW75" s="99">
        <v>0.69399999999999995</v>
      </c>
      <c r="AX75" s="99">
        <v>15</v>
      </c>
      <c r="AY75" s="99">
        <v>10</v>
      </c>
      <c r="AZ75" s="99">
        <v>0.1</v>
      </c>
      <c r="BA75" s="99">
        <v>30</v>
      </c>
      <c r="BB75" s="99">
        <v>0.9</v>
      </c>
      <c r="BC75" s="99">
        <v>230</v>
      </c>
      <c r="BD75" s="99">
        <v>1</v>
      </c>
      <c r="BE75" s="99">
        <v>230</v>
      </c>
      <c r="BF75" s="99">
        <v>30</v>
      </c>
      <c r="BG75" s="99">
        <v>1.6</v>
      </c>
      <c r="BH75" s="99">
        <v>30</v>
      </c>
      <c r="BI75" s="99">
        <v>0.1</v>
      </c>
      <c r="BJ75" s="99">
        <v>0.19800000000000001</v>
      </c>
      <c r="BK75" s="99" t="s">
        <v>94</v>
      </c>
      <c r="BL75" s="99">
        <v>0.8</v>
      </c>
      <c r="BM75" s="99" t="s">
        <v>95</v>
      </c>
      <c r="BN75" s="99">
        <v>0</v>
      </c>
      <c r="BO75" s="99">
        <v>3.3</v>
      </c>
      <c r="BP75" s="99" t="s">
        <v>93</v>
      </c>
      <c r="BQ75" s="99" t="s">
        <v>229</v>
      </c>
      <c r="BR75" s="99" t="s">
        <v>95</v>
      </c>
      <c r="BS75" s="99">
        <v>2</v>
      </c>
      <c r="BT75" s="99">
        <v>3</v>
      </c>
      <c r="BU75" s="99">
        <v>14.7</v>
      </c>
      <c r="BV75" s="99">
        <v>5.4</v>
      </c>
      <c r="BW75" s="99">
        <v>8.9</v>
      </c>
      <c r="BX75" s="99" t="s">
        <v>95</v>
      </c>
      <c r="BY75" s="99" t="s">
        <v>115</v>
      </c>
      <c r="BZ75" s="99" t="s">
        <v>95</v>
      </c>
      <c r="CA75" s="99" t="s">
        <v>95</v>
      </c>
      <c r="CB75" s="99">
        <v>42193</v>
      </c>
      <c r="CC75" s="99">
        <v>42577</v>
      </c>
      <c r="CD75" s="99">
        <v>2527</v>
      </c>
      <c r="CE75" s="99">
        <v>0.39700000000000002</v>
      </c>
    </row>
    <row r="76" spans="1:83" x14ac:dyDescent="0.25">
      <c r="A76" s="103" t="s">
        <v>230</v>
      </c>
      <c r="B76" s="103">
        <v>146</v>
      </c>
      <c r="C76" s="103" t="s">
        <v>93</v>
      </c>
      <c r="D76" s="103" t="s">
        <v>93</v>
      </c>
      <c r="E76" s="103" t="s">
        <v>111</v>
      </c>
      <c r="F76" s="103" t="s">
        <v>209</v>
      </c>
      <c r="G76" s="103" t="s">
        <v>231</v>
      </c>
      <c r="H76" s="103" t="s">
        <v>94</v>
      </c>
      <c r="I76" s="103">
        <v>1</v>
      </c>
      <c r="J76" s="103">
        <v>0</v>
      </c>
      <c r="K76" s="103">
        <v>1</v>
      </c>
      <c r="L76" s="103">
        <v>30</v>
      </c>
      <c r="M76" s="103">
        <v>20</v>
      </c>
      <c r="N76" s="103">
        <v>35</v>
      </c>
      <c r="O76" s="103">
        <v>239</v>
      </c>
      <c r="P76" s="103">
        <v>150</v>
      </c>
      <c r="Q76" s="103">
        <v>2.5</v>
      </c>
      <c r="R76" s="103">
        <v>55</v>
      </c>
      <c r="S76" s="103">
        <v>3</v>
      </c>
      <c r="T76" s="103">
        <v>1.1000000000000001</v>
      </c>
      <c r="U76" s="103">
        <v>1.8</v>
      </c>
      <c r="V76" s="103">
        <v>2.7</v>
      </c>
      <c r="W76" s="103">
        <v>1</v>
      </c>
      <c r="X76" s="103">
        <v>8.6</v>
      </c>
      <c r="Y76" s="103">
        <v>16</v>
      </c>
      <c r="Z76" s="103">
        <v>300</v>
      </c>
      <c r="AA76" s="103">
        <v>76</v>
      </c>
      <c r="AB76" s="103">
        <v>1.4</v>
      </c>
      <c r="AC76" s="99" t="s">
        <v>95</v>
      </c>
      <c r="AD76" s="103" t="s">
        <v>95</v>
      </c>
      <c r="AE76" s="103" t="s">
        <v>95</v>
      </c>
      <c r="AF76" s="103">
        <v>6.4000000000000003E-3</v>
      </c>
      <c r="AG76" s="103" t="s">
        <v>95</v>
      </c>
      <c r="AH76" s="103" t="s">
        <v>95</v>
      </c>
      <c r="AI76" s="103">
        <v>4.0000000000000001E-3</v>
      </c>
      <c r="AJ76" s="103">
        <v>0.6</v>
      </c>
      <c r="AK76" s="103">
        <v>13</v>
      </c>
      <c r="AL76" s="103">
        <v>5</v>
      </c>
      <c r="AM76" s="103">
        <v>2.5</v>
      </c>
      <c r="AN76" s="103">
        <v>28</v>
      </c>
      <c r="AO76" s="103">
        <v>2</v>
      </c>
      <c r="AP76" s="103">
        <v>1.78</v>
      </c>
      <c r="AQ76" s="103">
        <v>2.11</v>
      </c>
      <c r="AR76" s="103">
        <v>0.85399999999999998</v>
      </c>
      <c r="AS76" s="103">
        <v>0.2</v>
      </c>
      <c r="AT76" s="103">
        <v>1.23</v>
      </c>
      <c r="AU76" s="103">
        <v>0.21299999999999999</v>
      </c>
      <c r="AV76" s="103">
        <v>7.9000000000000001E-2</v>
      </c>
      <c r="AW76" s="103">
        <v>0.36699999999999999</v>
      </c>
      <c r="AX76" s="103">
        <v>15</v>
      </c>
      <c r="AY76" s="103">
        <v>10</v>
      </c>
      <c r="AZ76" s="103">
        <v>0.1</v>
      </c>
      <c r="BA76" s="103">
        <v>14.5</v>
      </c>
      <c r="BB76" s="103">
        <v>0.57999999999999996</v>
      </c>
      <c r="BC76" s="103">
        <v>76</v>
      </c>
      <c r="BD76" s="103">
        <v>0.91</v>
      </c>
      <c r="BE76" s="103">
        <v>76</v>
      </c>
      <c r="BF76" s="103">
        <v>30</v>
      </c>
      <c r="BG76" s="103">
        <v>0.32</v>
      </c>
      <c r="BH76" s="103">
        <v>30</v>
      </c>
      <c r="BI76" s="103">
        <v>0.1</v>
      </c>
      <c r="BJ76" s="103">
        <v>0.36</v>
      </c>
      <c r="BK76" s="103" t="s">
        <v>94</v>
      </c>
      <c r="BL76" s="103">
        <v>0.8</v>
      </c>
      <c r="BM76" s="103" t="s">
        <v>95</v>
      </c>
      <c r="BN76" s="103">
        <v>0</v>
      </c>
      <c r="BO76" s="103">
        <v>1.7430000000000001</v>
      </c>
      <c r="BP76" s="103" t="s">
        <v>93</v>
      </c>
      <c r="BQ76" s="103" t="s">
        <v>232</v>
      </c>
      <c r="BR76" s="103" t="s">
        <v>95</v>
      </c>
      <c r="BS76" s="103">
        <v>2.8</v>
      </c>
      <c r="BT76" s="103">
        <v>2.5</v>
      </c>
      <c r="BU76" s="103">
        <v>8.1999999999999993</v>
      </c>
      <c r="BV76" s="103">
        <v>2.8</v>
      </c>
      <c r="BW76" s="103">
        <v>5.0999999999999996</v>
      </c>
      <c r="BX76" s="103" t="s">
        <v>95</v>
      </c>
      <c r="BY76" s="103" t="s">
        <v>233</v>
      </c>
      <c r="BZ76" s="103" t="s">
        <v>94</v>
      </c>
      <c r="CA76" s="103" t="s">
        <v>95</v>
      </c>
      <c r="CB76" s="103">
        <v>42198</v>
      </c>
      <c r="CC76" s="103">
        <v>42599</v>
      </c>
      <c r="CD76" s="103">
        <v>2042</v>
      </c>
      <c r="CE76" s="103">
        <v>0.193</v>
      </c>
    </row>
    <row r="77" spans="1:83" x14ac:dyDescent="0.25">
      <c r="A77" s="99" t="s">
        <v>234</v>
      </c>
      <c r="B77" s="99">
        <v>146</v>
      </c>
      <c r="C77" s="99" t="s">
        <v>93</v>
      </c>
      <c r="D77" s="99" t="s">
        <v>93</v>
      </c>
      <c r="E77" s="99" t="s">
        <v>111</v>
      </c>
      <c r="F77" s="99" t="s">
        <v>132</v>
      </c>
      <c r="G77" s="99" t="s">
        <v>211</v>
      </c>
      <c r="H77" s="99" t="s">
        <v>94</v>
      </c>
      <c r="I77" s="99">
        <v>1</v>
      </c>
      <c r="J77" s="99">
        <v>0</v>
      </c>
      <c r="K77" s="99">
        <v>1</v>
      </c>
      <c r="L77" s="99">
        <v>30</v>
      </c>
      <c r="M77" s="99">
        <v>20</v>
      </c>
      <c r="N77" s="99">
        <v>60</v>
      </c>
      <c r="O77" s="99">
        <v>280</v>
      </c>
      <c r="P77" s="99">
        <v>150</v>
      </c>
      <c r="Q77" s="99">
        <v>3.125</v>
      </c>
      <c r="R77" s="99">
        <v>50</v>
      </c>
      <c r="S77" s="99">
        <v>2.8</v>
      </c>
      <c r="T77" s="99">
        <v>1.1000000000000001</v>
      </c>
      <c r="U77" s="99">
        <v>1.8</v>
      </c>
      <c r="V77" s="99">
        <v>2.7</v>
      </c>
      <c r="W77" s="99">
        <v>1</v>
      </c>
      <c r="X77" s="99">
        <v>9.3000000000000007</v>
      </c>
      <c r="Y77" s="99">
        <v>18</v>
      </c>
      <c r="Z77" s="99">
        <v>300</v>
      </c>
      <c r="AA77" s="99">
        <v>79</v>
      </c>
      <c r="AB77" s="99">
        <v>1.4</v>
      </c>
      <c r="AC77" s="99" t="s">
        <v>95</v>
      </c>
      <c r="AD77" s="99" t="s">
        <v>95</v>
      </c>
      <c r="AE77" s="99" t="s">
        <v>95</v>
      </c>
      <c r="AF77" s="99">
        <v>5.7999999999999996E-3</v>
      </c>
      <c r="AG77" s="99" t="s">
        <v>95</v>
      </c>
      <c r="AH77" s="99" t="s">
        <v>95</v>
      </c>
      <c r="AI77" s="99">
        <v>4.1999999999999997E-3</v>
      </c>
      <c r="AJ77" s="99">
        <v>0.6</v>
      </c>
      <c r="AK77" s="99">
        <v>13</v>
      </c>
      <c r="AL77" s="99">
        <v>4.95</v>
      </c>
      <c r="AM77" s="99">
        <v>2.5</v>
      </c>
      <c r="AN77" s="99">
        <v>26.4</v>
      </c>
      <c r="AO77" s="99">
        <v>1.9</v>
      </c>
      <c r="AP77" s="99">
        <v>1.78</v>
      </c>
      <c r="AQ77" s="99">
        <v>2.04</v>
      </c>
      <c r="AR77" s="99">
        <v>0.89</v>
      </c>
      <c r="AS77" s="99">
        <v>0.20799999999999999</v>
      </c>
      <c r="AT77" s="99">
        <v>1.36</v>
      </c>
      <c r="AU77" s="99">
        <v>0.17399999999999999</v>
      </c>
      <c r="AV77" s="99">
        <v>7.9000000000000001E-2</v>
      </c>
      <c r="AW77" s="99">
        <v>0.313</v>
      </c>
      <c r="AX77" s="99">
        <v>15</v>
      </c>
      <c r="AY77" s="99">
        <v>10</v>
      </c>
      <c r="AZ77" s="99">
        <v>0.1</v>
      </c>
      <c r="BA77" s="99">
        <v>17</v>
      </c>
      <c r="BB77" s="99">
        <v>0.47</v>
      </c>
      <c r="BC77" s="99">
        <v>85</v>
      </c>
      <c r="BD77" s="99">
        <v>1</v>
      </c>
      <c r="BE77" s="99">
        <v>85</v>
      </c>
      <c r="BF77" s="99">
        <v>30</v>
      </c>
      <c r="BG77" s="99">
        <v>0.47</v>
      </c>
      <c r="BH77" s="99">
        <v>30</v>
      </c>
      <c r="BI77" s="99">
        <v>0.1</v>
      </c>
      <c r="BJ77" s="99">
        <v>0.38</v>
      </c>
      <c r="BK77" s="99" t="s">
        <v>94</v>
      </c>
      <c r="BL77" s="99">
        <v>0.8</v>
      </c>
      <c r="BM77" s="99" t="s">
        <v>95</v>
      </c>
      <c r="BN77" s="99">
        <v>1155</v>
      </c>
      <c r="BO77" s="99">
        <v>1.7</v>
      </c>
      <c r="BP77" s="99" t="s">
        <v>93</v>
      </c>
      <c r="BQ77" s="99" t="s">
        <v>235</v>
      </c>
      <c r="BR77" s="99" t="s">
        <v>95</v>
      </c>
      <c r="BS77" s="99">
        <v>2.8</v>
      </c>
      <c r="BT77" s="99">
        <v>2.5</v>
      </c>
      <c r="BU77" s="99">
        <v>8.1999999999999993</v>
      </c>
      <c r="BV77" s="99">
        <v>2.8</v>
      </c>
      <c r="BW77" s="99">
        <v>5.0999999999999996</v>
      </c>
      <c r="BX77" s="99" t="s">
        <v>95</v>
      </c>
      <c r="BY77" s="99" t="s">
        <v>213</v>
      </c>
      <c r="BZ77" s="99" t="s">
        <v>95</v>
      </c>
      <c r="CA77" s="99" t="s">
        <v>95</v>
      </c>
      <c r="CB77" s="99">
        <v>42198</v>
      </c>
      <c r="CC77" s="99">
        <v>42577</v>
      </c>
      <c r="CD77" s="99">
        <v>2528</v>
      </c>
      <c r="CE77" s="99">
        <v>0.21199999999999999</v>
      </c>
    </row>
    <row r="78" spans="1:83" x14ac:dyDescent="0.25">
      <c r="A78" s="103" t="s">
        <v>236</v>
      </c>
      <c r="B78" s="103">
        <v>146</v>
      </c>
      <c r="C78" s="103" t="s">
        <v>93</v>
      </c>
      <c r="D78" s="103" t="s">
        <v>93</v>
      </c>
      <c r="E78" s="103" t="s">
        <v>111</v>
      </c>
      <c r="F78" s="103" t="s">
        <v>209</v>
      </c>
      <c r="G78" s="103" t="s">
        <v>231</v>
      </c>
      <c r="H78" s="103" t="s">
        <v>94</v>
      </c>
      <c r="I78" s="103">
        <v>1</v>
      </c>
      <c r="J78" s="103">
        <v>0</v>
      </c>
      <c r="K78" s="103">
        <v>1</v>
      </c>
      <c r="L78" s="103">
        <v>30</v>
      </c>
      <c r="M78" s="103">
        <v>20</v>
      </c>
      <c r="N78" s="103">
        <v>20</v>
      </c>
      <c r="O78" s="103">
        <v>142</v>
      </c>
      <c r="P78" s="103">
        <v>150</v>
      </c>
      <c r="Q78" s="103">
        <v>2.5</v>
      </c>
      <c r="R78" s="103">
        <v>60</v>
      </c>
      <c r="S78" s="103">
        <v>4.2</v>
      </c>
      <c r="T78" s="103">
        <v>1.1000000000000001</v>
      </c>
      <c r="U78" s="103">
        <v>1.9</v>
      </c>
      <c r="V78" s="103">
        <v>2.8</v>
      </c>
      <c r="W78" s="103">
        <v>1</v>
      </c>
      <c r="X78" s="103">
        <v>6</v>
      </c>
      <c r="Y78" s="103">
        <v>10</v>
      </c>
      <c r="Z78" s="103">
        <v>300</v>
      </c>
      <c r="AA78" s="103">
        <v>48</v>
      </c>
      <c r="AB78" s="103">
        <v>1.8</v>
      </c>
      <c r="AC78" s="99" t="s">
        <v>95</v>
      </c>
      <c r="AD78" s="103" t="s">
        <v>95</v>
      </c>
      <c r="AE78" s="103" t="s">
        <v>95</v>
      </c>
      <c r="AF78" s="103">
        <v>9.4000000000000004E-3</v>
      </c>
      <c r="AG78" s="103" t="s">
        <v>95</v>
      </c>
      <c r="AH78" s="103" t="s">
        <v>95</v>
      </c>
      <c r="AI78" s="103">
        <v>6.1999999999999998E-3</v>
      </c>
      <c r="AJ78" s="103">
        <v>0.7</v>
      </c>
      <c r="AK78" s="103">
        <v>7.9</v>
      </c>
      <c r="AL78" s="103">
        <v>3.15</v>
      </c>
      <c r="AM78" s="103">
        <v>1.7</v>
      </c>
      <c r="AN78" s="103">
        <v>17</v>
      </c>
      <c r="AO78" s="103">
        <v>1.3</v>
      </c>
      <c r="AP78" s="103">
        <v>1.1499999999999999</v>
      </c>
      <c r="AQ78" s="103">
        <v>1.4</v>
      </c>
      <c r="AR78" s="103">
        <v>0.56599999999999995</v>
      </c>
      <c r="AS78" s="103">
        <v>0.13</v>
      </c>
      <c r="AT78" s="103">
        <v>0.8</v>
      </c>
      <c r="AU78" s="103">
        <v>0.153</v>
      </c>
      <c r="AV78" s="103">
        <v>0.06</v>
      </c>
      <c r="AW78" s="103">
        <v>0.24</v>
      </c>
      <c r="AX78" s="103">
        <v>15</v>
      </c>
      <c r="AY78" s="103">
        <v>10</v>
      </c>
      <c r="AZ78" s="103">
        <v>0.1</v>
      </c>
      <c r="BA78" s="103">
        <v>8</v>
      </c>
      <c r="BB78" s="103">
        <v>0.65</v>
      </c>
      <c r="BC78" s="103">
        <v>50</v>
      </c>
      <c r="BD78" s="103">
        <v>0.9</v>
      </c>
      <c r="BE78" s="103">
        <v>50</v>
      </c>
      <c r="BF78" s="103">
        <v>30</v>
      </c>
      <c r="BG78" s="103">
        <v>0.3</v>
      </c>
      <c r="BH78" s="103">
        <v>30</v>
      </c>
      <c r="BI78" s="103">
        <v>0.1</v>
      </c>
      <c r="BJ78" s="103">
        <v>0.67</v>
      </c>
      <c r="BK78" s="103" t="s">
        <v>94</v>
      </c>
      <c r="BL78" s="103">
        <v>0.8</v>
      </c>
      <c r="BM78" s="103" t="s">
        <v>95</v>
      </c>
      <c r="BN78" s="103">
        <v>0</v>
      </c>
      <c r="BO78" s="103">
        <v>1.1599999999999999</v>
      </c>
      <c r="BP78" s="103" t="s">
        <v>93</v>
      </c>
      <c r="BQ78" s="103" t="s">
        <v>237</v>
      </c>
      <c r="BR78" s="103" t="s">
        <v>95</v>
      </c>
      <c r="BS78" s="103">
        <v>3.6</v>
      </c>
      <c r="BT78" s="103">
        <v>2.5</v>
      </c>
      <c r="BU78" s="103">
        <v>4.4000000000000004</v>
      </c>
      <c r="BV78" s="103">
        <v>1.7</v>
      </c>
      <c r="BW78" s="103">
        <v>3.3</v>
      </c>
      <c r="BX78" s="103" t="s">
        <v>95</v>
      </c>
      <c r="BY78" s="103" t="s">
        <v>233</v>
      </c>
      <c r="BZ78" s="103" t="s">
        <v>94</v>
      </c>
      <c r="CA78" s="103" t="s">
        <v>95</v>
      </c>
      <c r="CB78" s="103">
        <v>42198</v>
      </c>
      <c r="CC78" s="103">
        <v>42599</v>
      </c>
      <c r="CD78" s="103">
        <v>2044</v>
      </c>
      <c r="CE78" s="103">
        <v>0.17299999999999999</v>
      </c>
    </row>
    <row r="79" spans="1:83" x14ac:dyDescent="0.25">
      <c r="A79" s="99" t="s">
        <v>238</v>
      </c>
      <c r="B79" s="99">
        <v>146</v>
      </c>
      <c r="C79" s="99" t="s">
        <v>93</v>
      </c>
      <c r="D79" s="99" t="s">
        <v>93</v>
      </c>
      <c r="E79" s="99" t="s">
        <v>111</v>
      </c>
      <c r="F79" s="99" t="s">
        <v>132</v>
      </c>
      <c r="G79" s="99" t="s">
        <v>211</v>
      </c>
      <c r="H79" s="99" t="s">
        <v>94</v>
      </c>
      <c r="I79" s="99">
        <v>1</v>
      </c>
      <c r="J79" s="99">
        <v>0</v>
      </c>
      <c r="K79" s="99">
        <v>1</v>
      </c>
      <c r="L79" s="99">
        <v>30</v>
      </c>
      <c r="M79" s="99">
        <v>20</v>
      </c>
      <c r="N79" s="99">
        <v>59</v>
      </c>
      <c r="O79" s="99">
        <v>132</v>
      </c>
      <c r="P79" s="99">
        <v>150</v>
      </c>
      <c r="Q79" s="99">
        <v>3.125</v>
      </c>
      <c r="R79" s="99">
        <v>50</v>
      </c>
      <c r="S79" s="99">
        <v>3.8</v>
      </c>
      <c r="T79" s="99">
        <v>1.1000000000000001</v>
      </c>
      <c r="U79" s="99">
        <v>1.9</v>
      </c>
      <c r="V79" s="99">
        <v>2.7</v>
      </c>
      <c r="W79" s="99">
        <v>1</v>
      </c>
      <c r="X79" s="99">
        <v>6.8</v>
      </c>
      <c r="Y79" s="99">
        <v>10</v>
      </c>
      <c r="Z79" s="99">
        <v>300</v>
      </c>
      <c r="AA79" s="99">
        <v>44</v>
      </c>
      <c r="AB79" s="99">
        <v>1.8</v>
      </c>
      <c r="AC79" s="99" t="s">
        <v>95</v>
      </c>
      <c r="AD79" s="99" t="s">
        <v>95</v>
      </c>
      <c r="AE79" s="99" t="s">
        <v>95</v>
      </c>
      <c r="AF79" s="99">
        <v>9.2999999999999992E-3</v>
      </c>
      <c r="AG79" s="99" t="s">
        <v>95</v>
      </c>
      <c r="AH79" s="99" t="s">
        <v>95</v>
      </c>
      <c r="AI79" s="99">
        <v>6.8999999999999999E-3</v>
      </c>
      <c r="AJ79" s="99">
        <v>0.75</v>
      </c>
      <c r="AK79" s="99">
        <v>7.9</v>
      </c>
      <c r="AL79" s="99">
        <v>3.02</v>
      </c>
      <c r="AM79" s="99">
        <v>1.7</v>
      </c>
      <c r="AN79" s="99">
        <v>17</v>
      </c>
      <c r="AO79" s="99">
        <v>1.26</v>
      </c>
      <c r="AP79" s="99">
        <v>1.17</v>
      </c>
      <c r="AQ79" s="99">
        <v>1.36</v>
      </c>
      <c r="AR79" s="99">
        <v>0.54400000000000004</v>
      </c>
      <c r="AS79" s="99">
        <v>0.13600000000000001</v>
      </c>
      <c r="AT79" s="99">
        <v>0.79600000000000004</v>
      </c>
      <c r="AU79" s="99">
        <v>0.16600000000000001</v>
      </c>
      <c r="AV79" s="99">
        <v>5.8000000000000003E-2</v>
      </c>
      <c r="AW79" s="99">
        <v>0.26300000000000001</v>
      </c>
      <c r="AX79" s="99">
        <v>15</v>
      </c>
      <c r="AY79" s="99">
        <v>10</v>
      </c>
      <c r="AZ79" s="99">
        <v>0.1</v>
      </c>
      <c r="BA79" s="99">
        <v>8.2799999999999994</v>
      </c>
      <c r="BB79" s="99">
        <v>0.72</v>
      </c>
      <c r="BC79" s="99">
        <v>60</v>
      </c>
      <c r="BD79" s="99">
        <v>1.52</v>
      </c>
      <c r="BE79" s="99">
        <v>60</v>
      </c>
      <c r="BF79" s="99">
        <v>30</v>
      </c>
      <c r="BG79" s="99">
        <v>0.49</v>
      </c>
      <c r="BH79" s="99">
        <v>30</v>
      </c>
      <c r="BI79" s="99">
        <v>0.1</v>
      </c>
      <c r="BJ79" s="99">
        <v>0.59</v>
      </c>
      <c r="BK79" s="99" t="s">
        <v>94</v>
      </c>
      <c r="BL79" s="99">
        <v>0.8</v>
      </c>
      <c r="BM79" s="99" t="s">
        <v>95</v>
      </c>
      <c r="BN79" s="99">
        <v>1155</v>
      </c>
      <c r="BO79" s="99">
        <v>1</v>
      </c>
      <c r="BP79" s="99" t="s">
        <v>93</v>
      </c>
      <c r="BQ79" s="99" t="s">
        <v>239</v>
      </c>
      <c r="BR79" s="99" t="s">
        <v>95</v>
      </c>
      <c r="BS79" s="99">
        <v>3.6</v>
      </c>
      <c r="BT79" s="99">
        <v>2.5</v>
      </c>
      <c r="BU79" s="99">
        <v>6.5</v>
      </c>
      <c r="BV79" s="99">
        <v>2</v>
      </c>
      <c r="BW79" s="99">
        <v>3.1</v>
      </c>
      <c r="BX79" s="99" t="s">
        <v>95</v>
      </c>
      <c r="BY79" s="99" t="s">
        <v>213</v>
      </c>
      <c r="BZ79" s="99" t="s">
        <v>95</v>
      </c>
      <c r="CA79" s="99" t="s">
        <v>95</v>
      </c>
      <c r="CB79" s="99">
        <v>42201</v>
      </c>
      <c r="CC79" s="99">
        <v>42577</v>
      </c>
      <c r="CD79" s="99">
        <v>2529</v>
      </c>
      <c r="CE79" s="99">
        <v>0.191</v>
      </c>
    </row>
    <row r="80" spans="1:83" x14ac:dyDescent="0.25">
      <c r="A80" s="103" t="s">
        <v>240</v>
      </c>
      <c r="B80" s="103">
        <v>146</v>
      </c>
      <c r="C80" s="103" t="s">
        <v>93</v>
      </c>
      <c r="D80" s="103" t="s">
        <v>93</v>
      </c>
      <c r="E80" s="103" t="s">
        <v>111</v>
      </c>
      <c r="F80" s="103" t="s">
        <v>209</v>
      </c>
      <c r="G80" s="103" t="s">
        <v>231</v>
      </c>
      <c r="H80" s="103" t="s">
        <v>94</v>
      </c>
      <c r="I80" s="103">
        <v>1</v>
      </c>
      <c r="J80" s="103">
        <v>0</v>
      </c>
      <c r="K80" s="103">
        <v>1</v>
      </c>
      <c r="L80" s="103">
        <v>30</v>
      </c>
      <c r="M80" s="103">
        <v>20</v>
      </c>
      <c r="N80" s="103">
        <v>20</v>
      </c>
      <c r="O80" s="103">
        <v>106</v>
      </c>
      <c r="P80" s="103">
        <v>150</v>
      </c>
      <c r="Q80" s="103">
        <v>2.5</v>
      </c>
      <c r="R80" s="103">
        <v>60</v>
      </c>
      <c r="S80" s="103">
        <v>5.4</v>
      </c>
      <c r="T80" s="103">
        <v>1.1000000000000001</v>
      </c>
      <c r="U80" s="103">
        <v>1.9</v>
      </c>
      <c r="V80" s="103">
        <v>2.8</v>
      </c>
      <c r="W80" s="103">
        <v>1</v>
      </c>
      <c r="X80" s="103">
        <v>5</v>
      </c>
      <c r="Y80" s="103">
        <v>8</v>
      </c>
      <c r="Z80" s="103">
        <v>300</v>
      </c>
      <c r="AA80" s="103">
        <v>37</v>
      </c>
      <c r="AB80" s="103">
        <v>1.9</v>
      </c>
      <c r="AC80" s="99" t="s">
        <v>95</v>
      </c>
      <c r="AD80" s="103" t="s">
        <v>95</v>
      </c>
      <c r="AE80" s="103" t="s">
        <v>95</v>
      </c>
      <c r="AF80" s="103">
        <v>1.4200000000000001E-2</v>
      </c>
      <c r="AG80" s="103" t="s">
        <v>95</v>
      </c>
      <c r="AH80" s="103" t="s">
        <v>95</v>
      </c>
      <c r="AI80" s="103">
        <v>8.6999999999999994E-3</v>
      </c>
      <c r="AJ80" s="103">
        <v>0.72</v>
      </c>
      <c r="AK80" s="103">
        <v>5.3</v>
      </c>
      <c r="AL80" s="103">
        <v>2.5</v>
      </c>
      <c r="AM80" s="103">
        <v>1.1000000000000001</v>
      </c>
      <c r="AN80" s="103">
        <v>11</v>
      </c>
      <c r="AO80" s="103">
        <v>0.86899999999999999</v>
      </c>
      <c r="AP80" s="103">
        <v>0.8</v>
      </c>
      <c r="AQ80" s="103">
        <v>0.92</v>
      </c>
      <c r="AR80" s="103">
        <v>0.35199999999999998</v>
      </c>
      <c r="AS80" s="103">
        <v>0.09</v>
      </c>
      <c r="AT80" s="103">
        <v>0.5</v>
      </c>
      <c r="AU80" s="103">
        <v>9.8000000000000004E-2</v>
      </c>
      <c r="AV80" s="103">
        <v>0.04</v>
      </c>
      <c r="AW80" s="103">
        <v>0.152</v>
      </c>
      <c r="AX80" s="103">
        <v>15</v>
      </c>
      <c r="AY80" s="103">
        <v>10</v>
      </c>
      <c r="AZ80" s="103">
        <v>0.1</v>
      </c>
      <c r="BA80" s="103">
        <v>5.5</v>
      </c>
      <c r="BB80" s="103">
        <v>0.7</v>
      </c>
      <c r="BC80" s="103">
        <v>37</v>
      </c>
      <c r="BD80" s="103">
        <v>1.3</v>
      </c>
      <c r="BE80" s="103">
        <v>37</v>
      </c>
      <c r="BF80" s="103">
        <v>30</v>
      </c>
      <c r="BG80" s="103">
        <v>0.26</v>
      </c>
      <c r="BH80" s="103">
        <v>30</v>
      </c>
      <c r="BI80" s="103">
        <v>0.1</v>
      </c>
      <c r="BJ80" s="103">
        <v>0.92</v>
      </c>
      <c r="BK80" s="103" t="s">
        <v>94</v>
      </c>
      <c r="BL80" s="103">
        <v>0.8</v>
      </c>
      <c r="BM80" s="103" t="s">
        <v>95</v>
      </c>
      <c r="BN80" s="103">
        <v>0</v>
      </c>
      <c r="BO80" s="103">
        <v>0.76800000000000002</v>
      </c>
      <c r="BP80" s="103" t="s">
        <v>93</v>
      </c>
      <c r="BQ80" s="103" t="s">
        <v>241</v>
      </c>
      <c r="BR80" s="103" t="s">
        <v>95</v>
      </c>
      <c r="BS80" s="103">
        <v>3.8</v>
      </c>
      <c r="BT80" s="103">
        <v>2.5</v>
      </c>
      <c r="BU80" s="103">
        <v>3.4</v>
      </c>
      <c r="BV80" s="103">
        <v>1.2</v>
      </c>
      <c r="BW80" s="103">
        <v>2.2000000000000002</v>
      </c>
      <c r="BX80" s="103" t="s">
        <v>95</v>
      </c>
      <c r="BY80" s="103" t="s">
        <v>233</v>
      </c>
      <c r="BZ80" s="103" t="s">
        <v>94</v>
      </c>
      <c r="CA80" s="103" t="s">
        <v>95</v>
      </c>
      <c r="CB80" s="103">
        <v>42201</v>
      </c>
      <c r="CC80" s="103">
        <v>42599</v>
      </c>
      <c r="CD80" s="103">
        <v>2046</v>
      </c>
      <c r="CE80" s="103">
        <v>0.153</v>
      </c>
    </row>
    <row r="81" spans="1:83" x14ac:dyDescent="0.25">
      <c r="A81" s="99" t="s">
        <v>242</v>
      </c>
      <c r="B81" s="99">
        <v>146</v>
      </c>
      <c r="C81" s="99" t="s">
        <v>93</v>
      </c>
      <c r="D81" s="99" t="s">
        <v>93</v>
      </c>
      <c r="E81" s="99" t="s">
        <v>111</v>
      </c>
      <c r="F81" s="99" t="s">
        <v>132</v>
      </c>
      <c r="G81" s="99" t="s">
        <v>211</v>
      </c>
      <c r="H81" s="99" t="s">
        <v>94</v>
      </c>
      <c r="I81" s="99">
        <v>1</v>
      </c>
      <c r="J81" s="99">
        <v>0</v>
      </c>
      <c r="K81" s="99">
        <v>1</v>
      </c>
      <c r="L81" s="99">
        <v>30</v>
      </c>
      <c r="M81" s="99">
        <v>20</v>
      </c>
      <c r="N81" s="99">
        <v>25</v>
      </c>
      <c r="O81" s="99">
        <v>105</v>
      </c>
      <c r="P81" s="99">
        <v>150</v>
      </c>
      <c r="Q81" s="99">
        <v>3.125</v>
      </c>
      <c r="R81" s="99">
        <v>50</v>
      </c>
      <c r="S81" s="99">
        <v>4.3</v>
      </c>
      <c r="T81" s="99">
        <v>1</v>
      </c>
      <c r="U81" s="99">
        <v>2</v>
      </c>
      <c r="V81" s="99">
        <v>2.9</v>
      </c>
      <c r="W81" s="99">
        <v>1</v>
      </c>
      <c r="X81" s="99">
        <v>5.7</v>
      </c>
      <c r="Y81" s="99">
        <v>10</v>
      </c>
      <c r="Z81" s="99">
        <v>300</v>
      </c>
      <c r="AA81" s="99">
        <v>36</v>
      </c>
      <c r="AB81" s="99">
        <v>1.9</v>
      </c>
      <c r="AC81" s="99" t="s">
        <v>95</v>
      </c>
      <c r="AD81" s="99" t="s">
        <v>95</v>
      </c>
      <c r="AE81" s="99" t="s">
        <v>95</v>
      </c>
      <c r="AF81" s="99">
        <v>1.3299999999999999E-2</v>
      </c>
      <c r="AG81" s="99" t="s">
        <v>95</v>
      </c>
      <c r="AH81" s="99" t="s">
        <v>95</v>
      </c>
      <c r="AI81" s="99">
        <v>9.7000000000000003E-3</v>
      </c>
      <c r="AJ81" s="99">
        <v>0.75</v>
      </c>
      <c r="AK81" s="99">
        <v>5.4</v>
      </c>
      <c r="AL81" s="99">
        <v>2.0499999999999998</v>
      </c>
      <c r="AM81" s="99">
        <v>1.1000000000000001</v>
      </c>
      <c r="AN81" s="99">
        <v>11.2</v>
      </c>
      <c r="AO81" s="99">
        <v>0.85299999999999998</v>
      </c>
      <c r="AP81" s="99">
        <v>0.79600000000000004</v>
      </c>
      <c r="AQ81" s="99">
        <v>0.89300000000000002</v>
      </c>
      <c r="AR81" s="99">
        <v>0.38800000000000001</v>
      </c>
      <c r="AS81" s="99">
        <v>9.5000000000000001E-2</v>
      </c>
      <c r="AT81" s="99">
        <v>0.56000000000000005</v>
      </c>
      <c r="AU81" s="99">
        <v>0.123</v>
      </c>
      <c r="AV81" s="99">
        <v>0.04</v>
      </c>
      <c r="AW81" s="99">
        <v>0.187</v>
      </c>
      <c r="AX81" s="99">
        <v>15</v>
      </c>
      <c r="AY81" s="99">
        <v>10</v>
      </c>
      <c r="AZ81" s="99">
        <v>0.1</v>
      </c>
      <c r="BA81" s="99">
        <v>5.88</v>
      </c>
      <c r="BB81" s="99">
        <v>0.76</v>
      </c>
      <c r="BC81" s="99">
        <v>44.8</v>
      </c>
      <c r="BD81" s="99">
        <v>1.55</v>
      </c>
      <c r="BE81" s="99">
        <v>44.8</v>
      </c>
      <c r="BF81" s="99">
        <v>30</v>
      </c>
      <c r="BG81" s="99">
        <v>0.39</v>
      </c>
      <c r="BH81" s="99">
        <v>30</v>
      </c>
      <c r="BI81" s="99">
        <v>0.1</v>
      </c>
      <c r="BJ81" s="99">
        <v>0.89</v>
      </c>
      <c r="BK81" s="99" t="s">
        <v>94</v>
      </c>
      <c r="BL81" s="99">
        <v>0.8</v>
      </c>
      <c r="BM81" s="99" t="s">
        <v>95</v>
      </c>
      <c r="BN81" s="99">
        <v>1155</v>
      </c>
      <c r="BO81" s="99">
        <v>0.91</v>
      </c>
      <c r="BP81" s="99" t="s">
        <v>93</v>
      </c>
      <c r="BQ81" s="99" t="s">
        <v>243</v>
      </c>
      <c r="BR81" s="99" t="s">
        <v>95</v>
      </c>
      <c r="BS81" s="99">
        <v>3.8</v>
      </c>
      <c r="BT81" s="99">
        <v>2.5</v>
      </c>
      <c r="BU81" s="99">
        <v>4.2</v>
      </c>
      <c r="BV81" s="99">
        <v>1.2</v>
      </c>
      <c r="BW81" s="99">
        <v>2.2999999999999998</v>
      </c>
      <c r="BX81" s="99" t="s">
        <v>95</v>
      </c>
      <c r="BY81" s="99" t="s">
        <v>213</v>
      </c>
      <c r="BZ81" s="99" t="s">
        <v>95</v>
      </c>
      <c r="CA81" s="99" t="s">
        <v>95</v>
      </c>
      <c r="CB81" s="99">
        <v>42202</v>
      </c>
      <c r="CC81" s="99">
        <v>42577</v>
      </c>
      <c r="CD81" s="99">
        <v>2530</v>
      </c>
      <c r="CE81" s="99">
        <v>0.17199999999999999</v>
      </c>
    </row>
    <row r="82" spans="1:83" x14ac:dyDescent="0.25">
      <c r="A82" s="99" t="s">
        <v>244</v>
      </c>
      <c r="B82" s="99">
        <v>146</v>
      </c>
      <c r="C82" s="99" t="s">
        <v>93</v>
      </c>
      <c r="D82" s="99" t="s">
        <v>102</v>
      </c>
      <c r="E82" s="99" t="s">
        <v>111</v>
      </c>
      <c r="F82" s="99" t="s">
        <v>209</v>
      </c>
      <c r="G82" s="99" t="s">
        <v>245</v>
      </c>
      <c r="H82" s="99" t="s">
        <v>94</v>
      </c>
      <c r="I82" s="99">
        <v>1</v>
      </c>
      <c r="J82" s="99">
        <v>0</v>
      </c>
      <c r="K82" s="99">
        <v>1</v>
      </c>
      <c r="L82" s="99">
        <v>30</v>
      </c>
      <c r="M82" s="99">
        <v>20</v>
      </c>
      <c r="N82" s="99">
        <v>60</v>
      </c>
      <c r="O82" s="99">
        <v>154</v>
      </c>
      <c r="P82" s="99">
        <v>150</v>
      </c>
      <c r="Q82" s="99">
        <v>3.1</v>
      </c>
      <c r="R82" s="99">
        <v>55</v>
      </c>
      <c r="S82" s="99">
        <v>2</v>
      </c>
      <c r="T82" s="99">
        <v>1</v>
      </c>
      <c r="U82" s="99">
        <v>1.7</v>
      </c>
      <c r="V82" s="99">
        <v>2.4</v>
      </c>
      <c r="W82" s="99">
        <v>1</v>
      </c>
      <c r="X82" s="99">
        <v>9.8000000000000007</v>
      </c>
      <c r="Y82" s="99">
        <v>16</v>
      </c>
      <c r="Z82" s="99">
        <v>300</v>
      </c>
      <c r="AA82" s="99">
        <v>78</v>
      </c>
      <c r="AB82" s="99">
        <v>1.8</v>
      </c>
      <c r="AC82" s="99" t="s">
        <v>95</v>
      </c>
      <c r="AD82" s="99" t="s">
        <v>95</v>
      </c>
      <c r="AE82" s="99" t="s">
        <v>95</v>
      </c>
      <c r="AF82" s="99">
        <v>4.7000000000000002E-3</v>
      </c>
      <c r="AG82" s="99" t="s">
        <v>95</v>
      </c>
      <c r="AH82" s="99" t="s">
        <v>95</v>
      </c>
      <c r="AI82" s="99">
        <v>3.8E-3</v>
      </c>
      <c r="AJ82" s="99">
        <v>0.6</v>
      </c>
      <c r="AK82" s="99">
        <v>20</v>
      </c>
      <c r="AL82" s="99">
        <v>22</v>
      </c>
      <c r="AM82" s="99">
        <v>3.6</v>
      </c>
      <c r="AN82" s="99">
        <v>42</v>
      </c>
      <c r="AO82" s="99">
        <v>3.55</v>
      </c>
      <c r="AP82" s="99">
        <v>2.8</v>
      </c>
      <c r="AQ82" s="99">
        <v>3.6</v>
      </c>
      <c r="AR82" s="99">
        <v>2.7</v>
      </c>
      <c r="AS82" s="99">
        <v>0.35</v>
      </c>
      <c r="AT82" s="99">
        <v>2.8</v>
      </c>
      <c r="AU82" s="99">
        <v>0.64100000000000001</v>
      </c>
      <c r="AV82" s="99">
        <v>0.15</v>
      </c>
      <c r="AW82" s="99">
        <v>0.65</v>
      </c>
      <c r="AX82" s="99">
        <v>15</v>
      </c>
      <c r="AY82" s="99">
        <v>10</v>
      </c>
      <c r="AZ82" s="99">
        <v>0.1</v>
      </c>
      <c r="BA82" s="99">
        <v>16</v>
      </c>
      <c r="BB82" s="99">
        <v>0.7</v>
      </c>
      <c r="BC82" s="99">
        <v>125</v>
      </c>
      <c r="BD82" s="99">
        <v>1</v>
      </c>
      <c r="BE82" s="99">
        <v>85</v>
      </c>
      <c r="BF82" s="99">
        <v>30</v>
      </c>
      <c r="BG82" s="99">
        <v>0.65</v>
      </c>
      <c r="BH82" s="99">
        <v>30</v>
      </c>
      <c r="BI82" s="99">
        <v>0.1</v>
      </c>
      <c r="BJ82" s="99">
        <v>1.77</v>
      </c>
      <c r="BK82" s="99" t="s">
        <v>94</v>
      </c>
      <c r="BL82" s="99">
        <v>0.8</v>
      </c>
      <c r="BM82" s="99" t="s">
        <v>95</v>
      </c>
      <c r="BN82" s="99">
        <v>1155</v>
      </c>
      <c r="BO82" s="99">
        <v>2.95</v>
      </c>
      <c r="BP82" s="99" t="s">
        <v>93</v>
      </c>
      <c r="BQ82" s="99" t="s">
        <v>246</v>
      </c>
      <c r="BR82" s="99" t="s">
        <v>95</v>
      </c>
      <c r="BS82" s="99">
        <v>3.6</v>
      </c>
      <c r="BT82" s="99">
        <v>4.5</v>
      </c>
      <c r="BU82" s="99">
        <v>10.199999999999999</v>
      </c>
      <c r="BV82" s="99">
        <v>4</v>
      </c>
      <c r="BW82" s="99">
        <v>6.9</v>
      </c>
      <c r="BX82" s="99" t="s">
        <v>95</v>
      </c>
      <c r="BY82" s="99" t="s">
        <v>122</v>
      </c>
      <c r="BZ82" s="99" t="s">
        <v>94</v>
      </c>
      <c r="CA82" s="99" t="s">
        <v>95</v>
      </c>
      <c r="CB82" s="99">
        <v>43320</v>
      </c>
      <c r="CC82" s="99">
        <v>43320</v>
      </c>
      <c r="CD82" s="99">
        <v>3485</v>
      </c>
      <c r="CE82" s="99">
        <v>0.23400000000000001</v>
      </c>
    </row>
    <row r="83" spans="1:83" x14ac:dyDescent="0.25">
      <c r="A83" s="103" t="s">
        <v>386</v>
      </c>
      <c r="B83" s="103">
        <v>146</v>
      </c>
      <c r="C83" s="103" t="s">
        <v>94</v>
      </c>
      <c r="D83" s="103" t="s">
        <v>102</v>
      </c>
      <c r="E83" s="103" t="s">
        <v>387</v>
      </c>
      <c r="F83" s="103" t="s">
        <v>209</v>
      </c>
      <c r="G83" s="103" t="s">
        <v>400</v>
      </c>
      <c r="H83" s="103" t="s">
        <v>94</v>
      </c>
      <c r="I83" s="103">
        <v>1</v>
      </c>
      <c r="J83" s="103">
        <v>0</v>
      </c>
      <c r="K83" s="103">
        <v>1</v>
      </c>
      <c r="L83" s="103">
        <v>30</v>
      </c>
      <c r="M83" s="103">
        <v>20</v>
      </c>
      <c r="N83" s="103">
        <v>60</v>
      </c>
      <c r="O83" s="103">
        <v>265</v>
      </c>
      <c r="P83" s="103">
        <v>150</v>
      </c>
      <c r="Q83" s="103">
        <v>3.1</v>
      </c>
      <c r="R83" s="103">
        <v>50</v>
      </c>
      <c r="S83" s="103">
        <v>1.5</v>
      </c>
      <c r="T83" s="103">
        <v>1</v>
      </c>
      <c r="U83" s="103">
        <v>1.7</v>
      </c>
      <c r="V83" s="103">
        <v>2.4</v>
      </c>
      <c r="W83" s="103">
        <v>1</v>
      </c>
      <c r="X83" s="103">
        <v>11</v>
      </c>
      <c r="Y83" s="103">
        <v>16</v>
      </c>
      <c r="Z83" s="103">
        <v>300</v>
      </c>
      <c r="AA83" s="103">
        <v>85</v>
      </c>
      <c r="AB83" s="103">
        <v>1.8</v>
      </c>
      <c r="AC83" s="99" t="s">
        <v>95</v>
      </c>
      <c r="AD83" s="103" t="s">
        <v>95</v>
      </c>
      <c r="AE83" s="99" t="s">
        <v>95</v>
      </c>
      <c r="AF83" s="103">
        <v>4.1999999999999997E-3</v>
      </c>
      <c r="AG83" s="103" t="s">
        <v>95</v>
      </c>
      <c r="AH83" s="103" t="s">
        <v>95</v>
      </c>
      <c r="AI83" s="103">
        <v>3.3999999999999998E-3</v>
      </c>
      <c r="AJ83" s="103">
        <v>0.6</v>
      </c>
      <c r="AK83" s="103">
        <v>20</v>
      </c>
      <c r="AL83" s="103">
        <v>22</v>
      </c>
      <c r="AM83" s="103">
        <v>3.6</v>
      </c>
      <c r="AN83" s="103">
        <v>41</v>
      </c>
      <c r="AO83" s="103">
        <v>3.55</v>
      </c>
      <c r="AP83" s="103">
        <v>2.8</v>
      </c>
      <c r="AQ83" s="103">
        <v>3.6</v>
      </c>
      <c r="AR83" s="103">
        <v>2.7</v>
      </c>
      <c r="AS83" s="103">
        <v>0.35</v>
      </c>
      <c r="AT83" s="103">
        <v>2.8</v>
      </c>
      <c r="AU83" s="103">
        <v>0.64100000000000001</v>
      </c>
      <c r="AV83" s="103">
        <v>0.15</v>
      </c>
      <c r="AW83" s="103">
        <v>0.65</v>
      </c>
      <c r="AX83" s="103">
        <v>15</v>
      </c>
      <c r="AY83" s="103">
        <v>10</v>
      </c>
      <c r="AZ83" s="103">
        <v>0.1</v>
      </c>
      <c r="BA83" s="103">
        <v>16</v>
      </c>
      <c r="BB83" s="103">
        <v>0.7</v>
      </c>
      <c r="BC83" s="103">
        <v>125</v>
      </c>
      <c r="BD83" s="103">
        <v>1</v>
      </c>
      <c r="BE83" s="103">
        <v>85</v>
      </c>
      <c r="BF83" s="103">
        <v>30</v>
      </c>
      <c r="BG83" s="103">
        <v>0.65</v>
      </c>
      <c r="BH83" s="103">
        <v>30</v>
      </c>
      <c r="BI83" s="103">
        <v>0.1</v>
      </c>
      <c r="BJ83" s="103">
        <v>1.77</v>
      </c>
      <c r="BK83" s="103" t="s">
        <v>94</v>
      </c>
      <c r="BL83" s="103">
        <v>0.8</v>
      </c>
      <c r="BM83" s="103" t="s">
        <v>95</v>
      </c>
      <c r="BN83" s="103">
        <v>1155</v>
      </c>
      <c r="BO83" s="103">
        <v>2.95</v>
      </c>
      <c r="BP83" s="103" t="s">
        <v>93</v>
      </c>
      <c r="BQ83" s="104" t="s">
        <v>402</v>
      </c>
      <c r="BR83" s="103" t="s">
        <v>95</v>
      </c>
      <c r="BS83" s="103">
        <v>3.6</v>
      </c>
      <c r="BT83" s="103">
        <v>4.5</v>
      </c>
      <c r="BU83" s="103">
        <v>13</v>
      </c>
      <c r="BV83" s="103">
        <v>4</v>
      </c>
      <c r="BW83" s="103">
        <v>6.9</v>
      </c>
      <c r="BX83" s="103" t="s">
        <v>95</v>
      </c>
      <c r="BY83" s="103" t="s">
        <v>115</v>
      </c>
      <c r="BZ83" s="103" t="s">
        <v>94</v>
      </c>
      <c r="CA83" s="103" t="s">
        <v>95</v>
      </c>
      <c r="CB83" s="103">
        <v>43724</v>
      </c>
      <c r="CC83" s="103">
        <v>43724</v>
      </c>
      <c r="CD83" s="103"/>
      <c r="CE83" s="103">
        <v>0.252</v>
      </c>
    </row>
    <row r="84" spans="1:83" x14ac:dyDescent="0.25">
      <c r="A84" s="101" t="s">
        <v>502</v>
      </c>
      <c r="B84" s="101">
        <v>146</v>
      </c>
      <c r="C84" s="101" t="s">
        <v>93</v>
      </c>
      <c r="D84" s="101" t="s">
        <v>94</v>
      </c>
      <c r="E84" s="101" t="s">
        <v>95</v>
      </c>
      <c r="F84" s="101" t="s">
        <v>95</v>
      </c>
      <c r="G84" s="101" t="s">
        <v>400</v>
      </c>
      <c r="H84" s="101" t="s">
        <v>94</v>
      </c>
      <c r="I84" s="101">
        <v>1</v>
      </c>
      <c r="J84" s="101">
        <v>0</v>
      </c>
      <c r="K84" s="101" t="s">
        <v>95</v>
      </c>
      <c r="L84" s="101">
        <v>30</v>
      </c>
      <c r="M84" s="101">
        <v>20</v>
      </c>
      <c r="N84" s="101">
        <v>3.6</v>
      </c>
      <c r="O84" s="101">
        <v>34</v>
      </c>
      <c r="P84" s="101">
        <v>150</v>
      </c>
      <c r="Q84" s="101">
        <v>0.5</v>
      </c>
      <c r="R84" s="101">
        <v>110</v>
      </c>
      <c r="S84" s="101" t="s">
        <v>95</v>
      </c>
      <c r="T84" s="101">
        <v>0.9</v>
      </c>
      <c r="U84" s="101">
        <v>1.7</v>
      </c>
      <c r="V84" s="101" t="s">
        <v>95</v>
      </c>
      <c r="W84" s="101">
        <v>1</v>
      </c>
      <c r="X84" s="101" t="s">
        <v>95</v>
      </c>
      <c r="Y84" s="101" t="s">
        <v>95</v>
      </c>
      <c r="Z84" s="101" t="s">
        <v>95</v>
      </c>
      <c r="AA84" s="101">
        <v>7</v>
      </c>
      <c r="AB84" s="101">
        <v>34</v>
      </c>
      <c r="AC84" s="101" t="s">
        <v>95</v>
      </c>
      <c r="AD84" s="101" t="s">
        <v>95</v>
      </c>
      <c r="AE84" s="101" t="s">
        <v>95</v>
      </c>
      <c r="AF84" s="101">
        <v>3.3000000000000002E-2</v>
      </c>
      <c r="AG84" s="101" t="s">
        <v>95</v>
      </c>
      <c r="AH84" s="101" t="s">
        <v>95</v>
      </c>
      <c r="AI84" s="101">
        <v>2.7E-2</v>
      </c>
      <c r="AJ84" s="101">
        <v>0.48</v>
      </c>
      <c r="AK84" s="101">
        <v>1.9</v>
      </c>
      <c r="AL84" s="101" t="s">
        <v>95</v>
      </c>
      <c r="AM84" s="101">
        <v>0.42</v>
      </c>
      <c r="AN84" s="101">
        <v>3.9</v>
      </c>
      <c r="AO84" s="101" t="s">
        <v>95</v>
      </c>
      <c r="AP84" s="101">
        <v>0.29199999999999998</v>
      </c>
      <c r="AQ84" s="101" t="s">
        <v>95</v>
      </c>
      <c r="AR84" s="101" t="s">
        <v>95</v>
      </c>
      <c r="AS84" s="101">
        <v>0.16600000000000001</v>
      </c>
      <c r="AT84" s="101" t="s">
        <v>95</v>
      </c>
      <c r="AU84" s="101" t="s">
        <v>95</v>
      </c>
      <c r="AV84" s="101">
        <v>5.7000000000000002E-3</v>
      </c>
      <c r="AW84" s="101" t="s">
        <v>95</v>
      </c>
      <c r="AX84" s="101">
        <v>30</v>
      </c>
      <c r="AY84" s="101" t="s">
        <v>95</v>
      </c>
      <c r="AZ84" s="101" t="s">
        <v>95</v>
      </c>
      <c r="BA84" s="101" t="s">
        <v>95</v>
      </c>
      <c r="BB84" s="101" t="s">
        <v>95</v>
      </c>
      <c r="BC84" s="101" t="s">
        <v>95</v>
      </c>
      <c r="BD84" s="101" t="s">
        <v>95</v>
      </c>
      <c r="BE84" s="101" t="s">
        <v>95</v>
      </c>
      <c r="BF84" s="101" t="s">
        <v>95</v>
      </c>
      <c r="BG84" s="101" t="s">
        <v>95</v>
      </c>
      <c r="BH84" s="101" t="s">
        <v>95</v>
      </c>
      <c r="BI84" s="101" t="s">
        <v>95</v>
      </c>
      <c r="BJ84" s="101" t="s">
        <v>95</v>
      </c>
      <c r="BK84" s="101" t="s">
        <v>94</v>
      </c>
      <c r="BL84" s="101">
        <v>0.74</v>
      </c>
      <c r="BM84" s="101" t="s">
        <v>95</v>
      </c>
      <c r="BN84" s="101" t="s">
        <v>95</v>
      </c>
      <c r="BO84" s="101" t="s">
        <v>95</v>
      </c>
      <c r="BP84" s="101" t="s">
        <v>93</v>
      </c>
      <c r="BQ84" s="106" t="s">
        <v>523</v>
      </c>
      <c r="BR84" s="101" t="s">
        <v>95</v>
      </c>
      <c r="BS84" s="101" t="s">
        <v>95</v>
      </c>
      <c r="BT84" s="101" t="s">
        <v>95</v>
      </c>
      <c r="BU84" s="101" t="s">
        <v>95</v>
      </c>
      <c r="BV84" s="101">
        <v>0.39</v>
      </c>
      <c r="BW84" s="101">
        <v>0.53</v>
      </c>
      <c r="BX84" s="101" t="s">
        <v>95</v>
      </c>
      <c r="BY84" s="101" t="s">
        <v>499</v>
      </c>
      <c r="BZ84" s="101" t="s">
        <v>95</v>
      </c>
      <c r="CA84" s="101" t="s">
        <v>95</v>
      </c>
      <c r="CB84" s="101">
        <v>42577</v>
      </c>
      <c r="CC84" s="101">
        <v>42577</v>
      </c>
      <c r="CD84" s="101">
        <v>2509</v>
      </c>
      <c r="CE84" s="101">
        <v>0.08</v>
      </c>
    </row>
    <row r="85" spans="1:83" x14ac:dyDescent="0.25">
      <c r="A85" s="99" t="s">
        <v>248</v>
      </c>
      <c r="B85" s="99">
        <v>146</v>
      </c>
      <c r="C85" s="99" t="s">
        <v>93</v>
      </c>
      <c r="D85" s="99" t="s">
        <v>93</v>
      </c>
      <c r="E85" s="99" t="s">
        <v>111</v>
      </c>
      <c r="F85" s="99" t="s">
        <v>132</v>
      </c>
      <c r="G85" s="99" t="s">
        <v>215</v>
      </c>
      <c r="H85" s="99" t="s">
        <v>94</v>
      </c>
      <c r="I85" s="99">
        <v>1</v>
      </c>
      <c r="J85" s="99">
        <v>0</v>
      </c>
      <c r="K85" s="99">
        <v>1</v>
      </c>
      <c r="L85" s="99">
        <v>40</v>
      </c>
      <c r="M85" s="99">
        <v>20</v>
      </c>
      <c r="N85" s="99">
        <v>100</v>
      </c>
      <c r="O85" s="99">
        <v>400</v>
      </c>
      <c r="P85" s="99">
        <v>150</v>
      </c>
      <c r="Q85" s="99">
        <v>3.125</v>
      </c>
      <c r="R85" s="99">
        <v>50</v>
      </c>
      <c r="S85" s="99">
        <v>1</v>
      </c>
      <c r="T85" s="99">
        <v>1.4</v>
      </c>
      <c r="U85" s="99">
        <v>2.2999999999999998</v>
      </c>
      <c r="V85" s="99">
        <v>2.5</v>
      </c>
      <c r="W85" s="99">
        <v>1</v>
      </c>
      <c r="X85" s="99">
        <v>40</v>
      </c>
      <c r="Y85" s="99">
        <v>25</v>
      </c>
      <c r="Z85" s="99">
        <v>300</v>
      </c>
      <c r="AA85" s="99">
        <v>118</v>
      </c>
      <c r="AB85" s="99">
        <v>1.2</v>
      </c>
      <c r="AC85" s="99" t="s">
        <v>95</v>
      </c>
      <c r="AD85" s="99" t="s">
        <v>95</v>
      </c>
      <c r="AE85" s="99" t="s">
        <v>95</v>
      </c>
      <c r="AF85" s="99">
        <v>4.3E-3</v>
      </c>
      <c r="AG85" s="99" t="s">
        <v>95</v>
      </c>
      <c r="AH85" s="99" t="s">
        <v>95</v>
      </c>
      <c r="AI85" s="99">
        <v>3.2000000000000002E-3</v>
      </c>
      <c r="AJ85" s="99">
        <v>0.84</v>
      </c>
      <c r="AK85" s="99">
        <v>20</v>
      </c>
      <c r="AL85" s="99">
        <v>10.6</v>
      </c>
      <c r="AM85" s="99">
        <v>5.7</v>
      </c>
      <c r="AN85" s="99">
        <v>42</v>
      </c>
      <c r="AO85" s="99">
        <v>3.5</v>
      </c>
      <c r="AP85" s="99">
        <v>3.2</v>
      </c>
      <c r="AQ85" s="99">
        <v>3.53</v>
      </c>
      <c r="AR85" s="99">
        <v>4.13</v>
      </c>
      <c r="AS85" s="99">
        <v>0.72499999999999998</v>
      </c>
      <c r="AT85" s="99">
        <v>5</v>
      </c>
      <c r="AU85" s="99">
        <v>0.3</v>
      </c>
      <c r="AV85" s="99">
        <v>1.9E-2</v>
      </c>
      <c r="AW85" s="99">
        <v>0.34</v>
      </c>
      <c r="AX85" s="99">
        <v>20</v>
      </c>
      <c r="AY85" s="99">
        <v>10</v>
      </c>
      <c r="AZ85" s="99">
        <v>0.1</v>
      </c>
      <c r="BA85" s="99">
        <v>18</v>
      </c>
      <c r="BB85" s="99">
        <v>1.1000000000000001</v>
      </c>
      <c r="BC85" s="99">
        <v>180</v>
      </c>
      <c r="BD85" s="99">
        <v>2</v>
      </c>
      <c r="BE85" s="99">
        <v>180</v>
      </c>
      <c r="BF85" s="99">
        <v>40</v>
      </c>
      <c r="BG85" s="99">
        <v>1.9</v>
      </c>
      <c r="BH85" s="99">
        <v>40</v>
      </c>
      <c r="BI85" s="99">
        <v>0.1</v>
      </c>
      <c r="BJ85" s="99">
        <v>0.25</v>
      </c>
      <c r="BK85" s="99" t="s">
        <v>94</v>
      </c>
      <c r="BL85" s="99">
        <v>0.8</v>
      </c>
      <c r="BM85" s="99" t="s">
        <v>95</v>
      </c>
      <c r="BN85" s="99">
        <v>1155</v>
      </c>
      <c r="BO85" s="99">
        <v>3.52</v>
      </c>
      <c r="BP85" s="99" t="s">
        <v>93</v>
      </c>
      <c r="BQ85" s="99" t="s">
        <v>249</v>
      </c>
      <c r="BR85" s="99" t="s">
        <v>95</v>
      </c>
      <c r="BS85" s="99">
        <v>2.4</v>
      </c>
      <c r="BT85" s="99">
        <v>3.1</v>
      </c>
      <c r="BU85" s="99">
        <v>70</v>
      </c>
      <c r="BV85" s="99">
        <v>5.9</v>
      </c>
      <c r="BW85" s="99">
        <v>8.1</v>
      </c>
      <c r="BX85" s="99" t="s">
        <v>95</v>
      </c>
      <c r="BY85" s="99" t="s">
        <v>115</v>
      </c>
      <c r="BZ85" s="99" t="s">
        <v>95</v>
      </c>
      <c r="CA85" s="99" t="s">
        <v>95</v>
      </c>
      <c r="CB85" s="99">
        <v>41163</v>
      </c>
      <c r="CC85" s="99">
        <v>42564</v>
      </c>
      <c r="CD85" s="99">
        <v>2048</v>
      </c>
      <c r="CE85" s="99">
        <v>0.58899999999999997</v>
      </c>
    </row>
    <row r="86" spans="1:83" x14ac:dyDescent="0.25">
      <c r="A86" s="107" t="s">
        <v>250</v>
      </c>
      <c r="B86" s="107">
        <v>146</v>
      </c>
      <c r="C86" s="107" t="s">
        <v>93</v>
      </c>
      <c r="D86" s="107" t="s">
        <v>94</v>
      </c>
      <c r="E86" s="107" t="s">
        <v>251</v>
      </c>
      <c r="F86" s="107" t="s">
        <v>252</v>
      </c>
      <c r="G86" s="107" t="s">
        <v>253</v>
      </c>
      <c r="H86" s="107" t="s">
        <v>94</v>
      </c>
      <c r="I86" s="107">
        <v>1</v>
      </c>
      <c r="J86" s="107">
        <v>0</v>
      </c>
      <c r="K86" s="107">
        <v>4</v>
      </c>
      <c r="L86" s="107">
        <v>40</v>
      </c>
      <c r="M86" s="107">
        <v>20</v>
      </c>
      <c r="N86" s="107">
        <v>100</v>
      </c>
      <c r="O86" s="107">
        <v>400</v>
      </c>
      <c r="P86" s="107">
        <v>175</v>
      </c>
      <c r="Q86" s="107">
        <v>259</v>
      </c>
      <c r="R86" s="107">
        <v>62</v>
      </c>
      <c r="S86" s="107">
        <v>0.6</v>
      </c>
      <c r="T86" s="107">
        <v>1.5</v>
      </c>
      <c r="U86" s="107">
        <v>2.1</v>
      </c>
      <c r="V86" s="107">
        <v>3.2</v>
      </c>
      <c r="W86" s="107">
        <v>1</v>
      </c>
      <c r="X86" s="107">
        <v>48</v>
      </c>
      <c r="Y86" s="107">
        <v>100</v>
      </c>
      <c r="Z86" s="107">
        <v>300</v>
      </c>
      <c r="AA86" s="107">
        <v>138</v>
      </c>
      <c r="AB86" s="107">
        <v>1.2</v>
      </c>
      <c r="AC86" s="107" t="s">
        <v>95</v>
      </c>
      <c r="AD86" s="107" t="s">
        <v>95</v>
      </c>
      <c r="AE86" s="107" t="s">
        <v>95</v>
      </c>
      <c r="AF86" s="107">
        <v>4.3E-3</v>
      </c>
      <c r="AG86" s="107" t="s">
        <v>95</v>
      </c>
      <c r="AH86" s="107" t="s">
        <v>95</v>
      </c>
      <c r="AI86" s="107">
        <v>2.8999999999999998E-3</v>
      </c>
      <c r="AJ86" s="107">
        <v>0.8</v>
      </c>
      <c r="AK86" s="107">
        <v>52</v>
      </c>
      <c r="AL86" s="107">
        <v>10</v>
      </c>
      <c r="AM86" s="107">
        <v>7.5</v>
      </c>
      <c r="AN86" s="107">
        <v>50</v>
      </c>
      <c r="AO86" s="107">
        <v>4.28</v>
      </c>
      <c r="AP86" s="107">
        <v>3.9</v>
      </c>
      <c r="AQ86" s="107">
        <v>4.37</v>
      </c>
      <c r="AR86" s="107">
        <v>5.09</v>
      </c>
      <c r="AS86" s="107">
        <v>0.9</v>
      </c>
      <c r="AT86" s="107">
        <v>5.19</v>
      </c>
      <c r="AU86" s="107">
        <v>0.245</v>
      </c>
      <c r="AV86" s="107">
        <v>2.1000000000000001E-2</v>
      </c>
      <c r="AW86" s="107">
        <v>0.245</v>
      </c>
      <c r="AX86" s="107">
        <v>20</v>
      </c>
      <c r="AY86" s="107">
        <v>10</v>
      </c>
      <c r="AZ86" s="107">
        <v>0.1</v>
      </c>
      <c r="BA86" s="107">
        <v>18</v>
      </c>
      <c r="BB86" s="107">
        <v>1.5</v>
      </c>
      <c r="BC86" s="107">
        <v>250</v>
      </c>
      <c r="BD86" s="107">
        <v>3</v>
      </c>
      <c r="BE86" s="107">
        <v>250</v>
      </c>
      <c r="BF86" s="107">
        <v>40</v>
      </c>
      <c r="BG86" s="107">
        <v>3</v>
      </c>
      <c r="BH86" s="107">
        <v>40</v>
      </c>
      <c r="BI86" s="107">
        <v>0.1</v>
      </c>
      <c r="BJ86" s="107">
        <v>0.2</v>
      </c>
      <c r="BK86" s="107" t="s">
        <v>94</v>
      </c>
      <c r="BL86" s="107">
        <v>0.8</v>
      </c>
      <c r="BM86" s="107" t="s">
        <v>95</v>
      </c>
      <c r="BN86" s="107">
        <v>42</v>
      </c>
      <c r="BO86" s="107">
        <v>4.0999999999999996</v>
      </c>
      <c r="BP86" s="107" t="s">
        <v>93</v>
      </c>
      <c r="BQ86" s="107" t="s">
        <v>254</v>
      </c>
      <c r="BR86" s="107" t="s">
        <v>95</v>
      </c>
      <c r="BS86" s="107">
        <v>2.4</v>
      </c>
      <c r="BT86" s="107">
        <v>3.5</v>
      </c>
      <c r="BU86" s="107">
        <v>105</v>
      </c>
      <c r="BV86" s="107">
        <v>8.4</v>
      </c>
      <c r="BW86" s="107">
        <v>10.3</v>
      </c>
      <c r="BX86" s="107" t="s">
        <v>95</v>
      </c>
      <c r="BY86" s="107" t="s">
        <v>255</v>
      </c>
      <c r="BZ86" s="107" t="s">
        <v>95</v>
      </c>
      <c r="CA86" s="107" t="s">
        <v>95</v>
      </c>
      <c r="CB86" s="107">
        <v>41163</v>
      </c>
      <c r="CC86" s="107">
        <v>42577</v>
      </c>
      <c r="CD86" s="107">
        <v>2531</v>
      </c>
      <c r="CE86" s="107">
        <v>0.81799999999999995</v>
      </c>
    </row>
    <row r="87" spans="1:83" x14ac:dyDescent="0.25">
      <c r="A87" s="99" t="s">
        <v>256</v>
      </c>
      <c r="B87" s="99">
        <v>146</v>
      </c>
      <c r="C87" s="99" t="s">
        <v>93</v>
      </c>
      <c r="D87" s="99" t="s">
        <v>93</v>
      </c>
      <c r="E87" s="99" t="s">
        <v>111</v>
      </c>
      <c r="F87" s="99" t="s">
        <v>169</v>
      </c>
      <c r="G87" s="99" t="s">
        <v>215</v>
      </c>
      <c r="H87" s="99" t="s">
        <v>94</v>
      </c>
      <c r="I87" s="99">
        <v>1</v>
      </c>
      <c r="J87" s="99">
        <v>0</v>
      </c>
      <c r="K87" s="99">
        <v>1</v>
      </c>
      <c r="L87" s="99">
        <v>40</v>
      </c>
      <c r="M87" s="99">
        <v>20</v>
      </c>
      <c r="N87" s="99">
        <v>100</v>
      </c>
      <c r="O87" s="99">
        <v>400</v>
      </c>
      <c r="P87" s="99">
        <v>150</v>
      </c>
      <c r="Q87" s="99">
        <v>3.125</v>
      </c>
      <c r="R87" s="99">
        <v>50</v>
      </c>
      <c r="S87" s="99">
        <v>0.8</v>
      </c>
      <c r="T87" s="99">
        <v>1.5</v>
      </c>
      <c r="U87" s="99">
        <v>2.2000000000000002</v>
      </c>
      <c r="V87" s="99">
        <v>2.6</v>
      </c>
      <c r="W87" s="99">
        <v>1</v>
      </c>
      <c r="X87" s="99">
        <v>44</v>
      </c>
      <c r="Y87" s="99">
        <v>30</v>
      </c>
      <c r="Z87" s="99">
        <v>300</v>
      </c>
      <c r="AA87" s="99">
        <v>143</v>
      </c>
      <c r="AB87" s="99">
        <v>1.2</v>
      </c>
      <c r="AC87" s="99" t="s">
        <v>95</v>
      </c>
      <c r="AD87" s="99" t="s">
        <v>95</v>
      </c>
      <c r="AE87" s="99" t="s">
        <v>95</v>
      </c>
      <c r="AF87" s="99">
        <v>3.3E-3</v>
      </c>
      <c r="AG87" s="99" t="s">
        <v>95</v>
      </c>
      <c r="AH87" s="99" t="s">
        <v>95</v>
      </c>
      <c r="AI87" s="99">
        <v>2.3E-3</v>
      </c>
      <c r="AJ87" s="99">
        <v>0.9</v>
      </c>
      <c r="AK87" s="99">
        <v>25</v>
      </c>
      <c r="AL87" s="99">
        <v>12</v>
      </c>
      <c r="AM87" s="99">
        <v>6.9</v>
      </c>
      <c r="AN87" s="99">
        <v>52</v>
      </c>
      <c r="AO87" s="99">
        <v>4.2</v>
      </c>
      <c r="AP87" s="99">
        <v>3.9</v>
      </c>
      <c r="AQ87" s="99">
        <v>4.29</v>
      </c>
      <c r="AR87" s="99">
        <v>5.25</v>
      </c>
      <c r="AS87" s="99">
        <v>0.9</v>
      </c>
      <c r="AT87" s="99">
        <v>6.58</v>
      </c>
      <c r="AU87" s="99">
        <v>0.34</v>
      </c>
      <c r="AV87" s="99">
        <v>2.1999999999999999E-2</v>
      </c>
      <c r="AW87" s="99">
        <v>0.4</v>
      </c>
      <c r="AX87" s="99">
        <v>20</v>
      </c>
      <c r="AY87" s="99">
        <v>10</v>
      </c>
      <c r="AZ87" s="99">
        <v>0.01</v>
      </c>
      <c r="BA87" s="99">
        <v>2.5</v>
      </c>
      <c r="BB87" s="99">
        <v>1.2</v>
      </c>
      <c r="BC87" s="99">
        <v>260</v>
      </c>
      <c r="BD87" s="99">
        <v>2</v>
      </c>
      <c r="BE87" s="99">
        <v>260</v>
      </c>
      <c r="BF87" s="99">
        <v>40</v>
      </c>
      <c r="BG87" s="99">
        <v>2</v>
      </c>
      <c r="BH87" s="99">
        <v>40</v>
      </c>
      <c r="BI87" s="99">
        <v>0.01</v>
      </c>
      <c r="BJ87" s="99">
        <v>0.2</v>
      </c>
      <c r="BK87" s="99" t="s">
        <v>94</v>
      </c>
      <c r="BL87" s="99">
        <v>0.8</v>
      </c>
      <c r="BM87" s="99" t="s">
        <v>95</v>
      </c>
      <c r="BN87" s="99">
        <v>1345</v>
      </c>
      <c r="BO87" s="99">
        <v>4.0999999999999996</v>
      </c>
      <c r="BP87" s="99" t="s">
        <v>93</v>
      </c>
      <c r="BQ87" s="99" t="s">
        <v>257</v>
      </c>
      <c r="BR87" s="99" t="s">
        <v>95</v>
      </c>
      <c r="BS87" s="99">
        <v>2.4</v>
      </c>
      <c r="BT87" s="99">
        <v>3.3</v>
      </c>
      <c r="BU87" s="99">
        <v>88</v>
      </c>
      <c r="BV87" s="99">
        <v>8.4</v>
      </c>
      <c r="BW87" s="99">
        <v>10.3</v>
      </c>
      <c r="BX87" s="99" t="s">
        <v>95</v>
      </c>
      <c r="BY87" s="99" t="s">
        <v>115</v>
      </c>
      <c r="BZ87" s="99" t="s">
        <v>95</v>
      </c>
      <c r="CA87" s="99" t="s">
        <v>95</v>
      </c>
      <c r="CB87" s="99" t="s">
        <v>95</v>
      </c>
      <c r="CC87" s="99">
        <v>42564</v>
      </c>
      <c r="CD87" s="99">
        <v>2049</v>
      </c>
      <c r="CE87" s="99">
        <v>0.84499999999999997</v>
      </c>
    </row>
    <row r="88" spans="1:83" x14ac:dyDescent="0.25">
      <c r="A88" s="99" t="s">
        <v>258</v>
      </c>
      <c r="B88" s="99">
        <v>146</v>
      </c>
      <c r="C88" s="99" t="s">
        <v>93</v>
      </c>
      <c r="D88" s="99" t="s">
        <v>94</v>
      </c>
      <c r="E88" s="99" t="s">
        <v>251</v>
      </c>
      <c r="F88" s="99" t="s">
        <v>252</v>
      </c>
      <c r="G88" s="99" t="s">
        <v>253</v>
      </c>
      <c r="H88" s="99" t="s">
        <v>94</v>
      </c>
      <c r="I88" s="99">
        <v>1</v>
      </c>
      <c r="J88" s="99">
        <v>0</v>
      </c>
      <c r="K88" s="99">
        <v>4</v>
      </c>
      <c r="L88" s="99">
        <v>40</v>
      </c>
      <c r="M88" s="99">
        <v>20</v>
      </c>
      <c r="N88" s="99">
        <v>100</v>
      </c>
      <c r="O88" s="99">
        <v>155</v>
      </c>
      <c r="P88" s="99">
        <v>150</v>
      </c>
      <c r="Q88" s="99">
        <v>143</v>
      </c>
      <c r="R88" s="99">
        <v>62</v>
      </c>
      <c r="S88" s="99">
        <v>0.9</v>
      </c>
      <c r="T88" s="99">
        <v>1.5</v>
      </c>
      <c r="U88" s="99">
        <v>2.2999999999999998</v>
      </c>
      <c r="V88" s="99">
        <v>3.4</v>
      </c>
      <c r="W88" s="99">
        <v>1</v>
      </c>
      <c r="X88" s="99">
        <v>37</v>
      </c>
      <c r="Y88" s="99">
        <v>75</v>
      </c>
      <c r="Z88" s="99">
        <v>300</v>
      </c>
      <c r="AA88" s="99">
        <v>98</v>
      </c>
      <c r="AB88" s="99">
        <v>1.4</v>
      </c>
      <c r="AC88" s="107" t="s">
        <v>95</v>
      </c>
      <c r="AD88" s="99" t="s">
        <v>95</v>
      </c>
      <c r="AE88" s="99" t="s">
        <v>95</v>
      </c>
      <c r="AF88" s="99">
        <v>6.7999999999999996E-3</v>
      </c>
      <c r="AG88" s="99" t="s">
        <v>95</v>
      </c>
      <c r="AH88" s="99" t="s">
        <v>95</v>
      </c>
      <c r="AI88" s="99">
        <v>4.4999999999999997E-3</v>
      </c>
      <c r="AJ88" s="99">
        <v>0.87</v>
      </c>
      <c r="AK88" s="99">
        <v>30</v>
      </c>
      <c r="AL88" s="99">
        <v>6.5</v>
      </c>
      <c r="AM88" s="99">
        <v>4.7</v>
      </c>
      <c r="AN88" s="99">
        <v>30</v>
      </c>
      <c r="AO88" s="99">
        <v>2.4</v>
      </c>
      <c r="AP88" s="99">
        <v>2.2999999999999998</v>
      </c>
      <c r="AQ88" s="99">
        <v>2.5</v>
      </c>
      <c r="AR88" s="99">
        <v>2.4</v>
      </c>
      <c r="AS88" s="99">
        <v>0.5</v>
      </c>
      <c r="AT88" s="99">
        <v>3.1</v>
      </c>
      <c r="AU88" s="99">
        <v>0.21</v>
      </c>
      <c r="AV88" s="99">
        <v>1.2E-2</v>
      </c>
      <c r="AW88" s="99">
        <v>0.23</v>
      </c>
      <c r="AX88" s="99">
        <v>20</v>
      </c>
      <c r="AY88" s="99">
        <v>10</v>
      </c>
      <c r="AZ88" s="99">
        <v>0.01</v>
      </c>
      <c r="BA88" s="99">
        <v>1.8</v>
      </c>
      <c r="BB88" s="99">
        <v>0.8</v>
      </c>
      <c r="BC88" s="99">
        <v>160</v>
      </c>
      <c r="BD88" s="99">
        <v>2</v>
      </c>
      <c r="BE88" s="99">
        <v>160</v>
      </c>
      <c r="BF88" s="99">
        <v>40</v>
      </c>
      <c r="BG88" s="99">
        <v>7.8</v>
      </c>
      <c r="BH88" s="99">
        <v>40</v>
      </c>
      <c r="BI88" s="99">
        <v>0.01</v>
      </c>
      <c r="BJ88" s="99">
        <v>0.38</v>
      </c>
      <c r="BK88" s="99" t="s">
        <v>94</v>
      </c>
      <c r="BL88" s="99">
        <v>0.8</v>
      </c>
      <c r="BM88" s="99" t="s">
        <v>95</v>
      </c>
      <c r="BN88" s="99">
        <v>42</v>
      </c>
      <c r="BO88" s="99">
        <v>2.27</v>
      </c>
      <c r="BP88" s="99" t="s">
        <v>93</v>
      </c>
      <c r="BQ88" s="99" t="s">
        <v>259</v>
      </c>
      <c r="BR88" s="99" t="s">
        <v>95</v>
      </c>
      <c r="BS88" s="99">
        <v>2.8</v>
      </c>
      <c r="BT88" s="99">
        <v>3.8</v>
      </c>
      <c r="BU88" s="99">
        <v>60</v>
      </c>
      <c r="BV88" s="99">
        <v>4.5999999999999996</v>
      </c>
      <c r="BW88" s="99">
        <v>7.7</v>
      </c>
      <c r="BX88" s="99" t="s">
        <v>95</v>
      </c>
      <c r="BY88" s="99" t="s">
        <v>255</v>
      </c>
      <c r="BZ88" s="99" t="s">
        <v>95</v>
      </c>
      <c r="CA88" s="99" t="s">
        <v>95</v>
      </c>
      <c r="CB88" s="99">
        <v>42577</v>
      </c>
      <c r="CC88" s="99">
        <v>42577</v>
      </c>
      <c r="CD88" s="99">
        <v>2532</v>
      </c>
      <c r="CE88" s="99">
        <v>0.57399999999999995</v>
      </c>
    </row>
    <row r="89" spans="1:83" x14ac:dyDescent="0.25">
      <c r="A89" s="99" t="s">
        <v>260</v>
      </c>
      <c r="B89" s="99">
        <v>146</v>
      </c>
      <c r="C89" s="99" t="s">
        <v>93</v>
      </c>
      <c r="D89" s="99" t="s">
        <v>93</v>
      </c>
      <c r="E89" s="99" t="s">
        <v>111</v>
      </c>
      <c r="F89" s="99" t="s">
        <v>132</v>
      </c>
      <c r="G89" s="99" t="s">
        <v>261</v>
      </c>
      <c r="H89" s="99" t="s">
        <v>94</v>
      </c>
      <c r="I89" s="99">
        <v>1</v>
      </c>
      <c r="J89" s="99">
        <v>0</v>
      </c>
      <c r="K89" s="99">
        <v>1</v>
      </c>
      <c r="L89" s="99">
        <v>40</v>
      </c>
      <c r="M89" s="99">
        <v>20</v>
      </c>
      <c r="N89" s="99">
        <v>100</v>
      </c>
      <c r="O89" s="99">
        <v>321</v>
      </c>
      <c r="P89" s="99">
        <v>150</v>
      </c>
      <c r="Q89" s="99">
        <v>3.125</v>
      </c>
      <c r="R89" s="99">
        <v>50</v>
      </c>
      <c r="S89" s="99">
        <v>1.3</v>
      </c>
      <c r="T89" s="99">
        <v>1.5</v>
      </c>
      <c r="U89" s="99">
        <v>2.2999999999999998</v>
      </c>
      <c r="V89" s="99">
        <v>2.5299999999999998</v>
      </c>
      <c r="W89" s="99">
        <v>1</v>
      </c>
      <c r="X89" s="99">
        <v>37</v>
      </c>
      <c r="Y89" s="99">
        <v>22</v>
      </c>
      <c r="Z89" s="99">
        <v>300</v>
      </c>
      <c r="AA89" s="99">
        <v>100</v>
      </c>
      <c r="AB89" s="99">
        <v>1.2</v>
      </c>
      <c r="AC89" s="99" t="s">
        <v>95</v>
      </c>
      <c r="AD89" s="99" t="s">
        <v>95</v>
      </c>
      <c r="AE89" s="99" t="s">
        <v>95</v>
      </c>
      <c r="AF89" s="99">
        <v>6.1999999999999998E-3</v>
      </c>
      <c r="AG89" s="99" t="s">
        <v>95</v>
      </c>
      <c r="AH89" s="99" t="s">
        <v>95</v>
      </c>
      <c r="AI89" s="99">
        <v>4.3E-3</v>
      </c>
      <c r="AJ89" s="99">
        <v>0.9</v>
      </c>
      <c r="AK89" s="99">
        <v>13</v>
      </c>
      <c r="AL89" s="99">
        <v>6</v>
      </c>
      <c r="AM89" s="99">
        <v>3.8</v>
      </c>
      <c r="AN89" s="99">
        <v>26.25</v>
      </c>
      <c r="AO89" s="99">
        <v>2.5</v>
      </c>
      <c r="AP89" s="99">
        <v>2.2000000000000002</v>
      </c>
      <c r="AQ89" s="99">
        <v>2.5</v>
      </c>
      <c r="AR89" s="99">
        <v>2.86</v>
      </c>
      <c r="AS89" s="99">
        <v>0.5</v>
      </c>
      <c r="AT89" s="99">
        <v>3.6</v>
      </c>
      <c r="AU89" s="99">
        <v>0.24</v>
      </c>
      <c r="AV89" s="99">
        <v>1.2999999999999999E-2</v>
      </c>
      <c r="AW89" s="99">
        <v>0.3</v>
      </c>
      <c r="AX89" s="99">
        <v>20</v>
      </c>
      <c r="AY89" s="99">
        <v>10</v>
      </c>
      <c r="AZ89" s="99">
        <v>0.1</v>
      </c>
      <c r="BA89" s="99">
        <v>12</v>
      </c>
      <c r="BB89" s="99">
        <v>1</v>
      </c>
      <c r="BC89" s="99">
        <v>110</v>
      </c>
      <c r="BD89" s="99">
        <v>2.1</v>
      </c>
      <c r="BE89" s="99">
        <v>110</v>
      </c>
      <c r="BF89" s="99">
        <v>40</v>
      </c>
      <c r="BG89" s="99">
        <v>1.7</v>
      </c>
      <c r="BH89" s="99">
        <v>40</v>
      </c>
      <c r="BI89" s="99">
        <v>0.1</v>
      </c>
      <c r="BJ89" s="99">
        <v>0.4</v>
      </c>
      <c r="BK89" s="99" t="s">
        <v>94</v>
      </c>
      <c r="BL89" s="99">
        <v>0.8</v>
      </c>
      <c r="BM89" s="99" t="s">
        <v>95</v>
      </c>
      <c r="BN89" s="99">
        <v>1155</v>
      </c>
      <c r="BO89" s="99">
        <v>2.2000000000000002</v>
      </c>
      <c r="BP89" s="99" t="s">
        <v>262</v>
      </c>
      <c r="BQ89" s="99" t="s">
        <v>263</v>
      </c>
      <c r="BR89" s="99" t="s">
        <v>95</v>
      </c>
      <c r="BS89" s="99">
        <v>2.4</v>
      </c>
      <c r="BT89" s="99">
        <v>3.5</v>
      </c>
      <c r="BU89" s="99">
        <v>52</v>
      </c>
      <c r="BV89" s="99">
        <v>4.3</v>
      </c>
      <c r="BW89" s="99">
        <v>4.5</v>
      </c>
      <c r="BX89" s="99" t="s">
        <v>95</v>
      </c>
      <c r="BY89" s="99" t="s">
        <v>115</v>
      </c>
      <c r="BZ89" s="99" t="s">
        <v>94</v>
      </c>
      <c r="CA89" s="99" t="s">
        <v>95</v>
      </c>
      <c r="CB89" s="99">
        <v>41163</v>
      </c>
      <c r="CC89" s="99">
        <v>42669</v>
      </c>
      <c r="CD89" s="99">
        <v>2050</v>
      </c>
      <c r="CE89" s="99">
        <v>0.46400000000000002</v>
      </c>
    </row>
    <row r="90" spans="1:83" x14ac:dyDescent="0.25">
      <c r="A90" s="99" t="s">
        <v>264</v>
      </c>
      <c r="B90" s="99">
        <v>146</v>
      </c>
      <c r="C90" s="99" t="s">
        <v>93</v>
      </c>
      <c r="D90" s="99" t="s">
        <v>102</v>
      </c>
      <c r="E90" s="99" t="s">
        <v>251</v>
      </c>
      <c r="F90" s="99" t="s">
        <v>265</v>
      </c>
      <c r="G90" s="99" t="s">
        <v>266</v>
      </c>
      <c r="H90" s="99" t="s">
        <v>94</v>
      </c>
      <c r="I90" s="99">
        <v>1</v>
      </c>
      <c r="J90" s="99">
        <v>0</v>
      </c>
      <c r="K90" s="99">
        <v>4</v>
      </c>
      <c r="L90" s="99">
        <v>40</v>
      </c>
      <c r="M90" s="99">
        <v>20</v>
      </c>
      <c r="N90" s="99">
        <v>100</v>
      </c>
      <c r="O90" s="99">
        <v>238</v>
      </c>
      <c r="P90" s="99">
        <v>175</v>
      </c>
      <c r="Q90" s="99">
        <v>115</v>
      </c>
      <c r="R90" s="99">
        <v>62</v>
      </c>
      <c r="S90" s="99">
        <v>1.3</v>
      </c>
      <c r="T90" s="99">
        <v>1.5</v>
      </c>
      <c r="U90" s="99">
        <v>2.2999999999999998</v>
      </c>
      <c r="V90" s="99">
        <v>3.36</v>
      </c>
      <c r="W90" s="99">
        <v>1</v>
      </c>
      <c r="X90" s="99">
        <v>33</v>
      </c>
      <c r="Y90" s="99">
        <v>40</v>
      </c>
      <c r="Z90" s="99">
        <v>300</v>
      </c>
      <c r="AA90" s="99">
        <v>72</v>
      </c>
      <c r="AB90" s="99">
        <v>1.5</v>
      </c>
      <c r="AC90" s="107" t="s">
        <v>95</v>
      </c>
      <c r="AD90" s="99" t="s">
        <v>95</v>
      </c>
      <c r="AE90" s="99" t="s">
        <v>95</v>
      </c>
      <c r="AF90" s="99">
        <v>0.01</v>
      </c>
      <c r="AG90" s="99" t="s">
        <v>95</v>
      </c>
      <c r="AH90" s="99" t="s">
        <v>95</v>
      </c>
      <c r="AI90" s="99">
        <v>7.0000000000000001E-3</v>
      </c>
      <c r="AJ90" s="99">
        <v>0.88</v>
      </c>
      <c r="AK90" s="99">
        <v>19</v>
      </c>
      <c r="AL90" s="99">
        <v>3.8</v>
      </c>
      <c r="AM90" s="99">
        <v>3</v>
      </c>
      <c r="AN90" s="99">
        <v>19</v>
      </c>
      <c r="AO90" s="99">
        <v>1.5</v>
      </c>
      <c r="AP90" s="99">
        <v>1.38</v>
      </c>
      <c r="AQ90" s="99">
        <v>1.53</v>
      </c>
      <c r="AR90" s="99">
        <v>1.59</v>
      </c>
      <c r="AS90" s="99">
        <v>0.32</v>
      </c>
      <c r="AT90" s="99">
        <v>1.89</v>
      </c>
      <c r="AU90" s="99">
        <v>0.151</v>
      </c>
      <c r="AV90" s="99">
        <v>8.0000000000000002E-3</v>
      </c>
      <c r="AW90" s="99">
        <v>0.17599999999999999</v>
      </c>
      <c r="AX90" s="99">
        <v>20</v>
      </c>
      <c r="AY90" s="99">
        <v>10</v>
      </c>
      <c r="AZ90" s="99">
        <v>0.1</v>
      </c>
      <c r="BA90" s="99">
        <v>7.14</v>
      </c>
      <c r="BB90" s="99">
        <v>1.2</v>
      </c>
      <c r="BC90" s="99">
        <v>100</v>
      </c>
      <c r="BD90" s="99">
        <v>2.1800000000000002</v>
      </c>
      <c r="BE90" s="99">
        <v>100</v>
      </c>
      <c r="BF90" s="99">
        <v>40</v>
      </c>
      <c r="BG90" s="99">
        <v>0.91</v>
      </c>
      <c r="BH90" s="99">
        <v>40</v>
      </c>
      <c r="BI90" s="99">
        <v>0.1</v>
      </c>
      <c r="BJ90" s="99">
        <v>0.56000000000000005</v>
      </c>
      <c r="BK90" s="99" t="s">
        <v>94</v>
      </c>
      <c r="BL90" s="99">
        <v>0.8</v>
      </c>
      <c r="BM90" s="99" t="s">
        <v>95</v>
      </c>
      <c r="BN90" s="99">
        <v>42</v>
      </c>
      <c r="BO90" s="99">
        <v>1.42</v>
      </c>
      <c r="BP90" s="99" t="s">
        <v>93</v>
      </c>
      <c r="BQ90" s="99" t="s">
        <v>267</v>
      </c>
      <c r="BR90" s="99" t="s">
        <v>95</v>
      </c>
      <c r="BS90" s="99">
        <v>3</v>
      </c>
      <c r="BT90" s="99">
        <v>3.9</v>
      </c>
      <c r="BU90" s="99">
        <v>46</v>
      </c>
      <c r="BV90" s="99">
        <v>3.5</v>
      </c>
      <c r="BW90" s="99">
        <v>4.4000000000000004</v>
      </c>
      <c r="BX90" s="99" t="s">
        <v>94</v>
      </c>
      <c r="BY90" s="99" t="s">
        <v>255</v>
      </c>
      <c r="BZ90" s="99" t="s">
        <v>94</v>
      </c>
      <c r="CA90" s="99" t="s">
        <v>95</v>
      </c>
      <c r="CB90" s="99">
        <v>42577</v>
      </c>
      <c r="CC90" s="99">
        <v>42664</v>
      </c>
      <c r="CD90" s="99">
        <v>2533</v>
      </c>
      <c r="CE90" s="99">
        <v>0.46300000000000002</v>
      </c>
    </row>
    <row r="91" spans="1:83" x14ac:dyDescent="0.25">
      <c r="A91" s="99" t="s">
        <v>268</v>
      </c>
      <c r="B91" s="99">
        <v>146</v>
      </c>
      <c r="C91" s="99" t="s">
        <v>93</v>
      </c>
      <c r="D91" s="99" t="s">
        <v>93</v>
      </c>
      <c r="E91" s="99" t="s">
        <v>111</v>
      </c>
      <c r="F91" s="99" t="s">
        <v>132</v>
      </c>
      <c r="G91" s="99" t="s">
        <v>215</v>
      </c>
      <c r="H91" s="99" t="s">
        <v>94</v>
      </c>
      <c r="I91" s="99">
        <v>1</v>
      </c>
      <c r="J91" s="99">
        <v>0</v>
      </c>
      <c r="K91" s="99">
        <v>1</v>
      </c>
      <c r="L91" s="99">
        <v>40</v>
      </c>
      <c r="M91" s="99">
        <v>20</v>
      </c>
      <c r="N91" s="99">
        <v>50</v>
      </c>
      <c r="O91" s="99">
        <v>275</v>
      </c>
      <c r="P91" s="99">
        <v>150</v>
      </c>
      <c r="Q91" s="99">
        <v>3.125</v>
      </c>
      <c r="R91" s="99">
        <v>50</v>
      </c>
      <c r="S91" s="99">
        <v>2</v>
      </c>
      <c r="T91" s="99">
        <v>1.5</v>
      </c>
      <c r="U91" s="99">
        <v>2.4</v>
      </c>
      <c r="V91" s="99">
        <v>2.98</v>
      </c>
      <c r="W91" s="99">
        <v>1</v>
      </c>
      <c r="X91" s="99">
        <v>28</v>
      </c>
      <c r="Y91" s="99">
        <v>17</v>
      </c>
      <c r="Z91" s="99">
        <v>300</v>
      </c>
      <c r="AA91" s="99">
        <v>71</v>
      </c>
      <c r="AB91" s="99">
        <v>1.4</v>
      </c>
      <c r="AC91" s="99" t="s">
        <v>95</v>
      </c>
      <c r="AD91" s="99" t="s">
        <v>95</v>
      </c>
      <c r="AE91" s="99" t="s">
        <v>95</v>
      </c>
      <c r="AF91" s="99">
        <v>9.7999999999999997E-3</v>
      </c>
      <c r="AG91" s="99" t="s">
        <v>95</v>
      </c>
      <c r="AH91" s="99" t="s">
        <v>95</v>
      </c>
      <c r="AI91" s="99">
        <v>6.6E-3</v>
      </c>
      <c r="AJ91" s="99">
        <v>0.84</v>
      </c>
      <c r="AK91" s="99">
        <v>7.7</v>
      </c>
      <c r="AL91" s="99">
        <v>3.2</v>
      </c>
      <c r="AM91" s="99">
        <v>2.2000000000000002</v>
      </c>
      <c r="AN91" s="99">
        <v>15.25</v>
      </c>
      <c r="AO91" s="99">
        <v>1.45</v>
      </c>
      <c r="AP91" s="99">
        <v>1.38</v>
      </c>
      <c r="AQ91" s="99">
        <v>1.49</v>
      </c>
      <c r="AR91" s="99">
        <v>1.74</v>
      </c>
      <c r="AS91" s="99">
        <v>0.31</v>
      </c>
      <c r="AT91" s="99">
        <v>2.0699999999999998</v>
      </c>
      <c r="AU91" s="99">
        <v>0.14000000000000001</v>
      </c>
      <c r="AV91" s="99">
        <v>8.0000000000000002E-3</v>
      </c>
      <c r="AW91" s="99">
        <v>0.16700000000000001</v>
      </c>
      <c r="AX91" s="99">
        <v>20</v>
      </c>
      <c r="AY91" s="99">
        <v>10</v>
      </c>
      <c r="AZ91" s="99">
        <v>0.1</v>
      </c>
      <c r="BA91" s="99">
        <v>8</v>
      </c>
      <c r="BB91" s="99">
        <v>1</v>
      </c>
      <c r="BC91" s="99">
        <v>90</v>
      </c>
      <c r="BD91" s="99">
        <v>1.7</v>
      </c>
      <c r="BE91" s="99">
        <v>90</v>
      </c>
      <c r="BF91" s="99">
        <v>40</v>
      </c>
      <c r="BG91" s="99">
        <v>0.95</v>
      </c>
      <c r="BH91" s="99">
        <v>40</v>
      </c>
      <c r="BI91" s="99">
        <v>0.1</v>
      </c>
      <c r="BJ91" s="99">
        <v>1.25</v>
      </c>
      <c r="BK91" s="99" t="s">
        <v>94</v>
      </c>
      <c r="BL91" s="99">
        <v>0.8</v>
      </c>
      <c r="BM91" s="99" t="s">
        <v>95</v>
      </c>
      <c r="BN91" s="99">
        <v>1155</v>
      </c>
      <c r="BO91" s="99">
        <v>1.42</v>
      </c>
      <c r="BP91" s="99" t="s">
        <v>93</v>
      </c>
      <c r="BQ91" s="99" t="s">
        <v>269</v>
      </c>
      <c r="BR91" s="99" t="s">
        <v>95</v>
      </c>
      <c r="BS91" s="99">
        <v>2.8</v>
      </c>
      <c r="BT91" s="99">
        <v>3.5</v>
      </c>
      <c r="BU91" s="99">
        <v>39</v>
      </c>
      <c r="BV91" s="99">
        <v>2.4</v>
      </c>
      <c r="BW91" s="99">
        <v>3.2</v>
      </c>
      <c r="BX91" s="99" t="s">
        <v>95</v>
      </c>
      <c r="BY91" s="99" t="s">
        <v>115</v>
      </c>
      <c r="BZ91" s="99" t="s">
        <v>94</v>
      </c>
      <c r="CA91" s="99" t="s">
        <v>95</v>
      </c>
      <c r="CB91" s="99">
        <v>41163</v>
      </c>
      <c r="CC91" s="99">
        <v>42564</v>
      </c>
      <c r="CD91" s="99">
        <v>2051</v>
      </c>
      <c r="CE91" s="99">
        <v>0.32600000000000001</v>
      </c>
    </row>
    <row r="92" spans="1:83" s="103" customFormat="1" x14ac:dyDescent="0.25">
      <c r="A92" s="99" t="s">
        <v>270</v>
      </c>
      <c r="B92" s="99">
        <v>146</v>
      </c>
      <c r="C92" s="99" t="s">
        <v>93</v>
      </c>
      <c r="D92" s="99" t="s">
        <v>93</v>
      </c>
      <c r="E92" s="99" t="s">
        <v>111</v>
      </c>
      <c r="F92" s="99" t="s">
        <v>169</v>
      </c>
      <c r="G92" s="99" t="s">
        <v>271</v>
      </c>
      <c r="H92" s="99" t="s">
        <v>94</v>
      </c>
      <c r="I92" s="99">
        <v>1</v>
      </c>
      <c r="J92" s="99">
        <v>0</v>
      </c>
      <c r="K92" s="99">
        <v>1</v>
      </c>
      <c r="L92" s="99">
        <v>40</v>
      </c>
      <c r="M92" s="99">
        <v>20</v>
      </c>
      <c r="N92" s="99">
        <v>100</v>
      </c>
      <c r="O92" s="99">
        <v>400</v>
      </c>
      <c r="P92" s="99">
        <v>150</v>
      </c>
      <c r="Q92" s="99">
        <v>3.125</v>
      </c>
      <c r="R92" s="99">
        <v>50</v>
      </c>
      <c r="S92" s="99">
        <v>0.8</v>
      </c>
      <c r="T92" s="99">
        <v>1.5</v>
      </c>
      <c r="U92" s="99">
        <v>2.2000000000000002</v>
      </c>
      <c r="V92" s="99">
        <v>2.8</v>
      </c>
      <c r="W92" s="99">
        <v>1</v>
      </c>
      <c r="X92" s="99">
        <v>23</v>
      </c>
      <c r="Y92" s="99">
        <v>32</v>
      </c>
      <c r="Z92" s="99">
        <v>300</v>
      </c>
      <c r="AA92" s="99">
        <v>180</v>
      </c>
      <c r="AB92" s="99">
        <v>0.8</v>
      </c>
      <c r="AC92" s="99" t="s">
        <v>95</v>
      </c>
      <c r="AD92" s="99" t="s">
        <v>95</v>
      </c>
      <c r="AE92" s="99" t="s">
        <v>95</v>
      </c>
      <c r="AF92" s="99">
        <v>1.6999999999999999E-3</v>
      </c>
      <c r="AG92" s="99" t="s">
        <v>95</v>
      </c>
      <c r="AH92" s="99" t="s">
        <v>95</v>
      </c>
      <c r="AI92" s="99">
        <v>1.1999999999999999E-3</v>
      </c>
      <c r="AJ92" s="99">
        <v>0.82</v>
      </c>
      <c r="AK92" s="99">
        <v>150</v>
      </c>
      <c r="AL92" s="99">
        <v>29</v>
      </c>
      <c r="AM92" s="99">
        <v>18</v>
      </c>
      <c r="AN92" s="99">
        <v>140</v>
      </c>
      <c r="AO92" s="99">
        <v>11.5</v>
      </c>
      <c r="AP92" s="99">
        <v>10.7</v>
      </c>
      <c r="AQ92" s="99">
        <v>12.3</v>
      </c>
      <c r="AR92" s="99">
        <v>6.1</v>
      </c>
      <c r="AS92" s="99">
        <v>0.82099999999999995</v>
      </c>
      <c r="AT92" s="99">
        <v>9.01</v>
      </c>
      <c r="AU92" s="99">
        <v>0.77800000000000002</v>
      </c>
      <c r="AV92" s="99">
        <v>0.27200000000000002</v>
      </c>
      <c r="AW92" s="99">
        <v>1.68</v>
      </c>
      <c r="AX92" s="99">
        <v>20</v>
      </c>
      <c r="AY92" s="99">
        <v>10</v>
      </c>
      <c r="AZ92" s="99">
        <v>0.1</v>
      </c>
      <c r="BA92" s="99">
        <v>45.8</v>
      </c>
      <c r="BB92" s="99">
        <v>0.87</v>
      </c>
      <c r="BC92" s="99">
        <v>400</v>
      </c>
      <c r="BD92" s="99">
        <v>1.29</v>
      </c>
      <c r="BE92" s="99">
        <v>400</v>
      </c>
      <c r="BF92" s="99">
        <v>40</v>
      </c>
      <c r="BG92" s="99">
        <v>1.52</v>
      </c>
      <c r="BH92" s="99">
        <v>40</v>
      </c>
      <c r="BI92" s="99">
        <v>0.1</v>
      </c>
      <c r="BJ92" s="99">
        <v>7.0000000000000007E-2</v>
      </c>
      <c r="BK92" s="99" t="s">
        <v>94</v>
      </c>
      <c r="BL92" s="99">
        <v>0.8</v>
      </c>
      <c r="BM92" s="99" t="s">
        <v>95</v>
      </c>
      <c r="BN92" s="99">
        <v>1345</v>
      </c>
      <c r="BO92" s="99">
        <v>12</v>
      </c>
      <c r="BP92" s="99" t="s">
        <v>93</v>
      </c>
      <c r="BQ92" s="99" t="s">
        <v>272</v>
      </c>
      <c r="BR92" s="99" t="s">
        <v>95</v>
      </c>
      <c r="BS92" s="99">
        <v>1.6</v>
      </c>
      <c r="BT92" s="99">
        <v>2.7</v>
      </c>
      <c r="BU92" s="99">
        <v>40</v>
      </c>
      <c r="BV92" s="99">
        <v>17</v>
      </c>
      <c r="BW92" s="99">
        <v>29</v>
      </c>
      <c r="BX92" s="99" t="s">
        <v>95</v>
      </c>
      <c r="BY92" s="99" t="s">
        <v>115</v>
      </c>
      <c r="BZ92" s="99" t="s">
        <v>95</v>
      </c>
      <c r="CA92" s="99" t="s">
        <v>95</v>
      </c>
      <c r="CB92" s="99">
        <v>42537</v>
      </c>
      <c r="CC92" s="99">
        <v>42585</v>
      </c>
      <c r="CD92" s="99">
        <v>2534</v>
      </c>
      <c r="CE92" s="99">
        <v>0.79700000000000004</v>
      </c>
    </row>
    <row r="93" spans="1:83" x14ac:dyDescent="0.25">
      <c r="A93" s="103" t="s">
        <v>388</v>
      </c>
      <c r="B93" s="103">
        <v>146</v>
      </c>
      <c r="C93" s="103" t="s">
        <v>94</v>
      </c>
      <c r="D93" s="103" t="s">
        <v>93</v>
      </c>
      <c r="E93" s="103" t="s">
        <v>111</v>
      </c>
      <c r="F93" s="103" t="s">
        <v>169</v>
      </c>
      <c r="G93" s="103" t="s">
        <v>400</v>
      </c>
      <c r="H93" s="103" t="s">
        <v>94</v>
      </c>
      <c r="I93" s="103">
        <v>1</v>
      </c>
      <c r="J93" s="103">
        <v>0</v>
      </c>
      <c r="K93" s="103">
        <v>4</v>
      </c>
      <c r="L93" s="103">
        <v>40</v>
      </c>
      <c r="M93" s="103">
        <v>20</v>
      </c>
      <c r="N93" s="103">
        <v>200</v>
      </c>
      <c r="O93" s="103">
        <v>400</v>
      </c>
      <c r="P93" s="103">
        <v>175</v>
      </c>
      <c r="Q93" s="103">
        <v>250</v>
      </c>
      <c r="R93" s="103">
        <v>62</v>
      </c>
      <c r="S93" s="103">
        <v>0.6</v>
      </c>
      <c r="T93" s="103">
        <v>1.4</v>
      </c>
      <c r="U93" s="103">
        <v>2.2999999999999998</v>
      </c>
      <c r="V93" s="103">
        <v>3.2</v>
      </c>
      <c r="W93" s="103">
        <v>1</v>
      </c>
      <c r="X93" s="103">
        <v>41</v>
      </c>
      <c r="Y93" s="103">
        <v>100</v>
      </c>
      <c r="Z93" s="103">
        <v>300</v>
      </c>
      <c r="AA93" s="103">
        <v>330</v>
      </c>
      <c r="AB93" s="103">
        <v>0.9</v>
      </c>
      <c r="AC93" s="107" t="s">
        <v>95</v>
      </c>
      <c r="AD93" s="103" t="s">
        <v>95</v>
      </c>
      <c r="AE93" s="99" t="s">
        <v>95</v>
      </c>
      <c r="AF93" s="103">
        <v>2.5999999999999999E-3</v>
      </c>
      <c r="AG93" s="103" t="s">
        <v>95</v>
      </c>
      <c r="AH93" s="103" t="s">
        <v>95</v>
      </c>
      <c r="AI93" s="103">
        <v>1.4E-3</v>
      </c>
      <c r="AJ93" s="103">
        <v>0.82</v>
      </c>
      <c r="AK93" s="103">
        <v>58</v>
      </c>
      <c r="AL93" s="103">
        <v>22</v>
      </c>
      <c r="AM93" s="103">
        <v>15</v>
      </c>
      <c r="AN93" s="103">
        <v>118</v>
      </c>
      <c r="AO93" s="103">
        <v>9.48</v>
      </c>
      <c r="AP93" s="103">
        <v>8.42</v>
      </c>
      <c r="AQ93" s="103">
        <v>10.130000000000001</v>
      </c>
      <c r="AR93" s="103">
        <v>5.54</v>
      </c>
      <c r="AS93" s="103">
        <v>0.84399999999999997</v>
      </c>
      <c r="AT93" s="103">
        <v>9.4499999999999993</v>
      </c>
      <c r="AU93" s="103">
        <v>1.1499999999999999</v>
      </c>
      <c r="AV93" s="103">
        <v>0.373</v>
      </c>
      <c r="AW93" s="103">
        <v>1.91</v>
      </c>
      <c r="AX93" s="103">
        <v>20</v>
      </c>
      <c r="AY93" s="103">
        <v>10</v>
      </c>
      <c r="AZ93" s="103">
        <v>0.1</v>
      </c>
      <c r="BA93" s="103">
        <v>45.8</v>
      </c>
      <c r="BB93" s="103">
        <v>0.87</v>
      </c>
      <c r="BC93" s="103">
        <v>400</v>
      </c>
      <c r="BD93" s="103">
        <v>1.29</v>
      </c>
      <c r="BE93" s="103">
        <v>400</v>
      </c>
      <c r="BF93" s="103">
        <v>40</v>
      </c>
      <c r="BG93" s="103">
        <v>1.52</v>
      </c>
      <c r="BH93" s="103">
        <v>40</v>
      </c>
      <c r="BI93" s="103">
        <v>0.1</v>
      </c>
      <c r="BJ93" s="103">
        <v>7.0000000000000007E-2</v>
      </c>
      <c r="BK93" s="103" t="s">
        <v>94</v>
      </c>
      <c r="BL93" s="103">
        <v>0.85</v>
      </c>
      <c r="BM93" s="103" t="s">
        <v>93</v>
      </c>
      <c r="BN93" s="103">
        <v>42</v>
      </c>
      <c r="BO93" s="103">
        <v>12</v>
      </c>
      <c r="BP93" s="103" t="s">
        <v>93</v>
      </c>
      <c r="BQ93" s="104" t="s">
        <v>403</v>
      </c>
      <c r="BR93" s="103" t="s">
        <v>95</v>
      </c>
      <c r="BS93" s="103">
        <v>1.8</v>
      </c>
      <c r="BT93" s="103">
        <v>2.7</v>
      </c>
      <c r="BU93" s="103">
        <v>70</v>
      </c>
      <c r="BV93" s="103">
        <v>21</v>
      </c>
      <c r="BW93" s="103">
        <v>28</v>
      </c>
      <c r="BX93" s="103" t="s">
        <v>95</v>
      </c>
      <c r="BY93" s="103" t="s">
        <v>255</v>
      </c>
      <c r="BZ93" s="103" t="s">
        <v>95</v>
      </c>
      <c r="CA93" s="103" t="s">
        <v>95</v>
      </c>
      <c r="CB93" s="103">
        <v>43724</v>
      </c>
      <c r="CC93" s="103">
        <v>43724</v>
      </c>
      <c r="CD93" s="103">
        <v>2534</v>
      </c>
      <c r="CE93" s="103">
        <v>0.76</v>
      </c>
    </row>
    <row r="94" spans="1:83" x14ac:dyDescent="0.25">
      <c r="A94" s="103" t="s">
        <v>389</v>
      </c>
      <c r="B94" s="103">
        <v>146</v>
      </c>
      <c r="C94" s="103" t="s">
        <v>94</v>
      </c>
      <c r="D94" s="103" t="s">
        <v>93</v>
      </c>
      <c r="E94" s="103" t="s">
        <v>111</v>
      </c>
      <c r="F94" s="103" t="s">
        <v>169</v>
      </c>
      <c r="G94" s="103" t="s">
        <v>400</v>
      </c>
      <c r="H94" s="103" t="s">
        <v>94</v>
      </c>
      <c r="I94" s="103">
        <v>1</v>
      </c>
      <c r="J94" s="103">
        <v>0</v>
      </c>
      <c r="K94" s="103">
        <v>1</v>
      </c>
      <c r="L94" s="103">
        <v>40</v>
      </c>
      <c r="M94" s="103">
        <v>20</v>
      </c>
      <c r="N94" s="103">
        <v>200</v>
      </c>
      <c r="O94" s="103">
        <v>274</v>
      </c>
      <c r="P94" s="103">
        <v>175</v>
      </c>
      <c r="Q94" s="103">
        <v>250</v>
      </c>
      <c r="R94" s="103">
        <v>62</v>
      </c>
      <c r="S94" s="103">
        <v>0.6</v>
      </c>
      <c r="T94" s="103">
        <v>1.4</v>
      </c>
      <c r="U94" s="103">
        <v>2.2999999999999998</v>
      </c>
      <c r="V94" s="103">
        <v>3.5</v>
      </c>
      <c r="W94" s="103">
        <v>1</v>
      </c>
      <c r="X94" s="103">
        <v>41</v>
      </c>
      <c r="Y94" s="103">
        <v>100</v>
      </c>
      <c r="Z94" s="103">
        <v>300</v>
      </c>
      <c r="AA94" s="103">
        <v>330</v>
      </c>
      <c r="AB94" s="103">
        <v>0.9</v>
      </c>
      <c r="AC94" s="99" t="s">
        <v>95</v>
      </c>
      <c r="AD94" s="103" t="s">
        <v>95</v>
      </c>
      <c r="AE94" s="99" t="s">
        <v>95</v>
      </c>
      <c r="AF94" s="103">
        <v>2.5999999999999999E-3</v>
      </c>
      <c r="AG94" s="103" t="s">
        <v>95</v>
      </c>
      <c r="AH94" s="103" t="s">
        <v>95</v>
      </c>
      <c r="AI94" s="103">
        <v>1.4E-3</v>
      </c>
      <c r="AJ94" s="103">
        <v>0.82</v>
      </c>
      <c r="AK94" s="103">
        <v>58</v>
      </c>
      <c r="AL94" s="103">
        <v>22</v>
      </c>
      <c r="AM94" s="103">
        <v>15</v>
      </c>
      <c r="AN94" s="103">
        <v>118</v>
      </c>
      <c r="AO94" s="103">
        <v>9.48</v>
      </c>
      <c r="AP94" s="103">
        <v>8.42</v>
      </c>
      <c r="AQ94" s="103">
        <v>10.130000000000001</v>
      </c>
      <c r="AR94" s="103">
        <v>5.54</v>
      </c>
      <c r="AS94" s="103">
        <v>0.84399999999999997</v>
      </c>
      <c r="AT94" s="103">
        <v>9.4499999999999993</v>
      </c>
      <c r="AU94" s="103">
        <v>1.1499999999999999</v>
      </c>
      <c r="AV94" s="103">
        <v>0.373</v>
      </c>
      <c r="AW94" s="103">
        <v>1.91</v>
      </c>
      <c r="AX94" s="103">
        <v>20</v>
      </c>
      <c r="AY94" s="103">
        <v>10</v>
      </c>
      <c r="AZ94" s="103">
        <v>0.1</v>
      </c>
      <c r="BA94" s="103">
        <v>45.8</v>
      </c>
      <c r="BB94" s="103">
        <v>0.87</v>
      </c>
      <c r="BC94" s="103">
        <v>400</v>
      </c>
      <c r="BD94" s="103">
        <v>1.29</v>
      </c>
      <c r="BE94" s="103">
        <v>400</v>
      </c>
      <c r="BF94" s="103">
        <v>40</v>
      </c>
      <c r="BG94" s="103">
        <v>1.52</v>
      </c>
      <c r="BH94" s="103">
        <v>40</v>
      </c>
      <c r="BI94" s="103">
        <v>0.1</v>
      </c>
      <c r="BJ94" s="103">
        <v>7.0000000000000007E-2</v>
      </c>
      <c r="BK94" s="103" t="s">
        <v>94</v>
      </c>
      <c r="BL94" s="103">
        <v>0.85</v>
      </c>
      <c r="BM94" s="103" t="s">
        <v>95</v>
      </c>
      <c r="BN94" s="103" t="s">
        <v>95</v>
      </c>
      <c r="BO94" s="103">
        <v>12</v>
      </c>
      <c r="BP94" s="103" t="s">
        <v>93</v>
      </c>
      <c r="BQ94" s="104" t="s">
        <v>404</v>
      </c>
      <c r="BR94" s="103" t="s">
        <v>95</v>
      </c>
      <c r="BS94" s="103">
        <v>1.8</v>
      </c>
      <c r="BT94" s="103">
        <v>2.7</v>
      </c>
      <c r="BU94" s="103">
        <v>70</v>
      </c>
      <c r="BV94" s="103">
        <v>21</v>
      </c>
      <c r="BW94" s="103">
        <v>28</v>
      </c>
      <c r="BX94" s="103" t="s">
        <v>95</v>
      </c>
      <c r="BY94" s="103" t="s">
        <v>309</v>
      </c>
      <c r="BZ94" s="103" t="s">
        <v>95</v>
      </c>
      <c r="CA94" s="103" t="s">
        <v>95</v>
      </c>
      <c r="CB94" s="103">
        <v>43724</v>
      </c>
      <c r="CC94" s="103">
        <v>43724</v>
      </c>
      <c r="CD94" s="103">
        <v>2534</v>
      </c>
      <c r="CE94" s="103">
        <v>0.80600000000000005</v>
      </c>
    </row>
    <row r="95" spans="1:83" x14ac:dyDescent="0.25">
      <c r="A95" s="103" t="s">
        <v>392</v>
      </c>
      <c r="B95" s="103">
        <v>146</v>
      </c>
      <c r="C95" s="103" t="s">
        <v>94</v>
      </c>
      <c r="D95" s="103" t="s">
        <v>93</v>
      </c>
      <c r="E95" s="103" t="s">
        <v>111</v>
      </c>
      <c r="F95" s="103" t="s">
        <v>169</v>
      </c>
      <c r="G95" s="103" t="s">
        <v>400</v>
      </c>
      <c r="H95" s="103" t="s">
        <v>94</v>
      </c>
      <c r="I95" s="103">
        <v>1</v>
      </c>
      <c r="J95" s="103">
        <v>0</v>
      </c>
      <c r="K95" s="103">
        <v>1</v>
      </c>
      <c r="L95" s="103">
        <v>40</v>
      </c>
      <c r="M95" s="103">
        <v>20</v>
      </c>
      <c r="N95" s="103">
        <v>100</v>
      </c>
      <c r="O95" s="103">
        <v>400</v>
      </c>
      <c r="P95" s="103">
        <v>150</v>
      </c>
      <c r="Q95" s="103">
        <v>3.1</v>
      </c>
      <c r="R95" s="103">
        <v>50</v>
      </c>
      <c r="S95" s="103">
        <v>0.8</v>
      </c>
      <c r="T95" s="103">
        <v>1.2</v>
      </c>
      <c r="U95" s="103">
        <v>2.2999999999999998</v>
      </c>
      <c r="V95" s="103">
        <v>2.9</v>
      </c>
      <c r="W95" s="103">
        <v>1</v>
      </c>
      <c r="X95" s="103">
        <v>19</v>
      </c>
      <c r="Y95" s="103">
        <v>32</v>
      </c>
      <c r="Z95" s="103">
        <v>300</v>
      </c>
      <c r="AA95" s="103">
        <v>147</v>
      </c>
      <c r="AB95" s="103">
        <v>0.9</v>
      </c>
      <c r="AC95" s="99" t="s">
        <v>95</v>
      </c>
      <c r="AD95" s="103" t="s">
        <v>95</v>
      </c>
      <c r="AE95" s="99" t="s">
        <v>95</v>
      </c>
      <c r="AF95" s="103">
        <v>1.6000000000000001E-3</v>
      </c>
      <c r="AG95" s="103" t="s">
        <v>95</v>
      </c>
      <c r="AH95" s="103" t="s">
        <v>95</v>
      </c>
      <c r="AI95" s="103">
        <v>9.6000000000000002E-4</v>
      </c>
      <c r="AJ95" s="103">
        <v>0.82</v>
      </c>
      <c r="AK95" s="103">
        <v>58</v>
      </c>
      <c r="AL95" s="103">
        <v>22</v>
      </c>
      <c r="AM95" s="103">
        <v>15</v>
      </c>
      <c r="AN95" s="103">
        <v>118</v>
      </c>
      <c r="AO95" s="103">
        <v>9.48</v>
      </c>
      <c r="AP95" s="103">
        <v>8.42</v>
      </c>
      <c r="AQ95" s="103">
        <v>10.130000000000001</v>
      </c>
      <c r="AR95" s="103">
        <v>5.54</v>
      </c>
      <c r="AS95" s="103">
        <v>0.84399999999999997</v>
      </c>
      <c r="AT95" s="103">
        <v>9.4499999999999993</v>
      </c>
      <c r="AU95" s="103">
        <v>1.1499999999999999</v>
      </c>
      <c r="AV95" s="103">
        <v>0.373</v>
      </c>
      <c r="AW95" s="103">
        <v>1.91</v>
      </c>
      <c r="AX95" s="103">
        <v>20</v>
      </c>
      <c r="AY95" s="103">
        <v>10</v>
      </c>
      <c r="AZ95" s="103">
        <v>0.1</v>
      </c>
      <c r="BA95" s="103">
        <v>45.8</v>
      </c>
      <c r="BB95" s="103">
        <v>0.87</v>
      </c>
      <c r="BC95" s="103">
        <v>400</v>
      </c>
      <c r="BD95" s="103">
        <v>1.29</v>
      </c>
      <c r="BE95" s="103">
        <v>400</v>
      </c>
      <c r="BF95" s="103">
        <v>40</v>
      </c>
      <c r="BG95" s="103">
        <v>1.52</v>
      </c>
      <c r="BH95" s="103">
        <v>40</v>
      </c>
      <c r="BI95" s="103">
        <v>0.1</v>
      </c>
      <c r="BJ95" s="103">
        <v>7.0000000000000007E-2</v>
      </c>
      <c r="BK95" s="103" t="s">
        <v>94</v>
      </c>
      <c r="BL95" s="103">
        <v>0.8</v>
      </c>
      <c r="BM95" s="103" t="s">
        <v>95</v>
      </c>
      <c r="BN95" s="103">
        <v>1145</v>
      </c>
      <c r="BO95" s="103">
        <v>12</v>
      </c>
      <c r="BP95" s="103" t="s">
        <v>93</v>
      </c>
      <c r="BQ95" s="104" t="s">
        <v>405</v>
      </c>
      <c r="BR95" s="103" t="s">
        <v>95</v>
      </c>
      <c r="BS95" s="103">
        <v>1.8</v>
      </c>
      <c r="BT95" s="103">
        <v>2.7</v>
      </c>
      <c r="BU95" s="103">
        <v>31</v>
      </c>
      <c r="BV95" s="103">
        <v>21</v>
      </c>
      <c r="BW95" s="103">
        <v>28</v>
      </c>
      <c r="BX95" s="103" t="s">
        <v>95</v>
      </c>
      <c r="BY95" s="103" t="s">
        <v>115</v>
      </c>
      <c r="BZ95" s="103" t="s">
        <v>95</v>
      </c>
      <c r="CA95" s="103" t="s">
        <v>95</v>
      </c>
      <c r="CB95" s="103">
        <v>43724</v>
      </c>
      <c r="CC95" s="103">
        <v>43724</v>
      </c>
      <c r="CD95" s="103">
        <v>2534</v>
      </c>
      <c r="CE95" s="103">
        <v>0.78900000000000003</v>
      </c>
    </row>
    <row r="96" spans="1:83" x14ac:dyDescent="0.25">
      <c r="A96" s="103" t="s">
        <v>390</v>
      </c>
      <c r="B96" s="103">
        <v>146</v>
      </c>
      <c r="C96" s="103" t="s">
        <v>94</v>
      </c>
      <c r="D96" s="103" t="s">
        <v>93</v>
      </c>
      <c r="E96" s="103" t="s">
        <v>111</v>
      </c>
      <c r="F96" s="103" t="s">
        <v>132</v>
      </c>
      <c r="G96" s="103" t="s">
        <v>400</v>
      </c>
      <c r="H96" s="103" t="s">
        <v>94</v>
      </c>
      <c r="I96" s="103">
        <v>1</v>
      </c>
      <c r="J96" s="103">
        <v>0</v>
      </c>
      <c r="K96" s="103">
        <v>4</v>
      </c>
      <c r="L96" s="103">
        <v>40</v>
      </c>
      <c r="M96" s="103">
        <v>20</v>
      </c>
      <c r="N96" s="103">
        <v>110</v>
      </c>
      <c r="O96" s="103">
        <v>400</v>
      </c>
      <c r="P96" s="103">
        <v>175</v>
      </c>
      <c r="Q96" s="103">
        <v>188</v>
      </c>
      <c r="R96" s="103">
        <v>62</v>
      </c>
      <c r="S96" s="103">
        <v>0.8</v>
      </c>
      <c r="T96" s="103">
        <v>1.5</v>
      </c>
      <c r="U96" s="103">
        <v>2.4</v>
      </c>
      <c r="V96" s="103">
        <v>3.6</v>
      </c>
      <c r="W96" s="103">
        <v>1</v>
      </c>
      <c r="X96" s="103">
        <v>31</v>
      </c>
      <c r="Y96" s="103">
        <v>100</v>
      </c>
      <c r="Z96" s="103">
        <v>300</v>
      </c>
      <c r="AA96" s="103">
        <v>249</v>
      </c>
      <c r="AB96" s="103">
        <v>0.9</v>
      </c>
      <c r="AC96" s="107" t="s">
        <v>95</v>
      </c>
      <c r="AD96" s="103" t="s">
        <v>95</v>
      </c>
      <c r="AE96" s="99" t="s">
        <v>95</v>
      </c>
      <c r="AF96" s="103">
        <v>4.1999999999999997E-3</v>
      </c>
      <c r="AG96" s="103" t="s">
        <v>95</v>
      </c>
      <c r="AH96" s="103" t="s">
        <v>95</v>
      </c>
      <c r="AI96" s="103">
        <v>2.5999999999999999E-3</v>
      </c>
      <c r="AJ96" s="103">
        <v>0.66</v>
      </c>
      <c r="AK96" s="103">
        <v>31</v>
      </c>
      <c r="AL96" s="103">
        <v>10</v>
      </c>
      <c r="AM96" s="103">
        <v>7.4</v>
      </c>
      <c r="AN96" s="103">
        <v>64</v>
      </c>
      <c r="AO96" s="103">
        <v>4.83</v>
      </c>
      <c r="AP96" s="103">
        <v>4.3600000000000003</v>
      </c>
      <c r="AQ96" s="103">
        <v>5.18</v>
      </c>
      <c r="AR96" s="103">
        <v>2.91</v>
      </c>
      <c r="AS96" s="103">
        <v>0.442</v>
      </c>
      <c r="AT96" s="103">
        <v>5.14</v>
      </c>
      <c r="AU96" s="103">
        <v>0.53200000000000003</v>
      </c>
      <c r="AV96" s="103">
        <v>0.19</v>
      </c>
      <c r="AW96" s="103">
        <v>0.95699999999999996</v>
      </c>
      <c r="AX96" s="103">
        <v>20</v>
      </c>
      <c r="AY96" s="103">
        <v>10</v>
      </c>
      <c r="AZ96" s="103">
        <v>0.1</v>
      </c>
      <c r="BA96" s="103">
        <v>25</v>
      </c>
      <c r="BB96" s="103">
        <v>0.9</v>
      </c>
      <c r="BC96" s="103">
        <v>100</v>
      </c>
      <c r="BD96" s="103">
        <v>1</v>
      </c>
      <c r="BE96" s="103">
        <v>200</v>
      </c>
      <c r="BF96" s="103">
        <v>40</v>
      </c>
      <c r="BG96" s="103">
        <v>1</v>
      </c>
      <c r="BH96" s="103">
        <v>40</v>
      </c>
      <c r="BI96" s="103">
        <v>0.5</v>
      </c>
      <c r="BJ96" s="103">
        <v>1.1200000000000001</v>
      </c>
      <c r="BK96" s="103" t="s">
        <v>94</v>
      </c>
      <c r="BL96" s="103">
        <v>0.9</v>
      </c>
      <c r="BM96" s="103" t="s">
        <v>93</v>
      </c>
      <c r="BN96" s="103">
        <v>42</v>
      </c>
      <c r="BO96" s="103">
        <v>4.5</v>
      </c>
      <c r="BP96" s="103" t="s">
        <v>93</v>
      </c>
      <c r="BQ96" s="104" t="s">
        <v>406</v>
      </c>
      <c r="BR96" s="103" t="s">
        <v>95</v>
      </c>
      <c r="BS96" s="103">
        <v>1.8</v>
      </c>
      <c r="BT96" s="103">
        <v>4.5</v>
      </c>
      <c r="BU96" s="103">
        <v>62</v>
      </c>
      <c r="BV96" s="103">
        <v>9.6999999999999993</v>
      </c>
      <c r="BW96" s="103">
        <v>17.899999999999999</v>
      </c>
      <c r="BX96" s="103" t="s">
        <v>94</v>
      </c>
      <c r="BY96" s="103" t="s">
        <v>255</v>
      </c>
      <c r="BZ96" s="103" t="s">
        <v>94</v>
      </c>
      <c r="CA96" s="103" t="s">
        <v>95</v>
      </c>
      <c r="CB96" s="103">
        <v>43724</v>
      </c>
      <c r="CC96" s="103">
        <v>43724</v>
      </c>
      <c r="CD96" s="103">
        <v>3305</v>
      </c>
      <c r="CE96" s="103">
        <v>0.53700000000000003</v>
      </c>
    </row>
    <row r="97" spans="1:83" x14ac:dyDescent="0.25">
      <c r="A97" s="103" t="s">
        <v>391</v>
      </c>
      <c r="B97" s="103">
        <v>146</v>
      </c>
      <c r="C97" s="103" t="s">
        <v>94</v>
      </c>
      <c r="D97" s="103" t="s">
        <v>93</v>
      </c>
      <c r="E97" s="103" t="s">
        <v>111</v>
      </c>
      <c r="F97" s="103" t="s">
        <v>132</v>
      </c>
      <c r="G97" s="103" t="s">
        <v>400</v>
      </c>
      <c r="H97" s="103" t="s">
        <v>94</v>
      </c>
      <c r="I97" s="103">
        <v>1</v>
      </c>
      <c r="J97" s="103">
        <v>0</v>
      </c>
      <c r="K97" s="103">
        <v>1</v>
      </c>
      <c r="L97" s="103">
        <v>40</v>
      </c>
      <c r="M97" s="103">
        <v>20</v>
      </c>
      <c r="N97" s="103">
        <v>110</v>
      </c>
      <c r="O97" s="103">
        <v>400</v>
      </c>
      <c r="P97" s="103">
        <v>175</v>
      </c>
      <c r="Q97" s="103">
        <v>188</v>
      </c>
      <c r="R97" s="103">
        <v>62</v>
      </c>
      <c r="S97" s="103">
        <v>0.8</v>
      </c>
      <c r="T97" s="103">
        <v>1.5</v>
      </c>
      <c r="U97" s="103">
        <v>2.4</v>
      </c>
      <c r="V97" s="103">
        <v>3.64</v>
      </c>
      <c r="W97" s="103">
        <v>1</v>
      </c>
      <c r="X97" s="103">
        <v>31</v>
      </c>
      <c r="Y97" s="103">
        <v>100</v>
      </c>
      <c r="Z97" s="103">
        <v>300</v>
      </c>
      <c r="AA97" s="103">
        <v>249</v>
      </c>
      <c r="AB97" s="103">
        <v>0.9</v>
      </c>
      <c r="AC97" s="99" t="s">
        <v>95</v>
      </c>
      <c r="AD97" s="103" t="s">
        <v>95</v>
      </c>
      <c r="AE97" s="99" t="s">
        <v>95</v>
      </c>
      <c r="AF97" s="103">
        <v>4.1999999999999997E-3</v>
      </c>
      <c r="AG97" s="103" t="s">
        <v>95</v>
      </c>
      <c r="AH97" s="103" t="s">
        <v>95</v>
      </c>
      <c r="AI97" s="103">
        <v>2.5999999999999999E-3</v>
      </c>
      <c r="AJ97" s="103">
        <v>0.66</v>
      </c>
      <c r="AK97" s="103">
        <v>31</v>
      </c>
      <c r="AL97" s="103">
        <v>10</v>
      </c>
      <c r="AM97" s="103">
        <v>7.4</v>
      </c>
      <c r="AN97" s="103">
        <v>64</v>
      </c>
      <c r="AO97" s="103">
        <v>4.83</v>
      </c>
      <c r="AP97" s="103">
        <v>4.3600000000000003</v>
      </c>
      <c r="AQ97" s="103">
        <v>5.18</v>
      </c>
      <c r="AR97" s="103">
        <v>2.91</v>
      </c>
      <c r="AS97" s="103">
        <v>0.442</v>
      </c>
      <c r="AT97" s="103">
        <v>5.14</v>
      </c>
      <c r="AU97" s="103">
        <v>0.53200000000000003</v>
      </c>
      <c r="AV97" s="103">
        <v>0.19</v>
      </c>
      <c r="AW97" s="103">
        <v>0.95699999999999996</v>
      </c>
      <c r="AX97" s="103">
        <v>20</v>
      </c>
      <c r="AY97" s="103">
        <v>10</v>
      </c>
      <c r="AZ97" s="103">
        <v>0.1</v>
      </c>
      <c r="BA97" s="103">
        <v>25</v>
      </c>
      <c r="BB97" s="103">
        <v>0.9</v>
      </c>
      <c r="BC97" s="103">
        <v>100</v>
      </c>
      <c r="BD97" s="103">
        <v>1</v>
      </c>
      <c r="BE97" s="103">
        <v>200</v>
      </c>
      <c r="BF97" s="103">
        <v>40</v>
      </c>
      <c r="BG97" s="103">
        <v>1</v>
      </c>
      <c r="BH97" s="103">
        <v>40</v>
      </c>
      <c r="BI97" s="103">
        <v>0.5</v>
      </c>
      <c r="BJ97" s="103">
        <v>1.1200000000000001</v>
      </c>
      <c r="BK97" s="103" t="s">
        <v>94</v>
      </c>
      <c r="BL97" s="103">
        <v>0.9</v>
      </c>
      <c r="BM97" s="103" t="s">
        <v>94</v>
      </c>
      <c r="BN97" s="103" t="s">
        <v>95</v>
      </c>
      <c r="BO97" s="103">
        <v>4.5</v>
      </c>
      <c r="BP97" s="103" t="s">
        <v>93</v>
      </c>
      <c r="BQ97" s="104" t="s">
        <v>407</v>
      </c>
      <c r="BR97" s="103" t="s">
        <v>95</v>
      </c>
      <c r="BS97" s="103">
        <v>1.8</v>
      </c>
      <c r="BT97" s="103">
        <v>4.5</v>
      </c>
      <c r="BU97" s="103">
        <v>62</v>
      </c>
      <c r="BV97" s="103">
        <v>9.6999999999999993</v>
      </c>
      <c r="BW97" s="103">
        <v>17.899999999999999</v>
      </c>
      <c r="BX97" s="103" t="s">
        <v>94</v>
      </c>
      <c r="BY97" s="103" t="s">
        <v>309</v>
      </c>
      <c r="BZ97" s="103" t="s">
        <v>94</v>
      </c>
      <c r="CA97" s="103" t="s">
        <v>95</v>
      </c>
      <c r="CB97" s="103">
        <v>43724</v>
      </c>
      <c r="CC97" s="103">
        <v>43724</v>
      </c>
      <c r="CD97" s="103">
        <v>3305</v>
      </c>
      <c r="CE97" s="103">
        <v>0.58299999999999996</v>
      </c>
    </row>
    <row r="98" spans="1:83" x14ac:dyDescent="0.25">
      <c r="A98" s="99" t="s">
        <v>274</v>
      </c>
      <c r="B98" s="99">
        <v>146</v>
      </c>
      <c r="C98" s="99" t="s">
        <v>93</v>
      </c>
      <c r="D98" s="99" t="s">
        <v>93</v>
      </c>
      <c r="E98" s="99" t="s">
        <v>111</v>
      </c>
      <c r="F98" s="99" t="s">
        <v>132</v>
      </c>
      <c r="G98" s="99" t="s">
        <v>275</v>
      </c>
      <c r="H98" s="99" t="s">
        <v>94</v>
      </c>
      <c r="I98" s="99">
        <v>1</v>
      </c>
      <c r="J98" s="99">
        <v>0</v>
      </c>
      <c r="K98" s="99">
        <v>1</v>
      </c>
      <c r="L98" s="99">
        <v>40</v>
      </c>
      <c r="M98" s="99">
        <v>20</v>
      </c>
      <c r="N98" s="99">
        <v>100</v>
      </c>
      <c r="O98" s="99">
        <v>400</v>
      </c>
      <c r="P98" s="99">
        <v>150</v>
      </c>
      <c r="Q98" s="99">
        <v>3.1</v>
      </c>
      <c r="R98" s="99">
        <v>50</v>
      </c>
      <c r="S98" s="99">
        <v>1.2</v>
      </c>
      <c r="T98" s="99">
        <v>1.5</v>
      </c>
      <c r="U98" s="99">
        <v>2.4</v>
      </c>
      <c r="V98" s="99">
        <v>3.15</v>
      </c>
      <c r="W98" s="99">
        <v>1</v>
      </c>
      <c r="X98" s="99">
        <v>14</v>
      </c>
      <c r="Y98" s="99">
        <v>24</v>
      </c>
      <c r="Z98" s="99">
        <v>300</v>
      </c>
      <c r="AA98" s="99">
        <v>5.2</v>
      </c>
      <c r="AB98" s="99">
        <v>0.7</v>
      </c>
      <c r="AC98" s="99" t="s">
        <v>95</v>
      </c>
      <c r="AD98" s="99" t="s">
        <v>95</v>
      </c>
      <c r="AE98" s="99" t="s">
        <v>95</v>
      </c>
      <c r="AF98" s="99">
        <v>3.5000000000000001E-3</v>
      </c>
      <c r="AG98" s="99" t="s">
        <v>95</v>
      </c>
      <c r="AH98" s="99" t="s">
        <v>95</v>
      </c>
      <c r="AI98" s="99">
        <v>2.3E-3</v>
      </c>
      <c r="AJ98" s="99">
        <v>0.66</v>
      </c>
      <c r="AK98" s="99">
        <v>63</v>
      </c>
      <c r="AL98" s="99">
        <v>10</v>
      </c>
      <c r="AM98" s="99">
        <v>8.1999999999999993</v>
      </c>
      <c r="AN98" s="99">
        <v>60</v>
      </c>
      <c r="AO98" s="99">
        <v>5.75</v>
      </c>
      <c r="AP98" s="99">
        <v>4.5</v>
      </c>
      <c r="AQ98" s="99">
        <v>5.85</v>
      </c>
      <c r="AR98" s="99">
        <v>5</v>
      </c>
      <c r="AS98" s="99">
        <v>0.45</v>
      </c>
      <c r="AT98" s="99">
        <v>0.58799999999999997</v>
      </c>
      <c r="AU98" s="99">
        <v>1</v>
      </c>
      <c r="AV98" s="99">
        <v>0.21</v>
      </c>
      <c r="AW98" s="99">
        <v>0.309</v>
      </c>
      <c r="AX98" s="99">
        <v>20</v>
      </c>
      <c r="AY98" s="99">
        <v>10</v>
      </c>
      <c r="AZ98" s="99">
        <v>0.1</v>
      </c>
      <c r="BA98" s="99">
        <v>25</v>
      </c>
      <c r="BB98" s="99">
        <v>0.9</v>
      </c>
      <c r="BC98" s="99">
        <v>100</v>
      </c>
      <c r="BD98" s="99">
        <v>1</v>
      </c>
      <c r="BE98" s="99">
        <v>200</v>
      </c>
      <c r="BF98" s="99">
        <v>40</v>
      </c>
      <c r="BG98" s="99">
        <v>1</v>
      </c>
      <c r="BH98" s="99">
        <v>40</v>
      </c>
      <c r="BI98" s="99">
        <v>0.5</v>
      </c>
      <c r="BJ98" s="99">
        <v>1.1200000000000001</v>
      </c>
      <c r="BK98" s="99" t="s">
        <v>94</v>
      </c>
      <c r="BL98" s="99">
        <v>1</v>
      </c>
      <c r="BM98" s="99" t="s">
        <v>94</v>
      </c>
      <c r="BN98" s="99">
        <v>1155</v>
      </c>
      <c r="BO98" s="99">
        <v>4.5</v>
      </c>
      <c r="BP98" s="99" t="s">
        <v>93</v>
      </c>
      <c r="BQ98" s="99" t="s">
        <v>276</v>
      </c>
      <c r="BR98" s="99" t="s">
        <v>95</v>
      </c>
      <c r="BS98" s="99">
        <v>1.4</v>
      </c>
      <c r="BT98" s="99">
        <v>4.5</v>
      </c>
      <c r="BU98" s="99">
        <v>17</v>
      </c>
      <c r="BV98" s="99">
        <v>11.2</v>
      </c>
      <c r="BW98" s="99">
        <v>13.2</v>
      </c>
      <c r="BX98" s="99" t="s">
        <v>94</v>
      </c>
      <c r="BY98" s="99" t="s">
        <v>115</v>
      </c>
      <c r="BZ98" s="99" t="s">
        <v>94</v>
      </c>
      <c r="CA98" s="99" t="s">
        <v>95</v>
      </c>
      <c r="CB98" s="99">
        <v>42781</v>
      </c>
      <c r="CC98" s="99" t="s">
        <v>95</v>
      </c>
      <c r="CD98" s="99">
        <v>3305</v>
      </c>
      <c r="CE98" s="99">
        <v>0.42599999999999999</v>
      </c>
    </row>
    <row r="99" spans="1:83" x14ac:dyDescent="0.25">
      <c r="A99" s="99" t="s">
        <v>277</v>
      </c>
      <c r="B99" s="99">
        <v>146</v>
      </c>
      <c r="C99" s="99" t="s">
        <v>93</v>
      </c>
      <c r="D99" s="99" t="s">
        <v>93</v>
      </c>
      <c r="E99" s="99" t="s">
        <v>111</v>
      </c>
      <c r="F99" s="99" t="s">
        <v>169</v>
      </c>
      <c r="G99" s="99" t="s">
        <v>278</v>
      </c>
      <c r="H99" s="99" t="s">
        <v>94</v>
      </c>
      <c r="I99" s="99">
        <v>1</v>
      </c>
      <c r="J99" s="99">
        <v>0</v>
      </c>
      <c r="K99" s="99">
        <v>1</v>
      </c>
      <c r="L99" s="99">
        <v>40</v>
      </c>
      <c r="M99" s="99">
        <v>20</v>
      </c>
      <c r="N99" s="99">
        <v>100</v>
      </c>
      <c r="O99" s="99">
        <v>400</v>
      </c>
      <c r="P99" s="99">
        <v>150</v>
      </c>
      <c r="Q99" s="99">
        <v>3.1</v>
      </c>
      <c r="R99" s="99">
        <v>50</v>
      </c>
      <c r="S99" s="99">
        <v>0.9</v>
      </c>
      <c r="T99" s="99">
        <v>1.3</v>
      </c>
      <c r="U99" s="99">
        <v>2.2000000000000002</v>
      </c>
      <c r="V99" s="99">
        <v>2.9</v>
      </c>
      <c r="W99" s="99">
        <v>1</v>
      </c>
      <c r="X99" s="99">
        <v>17</v>
      </c>
      <c r="Y99" s="99">
        <v>30</v>
      </c>
      <c r="Z99" s="99">
        <v>300</v>
      </c>
      <c r="AA99" s="99">
        <v>136</v>
      </c>
      <c r="AB99" s="99">
        <v>1</v>
      </c>
      <c r="AC99" s="99" t="s">
        <v>95</v>
      </c>
      <c r="AD99" s="99" t="s">
        <v>95</v>
      </c>
      <c r="AE99" s="99" t="s">
        <v>95</v>
      </c>
      <c r="AF99" s="99">
        <v>2.3E-3</v>
      </c>
      <c r="AG99" s="99" t="s">
        <v>95</v>
      </c>
      <c r="AH99" s="99" t="s">
        <v>95</v>
      </c>
      <c r="AI99" s="99">
        <v>1.6000000000000001E-3</v>
      </c>
      <c r="AJ99" s="99">
        <v>0.73</v>
      </c>
      <c r="AK99" s="99">
        <v>37</v>
      </c>
      <c r="AL99" s="99">
        <v>6</v>
      </c>
      <c r="AM99" s="99">
        <v>8.1999999999999993</v>
      </c>
      <c r="AN99" s="99">
        <v>36</v>
      </c>
      <c r="AO99" s="99">
        <v>7</v>
      </c>
      <c r="AP99" s="99">
        <v>6.5</v>
      </c>
      <c r="AQ99" s="99">
        <v>7.12</v>
      </c>
      <c r="AR99" s="99">
        <v>6</v>
      </c>
      <c r="AS99" s="99">
        <v>0.5</v>
      </c>
      <c r="AT99" s="99">
        <v>0.69899999999999995</v>
      </c>
      <c r="AU99" s="99">
        <v>1.4</v>
      </c>
      <c r="AV99" s="99">
        <v>0.23</v>
      </c>
      <c r="AW99" s="99">
        <v>0.33300000000000002</v>
      </c>
      <c r="AX99" s="99">
        <v>20</v>
      </c>
      <c r="AY99" s="99">
        <v>10</v>
      </c>
      <c r="AZ99" s="99">
        <v>0.1</v>
      </c>
      <c r="BA99" s="99">
        <v>25</v>
      </c>
      <c r="BB99" s="99">
        <v>0.9</v>
      </c>
      <c r="BC99" s="99">
        <v>100</v>
      </c>
      <c r="BD99" s="99">
        <v>1</v>
      </c>
      <c r="BE99" s="99">
        <v>180</v>
      </c>
      <c r="BF99" s="99">
        <v>40</v>
      </c>
      <c r="BG99" s="99">
        <v>0.8</v>
      </c>
      <c r="BH99" s="99">
        <v>40</v>
      </c>
      <c r="BI99" s="99">
        <v>0.5</v>
      </c>
      <c r="BJ99" s="99">
        <v>1.05</v>
      </c>
      <c r="BK99" s="99" t="s">
        <v>94</v>
      </c>
      <c r="BL99" s="99">
        <v>1</v>
      </c>
      <c r="BM99" s="99" t="s">
        <v>94</v>
      </c>
      <c r="BN99" s="99">
        <v>1145</v>
      </c>
      <c r="BO99" s="99">
        <v>5.85</v>
      </c>
      <c r="BP99" s="99" t="s">
        <v>93</v>
      </c>
      <c r="BQ99" s="99" t="s">
        <v>279</v>
      </c>
      <c r="BR99" s="99" t="s">
        <v>95</v>
      </c>
      <c r="BS99" s="99">
        <v>2</v>
      </c>
      <c r="BT99" s="99">
        <v>4.5</v>
      </c>
      <c r="BU99" s="99">
        <v>22</v>
      </c>
      <c r="BV99" s="99">
        <v>13.3</v>
      </c>
      <c r="BW99" s="99">
        <v>15.1</v>
      </c>
      <c r="BX99" s="99" t="s">
        <v>94</v>
      </c>
      <c r="BY99" s="99" t="s">
        <v>115</v>
      </c>
      <c r="BZ99" s="99" t="s">
        <v>94</v>
      </c>
      <c r="CA99" s="99" t="s">
        <v>95</v>
      </c>
      <c r="CB99" s="99">
        <v>42782</v>
      </c>
      <c r="CC99" s="99" t="s">
        <v>95</v>
      </c>
      <c r="CD99" s="99">
        <v>3306</v>
      </c>
      <c r="CE99" s="99">
        <v>0.60799999999999998</v>
      </c>
    </row>
    <row r="100" spans="1:83" x14ac:dyDescent="0.25">
      <c r="A100" s="99" t="s">
        <v>280</v>
      </c>
      <c r="B100" s="99">
        <v>146</v>
      </c>
      <c r="C100" s="99" t="s">
        <v>93</v>
      </c>
      <c r="D100" s="99" t="s">
        <v>93</v>
      </c>
      <c r="E100" s="99" t="s">
        <v>111</v>
      </c>
      <c r="F100" s="99" t="s">
        <v>132</v>
      </c>
      <c r="G100" s="99" t="s">
        <v>275</v>
      </c>
      <c r="H100" s="99" t="s">
        <v>94</v>
      </c>
      <c r="I100" s="99">
        <v>1</v>
      </c>
      <c r="J100" s="99">
        <v>0</v>
      </c>
      <c r="K100" s="99">
        <v>1</v>
      </c>
      <c r="L100" s="99">
        <v>40</v>
      </c>
      <c r="M100" s="99">
        <v>20</v>
      </c>
      <c r="N100" s="99">
        <v>100</v>
      </c>
      <c r="O100" s="99">
        <v>400</v>
      </c>
      <c r="P100" s="99">
        <v>150</v>
      </c>
      <c r="Q100" s="99">
        <v>3.1</v>
      </c>
      <c r="R100" s="99">
        <v>50</v>
      </c>
      <c r="S100" s="99">
        <v>1.3</v>
      </c>
      <c r="T100" s="99">
        <v>1.5</v>
      </c>
      <c r="U100" s="99">
        <v>2.4</v>
      </c>
      <c r="V100" s="99">
        <v>3.18</v>
      </c>
      <c r="W100" s="99">
        <v>1</v>
      </c>
      <c r="X100" s="99">
        <v>12</v>
      </c>
      <c r="Y100" s="99">
        <v>19</v>
      </c>
      <c r="Z100" s="99">
        <v>300</v>
      </c>
      <c r="AA100" s="99">
        <v>89</v>
      </c>
      <c r="AB100" s="99">
        <v>0.9</v>
      </c>
      <c r="AC100" s="99" t="s">
        <v>95</v>
      </c>
      <c r="AD100" s="99" t="s">
        <v>95</v>
      </c>
      <c r="AE100" s="99" t="s">
        <v>95</v>
      </c>
      <c r="AF100" s="99">
        <v>5.3E-3</v>
      </c>
      <c r="AG100" s="99" t="s">
        <v>95</v>
      </c>
      <c r="AH100" s="99" t="s">
        <v>95</v>
      </c>
      <c r="AI100" s="99">
        <v>3.3999999999999998E-3</v>
      </c>
      <c r="AJ100" s="99">
        <v>0.6</v>
      </c>
      <c r="AK100" s="99">
        <v>45</v>
      </c>
      <c r="AL100" s="99">
        <v>7</v>
      </c>
      <c r="AM100" s="99">
        <v>5.8</v>
      </c>
      <c r="AN100" s="99">
        <v>42</v>
      </c>
      <c r="AO100" s="99">
        <v>4</v>
      </c>
      <c r="AP100" s="99">
        <v>3.2</v>
      </c>
      <c r="AQ100" s="99">
        <v>4.28</v>
      </c>
      <c r="AR100" s="99">
        <v>3</v>
      </c>
      <c r="AS100" s="99">
        <v>0.22</v>
      </c>
      <c r="AT100" s="99">
        <v>0.433</v>
      </c>
      <c r="AU100" s="99">
        <v>0.8</v>
      </c>
      <c r="AV100" s="99">
        <v>0.09</v>
      </c>
      <c r="AW100" s="99">
        <v>0.23100000000000001</v>
      </c>
      <c r="AX100" s="99">
        <v>20</v>
      </c>
      <c r="AY100" s="99">
        <v>10</v>
      </c>
      <c r="AZ100" s="99">
        <v>0.1</v>
      </c>
      <c r="BA100" s="99">
        <v>15</v>
      </c>
      <c r="BB100" s="99">
        <v>0.9</v>
      </c>
      <c r="BC100" s="99">
        <v>100</v>
      </c>
      <c r="BD100" s="99">
        <v>1</v>
      </c>
      <c r="BE100" s="99">
        <v>180</v>
      </c>
      <c r="BF100" s="99">
        <v>40</v>
      </c>
      <c r="BG100" s="99">
        <v>0.8</v>
      </c>
      <c r="BH100" s="99">
        <v>40</v>
      </c>
      <c r="BI100" s="99">
        <v>0.6</v>
      </c>
      <c r="BJ100" s="99">
        <v>1.08</v>
      </c>
      <c r="BK100" s="99" t="s">
        <v>94</v>
      </c>
      <c r="BL100" s="99">
        <v>1</v>
      </c>
      <c r="BM100" s="99" t="s">
        <v>94</v>
      </c>
      <c r="BN100" s="99">
        <v>1155</v>
      </c>
      <c r="BO100" s="99">
        <v>3.1</v>
      </c>
      <c r="BP100" s="99" t="s">
        <v>93</v>
      </c>
      <c r="BQ100" s="99" t="s">
        <v>281</v>
      </c>
      <c r="BR100" s="99" t="s">
        <v>95</v>
      </c>
      <c r="BS100" s="99">
        <v>1.8</v>
      </c>
      <c r="BT100" s="99">
        <v>4.5</v>
      </c>
      <c r="BU100" s="99">
        <v>14.7</v>
      </c>
      <c r="BV100" s="99">
        <v>8.8000000000000007</v>
      </c>
      <c r="BW100" s="99">
        <v>9.1</v>
      </c>
      <c r="BX100" s="99" t="s">
        <v>94</v>
      </c>
      <c r="BY100" s="99" t="s">
        <v>115</v>
      </c>
      <c r="BZ100" s="99" t="s">
        <v>94</v>
      </c>
      <c r="CA100" s="99" t="s">
        <v>95</v>
      </c>
      <c r="CB100" s="99">
        <v>42781</v>
      </c>
      <c r="CC100" s="99" t="s">
        <v>95</v>
      </c>
      <c r="CD100" s="99">
        <v>3237</v>
      </c>
      <c r="CE100" s="99">
        <v>0.35199999999999998</v>
      </c>
    </row>
    <row r="101" spans="1:83" x14ac:dyDescent="0.25">
      <c r="A101" s="99" t="s">
        <v>282</v>
      </c>
      <c r="B101" s="99">
        <v>146</v>
      </c>
      <c r="C101" s="99" t="s">
        <v>93</v>
      </c>
      <c r="D101" s="99" t="s">
        <v>93</v>
      </c>
      <c r="E101" s="107" t="s">
        <v>111</v>
      </c>
      <c r="F101" s="107" t="s">
        <v>132</v>
      </c>
      <c r="G101" s="99" t="s">
        <v>275</v>
      </c>
      <c r="H101" s="99" t="s">
        <v>94</v>
      </c>
      <c r="I101" s="99">
        <v>1</v>
      </c>
      <c r="J101" s="99">
        <v>0</v>
      </c>
      <c r="K101" s="107">
        <v>1</v>
      </c>
      <c r="L101" s="99">
        <v>40</v>
      </c>
      <c r="M101" s="99">
        <v>20</v>
      </c>
      <c r="N101" s="99">
        <v>50</v>
      </c>
      <c r="O101" s="99">
        <v>237</v>
      </c>
      <c r="P101" s="99">
        <v>150</v>
      </c>
      <c r="Q101" s="99">
        <v>3.1</v>
      </c>
      <c r="R101" s="99">
        <v>50</v>
      </c>
      <c r="S101" s="99">
        <v>1.7</v>
      </c>
      <c r="T101" s="99">
        <v>1.5</v>
      </c>
      <c r="U101" s="99">
        <v>2.4</v>
      </c>
      <c r="V101" s="99">
        <v>3.3</v>
      </c>
      <c r="W101" s="99">
        <v>1</v>
      </c>
      <c r="X101" s="99">
        <v>9</v>
      </c>
      <c r="Y101" s="99">
        <v>14</v>
      </c>
      <c r="Z101" s="99">
        <v>300</v>
      </c>
      <c r="AA101" s="99">
        <v>59</v>
      </c>
      <c r="AB101" s="99">
        <v>1.3</v>
      </c>
      <c r="AC101" s="99" t="s">
        <v>95</v>
      </c>
      <c r="AD101" s="99" t="s">
        <v>95</v>
      </c>
      <c r="AE101" s="99" t="s">
        <v>95</v>
      </c>
      <c r="AF101" s="99">
        <v>7.9000000000000008E-3</v>
      </c>
      <c r="AG101" s="99" t="s">
        <v>95</v>
      </c>
      <c r="AH101" s="99" t="s">
        <v>95</v>
      </c>
      <c r="AI101" s="99">
        <v>4.8999999999999998E-3</v>
      </c>
      <c r="AJ101" s="99">
        <v>0.62</v>
      </c>
      <c r="AK101" s="99">
        <v>29</v>
      </c>
      <c r="AL101" s="99">
        <v>5</v>
      </c>
      <c r="AM101" s="99">
        <v>3.4</v>
      </c>
      <c r="AN101" s="99">
        <v>27</v>
      </c>
      <c r="AO101" s="99">
        <v>2.4</v>
      </c>
      <c r="AP101" s="99">
        <v>2</v>
      </c>
      <c r="AQ101" s="99">
        <v>2.68</v>
      </c>
      <c r="AR101" s="99">
        <v>1.9</v>
      </c>
      <c r="AS101" s="99">
        <v>0.2</v>
      </c>
      <c r="AT101" s="99">
        <v>0.26800000000000002</v>
      </c>
      <c r="AU101" s="99">
        <v>0.4</v>
      </c>
      <c r="AV101" s="99">
        <v>0.1</v>
      </c>
      <c r="AW101" s="99">
        <v>0.13800000000000001</v>
      </c>
      <c r="AX101" s="99">
        <v>20</v>
      </c>
      <c r="AY101" s="99">
        <v>10</v>
      </c>
      <c r="AZ101" s="99">
        <v>0.1</v>
      </c>
      <c r="BA101" s="99">
        <v>10</v>
      </c>
      <c r="BB101" s="99">
        <v>0.9</v>
      </c>
      <c r="BC101" s="99">
        <v>100</v>
      </c>
      <c r="BD101" s="99">
        <v>1</v>
      </c>
      <c r="BE101" s="99">
        <v>180</v>
      </c>
      <c r="BF101" s="99">
        <v>40</v>
      </c>
      <c r="BG101" s="99">
        <v>0.6</v>
      </c>
      <c r="BH101" s="99">
        <v>40</v>
      </c>
      <c r="BI101" s="99">
        <v>0.6</v>
      </c>
      <c r="BJ101" s="99">
        <v>1.05</v>
      </c>
      <c r="BK101" s="99" t="s">
        <v>94</v>
      </c>
      <c r="BL101" s="99">
        <v>1</v>
      </c>
      <c r="BM101" s="99" t="s">
        <v>94</v>
      </c>
      <c r="BN101" s="99">
        <v>1155</v>
      </c>
      <c r="BO101" s="99">
        <v>1.8</v>
      </c>
      <c r="BP101" s="99" t="s">
        <v>93</v>
      </c>
      <c r="BQ101" s="99" t="s">
        <v>283</v>
      </c>
      <c r="BR101" s="99" t="s">
        <v>95</v>
      </c>
      <c r="BS101" s="99">
        <v>2.6</v>
      </c>
      <c r="BT101" s="99">
        <v>4.5</v>
      </c>
      <c r="BU101" s="99">
        <v>8.5</v>
      </c>
      <c r="BV101" s="99">
        <v>5</v>
      </c>
      <c r="BW101" s="99">
        <v>6</v>
      </c>
      <c r="BX101" s="99" t="s">
        <v>94</v>
      </c>
      <c r="BY101" s="107" t="s">
        <v>115</v>
      </c>
      <c r="BZ101" s="99" t="s">
        <v>94</v>
      </c>
      <c r="CA101" s="99" t="s">
        <v>95</v>
      </c>
      <c r="CB101" s="99">
        <v>42781</v>
      </c>
      <c r="CC101" s="99" t="s">
        <v>95</v>
      </c>
      <c r="CD101" s="99">
        <v>3307</v>
      </c>
      <c r="CE101" s="99">
        <v>0.25</v>
      </c>
    </row>
    <row r="102" spans="1:83" x14ac:dyDescent="0.25">
      <c r="A102" s="107" t="s">
        <v>284</v>
      </c>
      <c r="B102" s="107">
        <v>146</v>
      </c>
      <c r="C102" s="107" t="s">
        <v>93</v>
      </c>
      <c r="D102" s="107" t="s">
        <v>93</v>
      </c>
      <c r="E102" s="107" t="s">
        <v>111</v>
      </c>
      <c r="F102" s="107" t="s">
        <v>132</v>
      </c>
      <c r="G102" s="107" t="s">
        <v>261</v>
      </c>
      <c r="H102" s="107" t="s">
        <v>94</v>
      </c>
      <c r="I102" s="107">
        <v>1</v>
      </c>
      <c r="J102" s="107">
        <v>0</v>
      </c>
      <c r="K102" s="107">
        <v>1</v>
      </c>
      <c r="L102" s="107">
        <v>60</v>
      </c>
      <c r="M102" s="107">
        <v>20</v>
      </c>
      <c r="N102" s="107">
        <v>100</v>
      </c>
      <c r="O102" s="107">
        <v>370</v>
      </c>
      <c r="P102" s="107">
        <v>150</v>
      </c>
      <c r="Q102" s="107">
        <v>3.125</v>
      </c>
      <c r="R102" s="107">
        <v>50</v>
      </c>
      <c r="S102" s="107">
        <v>1</v>
      </c>
      <c r="T102" s="107">
        <v>1.5</v>
      </c>
      <c r="U102" s="107">
        <v>2.2999999999999998</v>
      </c>
      <c r="V102" s="107">
        <v>2.9</v>
      </c>
      <c r="W102" s="107">
        <v>1</v>
      </c>
      <c r="X102" s="107">
        <v>40</v>
      </c>
      <c r="Y102" s="107">
        <v>22</v>
      </c>
      <c r="Z102" s="107">
        <v>300</v>
      </c>
      <c r="AA102" s="107">
        <v>128</v>
      </c>
      <c r="AB102" s="107">
        <v>1.2</v>
      </c>
      <c r="AC102" s="107" t="s">
        <v>95</v>
      </c>
      <c r="AD102" s="107" t="s">
        <v>95</v>
      </c>
      <c r="AE102" s="107" t="s">
        <v>95</v>
      </c>
      <c r="AF102" s="107">
        <v>5.7999999999999996E-3</v>
      </c>
      <c r="AG102" s="107" t="s">
        <v>95</v>
      </c>
      <c r="AH102" s="107" t="s">
        <v>95</v>
      </c>
      <c r="AI102" s="107">
        <v>4.5999999999999999E-3</v>
      </c>
      <c r="AJ102" s="107">
        <v>0.95</v>
      </c>
      <c r="AK102" s="107">
        <v>36</v>
      </c>
      <c r="AL102" s="107">
        <v>7</v>
      </c>
      <c r="AM102" s="107">
        <v>5.2</v>
      </c>
      <c r="AN102" s="107">
        <v>36</v>
      </c>
      <c r="AO102" s="107">
        <v>3.48</v>
      </c>
      <c r="AP102" s="107">
        <v>3.2</v>
      </c>
      <c r="AQ102" s="107">
        <v>3.54</v>
      </c>
      <c r="AR102" s="107">
        <v>3.51</v>
      </c>
      <c r="AS102" s="107">
        <v>0.4</v>
      </c>
      <c r="AT102" s="107">
        <v>4.26</v>
      </c>
      <c r="AU102" s="107">
        <v>0.2</v>
      </c>
      <c r="AV102" s="107">
        <v>1.0999999999999999E-2</v>
      </c>
      <c r="AW102" s="107">
        <v>0.215</v>
      </c>
      <c r="AX102" s="107">
        <v>30</v>
      </c>
      <c r="AY102" s="107">
        <v>10</v>
      </c>
      <c r="AZ102" s="107">
        <v>0.1</v>
      </c>
      <c r="BA102" s="107">
        <v>12</v>
      </c>
      <c r="BB102" s="107">
        <v>1.4</v>
      </c>
      <c r="BC102" s="107">
        <v>160</v>
      </c>
      <c r="BD102" s="107">
        <v>2.6</v>
      </c>
      <c r="BE102" s="107">
        <v>160</v>
      </c>
      <c r="BF102" s="107">
        <v>60</v>
      </c>
      <c r="BG102" s="107">
        <v>1.5</v>
      </c>
      <c r="BH102" s="107">
        <v>60</v>
      </c>
      <c r="BI102" s="107">
        <v>0.1</v>
      </c>
      <c r="BJ102" s="107">
        <v>0.28999999999999998</v>
      </c>
      <c r="BK102" s="107" t="s">
        <v>94</v>
      </c>
      <c r="BL102" s="107">
        <v>0.8</v>
      </c>
      <c r="BM102" s="107" t="s">
        <v>95</v>
      </c>
      <c r="BN102" s="107">
        <v>1155</v>
      </c>
      <c r="BO102" s="107">
        <v>3.39</v>
      </c>
      <c r="BP102" s="107" t="s">
        <v>262</v>
      </c>
      <c r="BQ102" s="99" t="s">
        <v>285</v>
      </c>
      <c r="BR102" s="107" t="s">
        <v>95</v>
      </c>
      <c r="BS102" s="107">
        <v>2.4</v>
      </c>
      <c r="BT102" s="107">
        <v>3.4</v>
      </c>
      <c r="BU102" s="107">
        <v>100</v>
      </c>
      <c r="BV102" s="107">
        <v>5.9</v>
      </c>
      <c r="BW102" s="107">
        <v>6.9</v>
      </c>
      <c r="BX102" s="107" t="s">
        <v>95</v>
      </c>
      <c r="BY102" s="107" t="s">
        <v>115</v>
      </c>
      <c r="BZ102" s="107" t="s">
        <v>94</v>
      </c>
      <c r="CA102" s="107" t="s">
        <v>95</v>
      </c>
      <c r="CB102" s="107">
        <v>41163</v>
      </c>
      <c r="CC102" s="107">
        <v>42669</v>
      </c>
      <c r="CD102" s="107">
        <v>2052</v>
      </c>
      <c r="CE102" s="107">
        <v>0.58899999999999997</v>
      </c>
    </row>
    <row r="103" spans="1:83" s="103" customFormat="1" x14ac:dyDescent="0.25">
      <c r="A103" s="99" t="s">
        <v>286</v>
      </c>
      <c r="B103" s="99">
        <v>146</v>
      </c>
      <c r="C103" s="99" t="s">
        <v>93</v>
      </c>
      <c r="D103" s="99" t="s">
        <v>102</v>
      </c>
      <c r="E103" s="99" t="s">
        <v>251</v>
      </c>
      <c r="F103" s="99" t="s">
        <v>265</v>
      </c>
      <c r="G103" s="99" t="s">
        <v>287</v>
      </c>
      <c r="H103" s="99" t="s">
        <v>94</v>
      </c>
      <c r="I103" s="99">
        <v>1</v>
      </c>
      <c r="J103" s="99">
        <v>0</v>
      </c>
      <c r="K103" s="99">
        <v>4</v>
      </c>
      <c r="L103" s="99">
        <v>60</v>
      </c>
      <c r="M103" s="99">
        <v>20</v>
      </c>
      <c r="N103" s="99">
        <v>100</v>
      </c>
      <c r="O103" s="99">
        <v>400</v>
      </c>
      <c r="P103" s="99">
        <v>175</v>
      </c>
      <c r="Q103" s="99">
        <v>2.5</v>
      </c>
      <c r="R103" s="99">
        <v>62</v>
      </c>
      <c r="S103" s="99">
        <v>0.6</v>
      </c>
      <c r="T103" s="99">
        <v>1.5</v>
      </c>
      <c r="U103" s="99">
        <v>2.2000000000000002</v>
      </c>
      <c r="V103" s="99">
        <v>3.44</v>
      </c>
      <c r="W103" s="99">
        <v>1</v>
      </c>
      <c r="X103" s="99">
        <v>57</v>
      </c>
      <c r="Y103" s="99">
        <v>100</v>
      </c>
      <c r="Z103" s="99">
        <v>300</v>
      </c>
      <c r="AA103" s="99">
        <v>187</v>
      </c>
      <c r="AB103" s="99">
        <v>1.3</v>
      </c>
      <c r="AC103" s="107" t="s">
        <v>95</v>
      </c>
      <c r="AD103" s="99" t="s">
        <v>95</v>
      </c>
      <c r="AE103" s="99" t="s">
        <v>95</v>
      </c>
      <c r="AF103" s="99">
        <v>5.3E-3</v>
      </c>
      <c r="AG103" s="99" t="s">
        <v>95</v>
      </c>
      <c r="AH103" s="99" t="s">
        <v>95</v>
      </c>
      <c r="AI103" s="99">
        <v>4.1999999999999997E-3</v>
      </c>
      <c r="AJ103" s="99">
        <v>0.97</v>
      </c>
      <c r="AK103" s="99">
        <v>44</v>
      </c>
      <c r="AL103" s="99">
        <v>10</v>
      </c>
      <c r="AM103" s="99">
        <v>7.3</v>
      </c>
      <c r="AN103" s="99">
        <v>48</v>
      </c>
      <c r="AO103" s="99">
        <v>4.24</v>
      </c>
      <c r="AP103" s="99">
        <v>3.9</v>
      </c>
      <c r="AQ103" s="99">
        <v>4.3</v>
      </c>
      <c r="AR103" s="99">
        <v>4.55</v>
      </c>
      <c r="AS103" s="99">
        <v>0.47</v>
      </c>
      <c r="AT103" s="99">
        <v>5.55</v>
      </c>
      <c r="AU103" s="99">
        <v>0.30399999999999999</v>
      </c>
      <c r="AV103" s="99">
        <v>1.0999999999999999E-2</v>
      </c>
      <c r="AW103" s="99">
        <v>0.35</v>
      </c>
      <c r="AX103" s="99">
        <v>30</v>
      </c>
      <c r="AY103" s="99">
        <v>10</v>
      </c>
      <c r="AZ103" s="99">
        <v>0.1</v>
      </c>
      <c r="BA103" s="99">
        <v>9.5500000000000007</v>
      </c>
      <c r="BB103" s="99">
        <v>3.11</v>
      </c>
      <c r="BC103" s="99">
        <v>300</v>
      </c>
      <c r="BD103" s="99">
        <v>4.63</v>
      </c>
      <c r="BE103" s="99">
        <v>200</v>
      </c>
      <c r="BF103" s="99">
        <v>60</v>
      </c>
      <c r="BG103" s="99">
        <v>1.9</v>
      </c>
      <c r="BH103" s="99">
        <v>60</v>
      </c>
      <c r="BI103" s="99">
        <v>0.1</v>
      </c>
      <c r="BJ103" s="99">
        <v>0.2</v>
      </c>
      <c r="BK103" s="99" t="s">
        <v>94</v>
      </c>
      <c r="BL103" s="99">
        <v>0.8</v>
      </c>
      <c r="BM103" s="99" t="s">
        <v>95</v>
      </c>
      <c r="BN103" s="99">
        <v>42</v>
      </c>
      <c r="BO103" s="99">
        <v>3.85</v>
      </c>
      <c r="BP103" s="99" t="s">
        <v>93</v>
      </c>
      <c r="BQ103" s="99" t="s">
        <v>288</v>
      </c>
      <c r="BR103" s="99" t="s">
        <v>95</v>
      </c>
      <c r="BS103" s="99">
        <v>2.6</v>
      </c>
      <c r="BT103" s="99">
        <v>3.6</v>
      </c>
      <c r="BU103" s="99">
        <v>127</v>
      </c>
      <c r="BV103" s="99">
        <v>6.9</v>
      </c>
      <c r="BW103" s="99">
        <v>10</v>
      </c>
      <c r="BX103" s="99" t="s">
        <v>94</v>
      </c>
      <c r="BY103" s="99" t="s">
        <v>255</v>
      </c>
      <c r="BZ103" s="99" t="s">
        <v>94</v>
      </c>
      <c r="CA103" s="99" t="s">
        <v>95</v>
      </c>
      <c r="CB103" s="99">
        <v>41163</v>
      </c>
      <c r="CC103" s="99">
        <v>42664</v>
      </c>
      <c r="CD103" s="99">
        <v>2535</v>
      </c>
      <c r="CE103" s="99">
        <v>0.81799999999999995</v>
      </c>
    </row>
    <row r="104" spans="1:83" x14ac:dyDescent="0.25">
      <c r="A104" s="107" t="s">
        <v>289</v>
      </c>
      <c r="B104" s="107">
        <v>146</v>
      </c>
      <c r="C104" s="107" t="s">
        <v>93</v>
      </c>
      <c r="D104" s="107" t="s">
        <v>93</v>
      </c>
      <c r="E104" s="107" t="s">
        <v>111</v>
      </c>
      <c r="F104" s="107" t="s">
        <v>172</v>
      </c>
      <c r="G104" s="107" t="s">
        <v>290</v>
      </c>
      <c r="H104" s="107" t="s">
        <v>94</v>
      </c>
      <c r="I104" s="107">
        <v>1</v>
      </c>
      <c r="J104" s="107">
        <v>0</v>
      </c>
      <c r="K104" s="107">
        <v>1</v>
      </c>
      <c r="L104" s="107">
        <v>60</v>
      </c>
      <c r="M104" s="107">
        <v>20</v>
      </c>
      <c r="N104" s="107">
        <v>100</v>
      </c>
      <c r="O104" s="107">
        <v>400</v>
      </c>
      <c r="P104" s="107">
        <v>150</v>
      </c>
      <c r="Q104" s="107">
        <v>3.1</v>
      </c>
      <c r="R104" s="107">
        <v>50</v>
      </c>
      <c r="S104" s="107">
        <v>0.8</v>
      </c>
      <c r="T104" s="107">
        <v>2.4</v>
      </c>
      <c r="U104" s="107">
        <v>3.4</v>
      </c>
      <c r="V104" s="107">
        <v>4.5</v>
      </c>
      <c r="W104" s="107">
        <v>1</v>
      </c>
      <c r="X104" s="107">
        <v>64</v>
      </c>
      <c r="Y104" s="107">
        <v>25</v>
      </c>
      <c r="Z104" s="107">
        <v>300</v>
      </c>
      <c r="AA104" s="107">
        <v>140</v>
      </c>
      <c r="AB104" s="107">
        <v>1.2</v>
      </c>
      <c r="AC104" s="107" t="s">
        <v>95</v>
      </c>
      <c r="AD104" s="107" t="s">
        <v>95</v>
      </c>
      <c r="AE104" s="107" t="s">
        <v>95</v>
      </c>
      <c r="AF104" s="107" t="s">
        <v>95</v>
      </c>
      <c r="AG104" s="107">
        <v>4.4000000000000003E-3</v>
      </c>
      <c r="AH104" s="107" t="s">
        <v>95</v>
      </c>
      <c r="AI104" s="107">
        <v>3.3999999999999998E-3</v>
      </c>
      <c r="AJ104" s="107">
        <v>0.85</v>
      </c>
      <c r="AK104" s="107">
        <v>49</v>
      </c>
      <c r="AL104" s="107">
        <v>9.1999999999999993</v>
      </c>
      <c r="AM104" s="107">
        <v>11</v>
      </c>
      <c r="AN104" s="107">
        <v>48</v>
      </c>
      <c r="AO104" s="107">
        <v>4.3499999999999996</v>
      </c>
      <c r="AP104" s="107">
        <v>4.0999999999999996</v>
      </c>
      <c r="AQ104" s="107">
        <v>4.3899999999999997</v>
      </c>
      <c r="AR104" s="107">
        <v>4.8600000000000003</v>
      </c>
      <c r="AS104" s="107">
        <v>0.495</v>
      </c>
      <c r="AT104" s="107">
        <v>5.9</v>
      </c>
      <c r="AU104" s="107">
        <v>0.248</v>
      </c>
      <c r="AV104" s="107">
        <v>1.6E-2</v>
      </c>
      <c r="AW104" s="107">
        <v>0.26400000000000001</v>
      </c>
      <c r="AX104" s="107">
        <v>30</v>
      </c>
      <c r="AY104" s="107">
        <v>10</v>
      </c>
      <c r="AZ104" s="107">
        <v>0.1</v>
      </c>
      <c r="BA104" s="107">
        <v>9</v>
      </c>
      <c r="BB104" s="107">
        <v>1.89</v>
      </c>
      <c r="BC104" s="107">
        <v>170</v>
      </c>
      <c r="BD104" s="107">
        <v>3.08</v>
      </c>
      <c r="BE104" s="107">
        <v>170</v>
      </c>
      <c r="BF104" s="107">
        <v>60</v>
      </c>
      <c r="BG104" s="107">
        <v>0.86</v>
      </c>
      <c r="BH104" s="107">
        <v>60</v>
      </c>
      <c r="BI104" s="107">
        <v>0.1</v>
      </c>
      <c r="BJ104" s="107">
        <v>0.21</v>
      </c>
      <c r="BK104" s="107" t="s">
        <v>94</v>
      </c>
      <c r="BL104" s="107">
        <v>0.8</v>
      </c>
      <c r="BM104" s="107" t="s">
        <v>95</v>
      </c>
      <c r="BN104" s="107" t="s">
        <v>95</v>
      </c>
      <c r="BO104" s="107" t="s">
        <v>95</v>
      </c>
      <c r="BP104" s="107" t="s">
        <v>93</v>
      </c>
      <c r="BQ104" s="107" t="s">
        <v>291</v>
      </c>
      <c r="BR104" s="107" t="s">
        <v>95</v>
      </c>
      <c r="BS104" s="107">
        <v>2.4</v>
      </c>
      <c r="BT104" s="107">
        <v>4.3</v>
      </c>
      <c r="BU104" s="107">
        <v>139</v>
      </c>
      <c r="BV104" s="107">
        <v>7.9</v>
      </c>
      <c r="BW104" s="107">
        <v>16</v>
      </c>
      <c r="BX104" s="107" t="s">
        <v>94</v>
      </c>
      <c r="BY104" s="107" t="s">
        <v>115</v>
      </c>
      <c r="BZ104" s="107" t="s">
        <v>94</v>
      </c>
      <c r="CA104" s="107" t="s">
        <v>95</v>
      </c>
      <c r="CB104" s="107">
        <v>42577</v>
      </c>
      <c r="CC104" s="107">
        <v>42664</v>
      </c>
      <c r="CD104" s="107">
        <v>2536</v>
      </c>
      <c r="CE104" s="107">
        <v>0.84499999999999997</v>
      </c>
    </row>
    <row r="105" spans="1:83" x14ac:dyDescent="0.25">
      <c r="A105" s="107" t="s">
        <v>292</v>
      </c>
      <c r="B105" s="107">
        <v>146</v>
      </c>
      <c r="C105" s="107" t="s">
        <v>93</v>
      </c>
      <c r="D105" s="107" t="s">
        <v>93</v>
      </c>
      <c r="E105" s="107" t="s">
        <v>111</v>
      </c>
      <c r="F105" s="107" t="s">
        <v>169</v>
      </c>
      <c r="G105" s="107" t="s">
        <v>215</v>
      </c>
      <c r="H105" s="107" t="s">
        <v>94</v>
      </c>
      <c r="I105" s="107">
        <v>1</v>
      </c>
      <c r="J105" s="107">
        <v>0</v>
      </c>
      <c r="K105" s="107">
        <v>1</v>
      </c>
      <c r="L105" s="107">
        <v>60</v>
      </c>
      <c r="M105" s="107">
        <v>20</v>
      </c>
      <c r="N105" s="107">
        <v>100</v>
      </c>
      <c r="O105" s="107">
        <v>400</v>
      </c>
      <c r="P105" s="107">
        <v>150</v>
      </c>
      <c r="Q105" s="107">
        <v>3.125</v>
      </c>
      <c r="R105" s="107">
        <v>50</v>
      </c>
      <c r="S105" s="107">
        <v>0.8</v>
      </c>
      <c r="T105" s="107">
        <v>1.5</v>
      </c>
      <c r="U105" s="107">
        <v>2.2000000000000002</v>
      </c>
      <c r="V105" s="107">
        <v>3.1</v>
      </c>
      <c r="W105" s="107">
        <v>1</v>
      </c>
      <c r="X105" s="107">
        <v>49</v>
      </c>
      <c r="Y105" s="107">
        <v>25</v>
      </c>
      <c r="Z105" s="107">
        <v>300</v>
      </c>
      <c r="AA105" s="107">
        <v>143</v>
      </c>
      <c r="AB105" s="107">
        <v>1.2</v>
      </c>
      <c r="AC105" s="107" t="s">
        <v>95</v>
      </c>
      <c r="AD105" s="107" t="s">
        <v>95</v>
      </c>
      <c r="AE105" s="107" t="s">
        <v>95</v>
      </c>
      <c r="AF105" s="107">
        <v>4.3E-3</v>
      </c>
      <c r="AG105" s="107" t="s">
        <v>95</v>
      </c>
      <c r="AH105" s="107" t="s">
        <v>95</v>
      </c>
      <c r="AI105" s="107">
        <v>3.2000000000000002E-3</v>
      </c>
      <c r="AJ105" s="107">
        <v>1.04</v>
      </c>
      <c r="AK105" s="107">
        <v>44</v>
      </c>
      <c r="AL105" s="107">
        <v>8.75</v>
      </c>
      <c r="AM105" s="107">
        <v>6.3</v>
      </c>
      <c r="AN105" s="107">
        <v>42</v>
      </c>
      <c r="AO105" s="107">
        <v>4.2</v>
      </c>
      <c r="AP105" s="107">
        <v>4</v>
      </c>
      <c r="AQ105" s="107">
        <v>4.3</v>
      </c>
      <c r="AR105" s="107">
        <v>4.3600000000000003</v>
      </c>
      <c r="AS105" s="107">
        <v>0.48</v>
      </c>
      <c r="AT105" s="107">
        <v>5.22</v>
      </c>
      <c r="AU105" s="107">
        <v>0.25600000000000001</v>
      </c>
      <c r="AV105" s="107">
        <v>1.4E-2</v>
      </c>
      <c r="AW105" s="107">
        <v>0.26</v>
      </c>
      <c r="AX105" s="107">
        <v>30</v>
      </c>
      <c r="AY105" s="107">
        <v>10</v>
      </c>
      <c r="AZ105" s="107">
        <v>0.1</v>
      </c>
      <c r="BA105" s="107">
        <v>17</v>
      </c>
      <c r="BB105" s="107">
        <v>1.4</v>
      </c>
      <c r="BC105" s="107">
        <v>200</v>
      </c>
      <c r="BD105" s="107">
        <v>2.6</v>
      </c>
      <c r="BE105" s="107">
        <v>200</v>
      </c>
      <c r="BF105" s="107">
        <v>60</v>
      </c>
      <c r="BG105" s="107">
        <v>0.9</v>
      </c>
      <c r="BH105" s="107">
        <v>60</v>
      </c>
      <c r="BI105" s="107">
        <v>0.1</v>
      </c>
      <c r="BJ105" s="107">
        <v>0.23</v>
      </c>
      <c r="BK105" s="107" t="s">
        <v>94</v>
      </c>
      <c r="BL105" s="107">
        <v>0.8</v>
      </c>
      <c r="BM105" s="107" t="s">
        <v>95</v>
      </c>
      <c r="BN105" s="107">
        <v>1345</v>
      </c>
      <c r="BO105" s="107">
        <v>4.03</v>
      </c>
      <c r="BP105" s="107" t="s">
        <v>93</v>
      </c>
      <c r="BQ105" s="107" t="s">
        <v>293</v>
      </c>
      <c r="BR105" s="107" t="s">
        <v>95</v>
      </c>
      <c r="BS105" s="107">
        <v>2.4</v>
      </c>
      <c r="BT105" s="107">
        <v>3.2</v>
      </c>
      <c r="BU105" s="107">
        <v>111</v>
      </c>
      <c r="BV105" s="107">
        <v>6.9</v>
      </c>
      <c r="BW105" s="107">
        <v>10</v>
      </c>
      <c r="BX105" s="107" t="s">
        <v>95</v>
      </c>
      <c r="BY105" s="107" t="s">
        <v>115</v>
      </c>
      <c r="BZ105" s="107" t="s">
        <v>95</v>
      </c>
      <c r="CA105" s="107" t="s">
        <v>95</v>
      </c>
      <c r="CB105" s="107" t="s">
        <v>95</v>
      </c>
      <c r="CC105" s="107">
        <v>42564</v>
      </c>
      <c r="CD105" s="107">
        <v>2053</v>
      </c>
      <c r="CE105" s="107">
        <v>0.84499999999999997</v>
      </c>
    </row>
    <row r="106" spans="1:83" x14ac:dyDescent="0.25">
      <c r="A106" s="99" t="s">
        <v>294</v>
      </c>
      <c r="B106" s="99">
        <v>146</v>
      </c>
      <c r="C106" s="99" t="s">
        <v>93</v>
      </c>
      <c r="D106" s="99" t="s">
        <v>94</v>
      </c>
      <c r="E106" s="99" t="s">
        <v>251</v>
      </c>
      <c r="F106" s="99" t="s">
        <v>252</v>
      </c>
      <c r="G106" s="99" t="s">
        <v>253</v>
      </c>
      <c r="H106" s="99" t="s">
        <v>94</v>
      </c>
      <c r="I106" s="99">
        <v>1</v>
      </c>
      <c r="J106" s="99">
        <v>0</v>
      </c>
      <c r="K106" s="99">
        <v>4</v>
      </c>
      <c r="L106" s="99">
        <v>60</v>
      </c>
      <c r="M106" s="99">
        <v>20</v>
      </c>
      <c r="N106" s="99">
        <v>100</v>
      </c>
      <c r="O106" s="99">
        <v>294</v>
      </c>
      <c r="P106" s="99">
        <v>175</v>
      </c>
      <c r="Q106" s="99">
        <v>192</v>
      </c>
      <c r="R106" s="99">
        <v>62</v>
      </c>
      <c r="S106" s="99">
        <v>0.8</v>
      </c>
      <c r="T106" s="99">
        <v>1.5</v>
      </c>
      <c r="U106" s="99">
        <v>2.2999999999999998</v>
      </c>
      <c r="V106" s="99">
        <v>3.79</v>
      </c>
      <c r="W106" s="99">
        <v>1</v>
      </c>
      <c r="X106" s="99">
        <v>49</v>
      </c>
      <c r="Y106" s="99">
        <v>75</v>
      </c>
      <c r="Z106" s="99">
        <v>300</v>
      </c>
      <c r="AA106" s="99">
        <v>150</v>
      </c>
      <c r="AB106" s="99">
        <v>1.4</v>
      </c>
      <c r="AC106" s="107" t="s">
        <v>95</v>
      </c>
      <c r="AD106" s="99" t="s">
        <v>95</v>
      </c>
      <c r="AE106" s="99" t="s">
        <v>95</v>
      </c>
      <c r="AF106" s="99">
        <v>8.9999999999999993E-3</v>
      </c>
      <c r="AG106" s="99" t="s">
        <v>95</v>
      </c>
      <c r="AH106" s="99" t="s">
        <v>95</v>
      </c>
      <c r="AI106" s="99">
        <v>6.3E-3</v>
      </c>
      <c r="AJ106" s="99">
        <v>0.96</v>
      </c>
      <c r="AK106" s="99">
        <v>28</v>
      </c>
      <c r="AL106" s="99">
        <v>6</v>
      </c>
      <c r="AM106" s="99">
        <v>4.5999999999999996</v>
      </c>
      <c r="AN106" s="99">
        <v>30</v>
      </c>
      <c r="AO106" s="99">
        <v>2.4500000000000002</v>
      </c>
      <c r="AP106" s="99">
        <v>2.42</v>
      </c>
      <c r="AQ106" s="99">
        <v>2.5</v>
      </c>
      <c r="AR106" s="99">
        <v>2.29</v>
      </c>
      <c r="AS106" s="99">
        <v>0.3</v>
      </c>
      <c r="AT106" s="99">
        <v>2.8</v>
      </c>
      <c r="AU106" s="99">
        <v>0.23200000000000001</v>
      </c>
      <c r="AV106" s="99">
        <v>7.0000000000000001E-3</v>
      </c>
      <c r="AW106" s="99">
        <v>0.28000000000000003</v>
      </c>
      <c r="AX106" s="99">
        <v>30</v>
      </c>
      <c r="AY106" s="99">
        <v>10</v>
      </c>
      <c r="AZ106" s="99">
        <v>0.1</v>
      </c>
      <c r="BA106" s="99">
        <v>7.23</v>
      </c>
      <c r="BB106" s="99">
        <v>1.74</v>
      </c>
      <c r="BC106" s="99">
        <v>125</v>
      </c>
      <c r="BD106" s="99">
        <v>2.79</v>
      </c>
      <c r="BE106" s="99">
        <v>125</v>
      </c>
      <c r="BF106" s="99">
        <v>60</v>
      </c>
      <c r="BG106" s="99">
        <v>0.68</v>
      </c>
      <c r="BH106" s="99">
        <v>60</v>
      </c>
      <c r="BI106" s="99">
        <v>0.1</v>
      </c>
      <c r="BJ106" s="99">
        <v>0.36</v>
      </c>
      <c r="BK106" s="99" t="s">
        <v>94</v>
      </c>
      <c r="BL106" s="99">
        <v>0.8</v>
      </c>
      <c r="BM106" s="99" t="s">
        <v>95</v>
      </c>
      <c r="BN106" s="99">
        <v>42</v>
      </c>
      <c r="BO106" s="99">
        <v>2.2200000000000002</v>
      </c>
      <c r="BP106" s="99" t="s">
        <v>93</v>
      </c>
      <c r="BQ106" s="99" t="s">
        <v>295</v>
      </c>
      <c r="BR106" s="99" t="s">
        <v>95</v>
      </c>
      <c r="BS106" s="99">
        <v>2.8</v>
      </c>
      <c r="BT106" s="99">
        <v>4</v>
      </c>
      <c r="BU106" s="99">
        <v>97</v>
      </c>
      <c r="BV106" s="99">
        <v>3.9</v>
      </c>
      <c r="BW106" s="99">
        <v>9.4</v>
      </c>
      <c r="BX106" s="99" t="s">
        <v>95</v>
      </c>
      <c r="BY106" s="99" t="s">
        <v>255</v>
      </c>
      <c r="BZ106" s="99" t="s">
        <v>95</v>
      </c>
      <c r="CA106" s="99" t="s">
        <v>95</v>
      </c>
      <c r="CB106" s="99">
        <v>42577</v>
      </c>
      <c r="CC106" s="99">
        <v>42577</v>
      </c>
      <c r="CD106" s="99">
        <v>2537</v>
      </c>
      <c r="CE106" s="99">
        <v>0.57399999999999995</v>
      </c>
    </row>
    <row r="107" spans="1:83" x14ac:dyDescent="0.25">
      <c r="A107" s="107" t="s">
        <v>296</v>
      </c>
      <c r="B107" s="107">
        <v>146</v>
      </c>
      <c r="C107" s="107" t="s">
        <v>93</v>
      </c>
      <c r="D107" s="107" t="s">
        <v>93</v>
      </c>
      <c r="E107" s="107" t="s">
        <v>111</v>
      </c>
      <c r="F107" s="107" t="s">
        <v>247</v>
      </c>
      <c r="G107" s="107" t="s">
        <v>297</v>
      </c>
      <c r="H107" s="107" t="s">
        <v>94</v>
      </c>
      <c r="I107" s="107">
        <v>1</v>
      </c>
      <c r="J107" s="107">
        <v>0</v>
      </c>
      <c r="K107" s="107">
        <v>1</v>
      </c>
      <c r="L107" s="107">
        <v>60</v>
      </c>
      <c r="M107" s="107">
        <v>20</v>
      </c>
      <c r="N107" s="107">
        <v>100</v>
      </c>
      <c r="O107" s="107">
        <v>267</v>
      </c>
      <c r="P107" s="107">
        <v>150</v>
      </c>
      <c r="Q107" s="107">
        <v>3.2</v>
      </c>
      <c r="R107" s="107">
        <v>50</v>
      </c>
      <c r="S107" s="107">
        <v>1.3</v>
      </c>
      <c r="T107" s="107">
        <v>1.5</v>
      </c>
      <c r="U107" s="107">
        <v>2.2999999999999998</v>
      </c>
      <c r="V107" s="107">
        <v>3.24</v>
      </c>
      <c r="W107" s="107">
        <v>1</v>
      </c>
      <c r="X107" s="107">
        <v>40</v>
      </c>
      <c r="Y107" s="107">
        <v>18</v>
      </c>
      <c r="Z107" s="107">
        <v>300</v>
      </c>
      <c r="AA107" s="107">
        <v>122</v>
      </c>
      <c r="AB107" s="107">
        <v>1.3</v>
      </c>
      <c r="AC107" s="107" t="s">
        <v>95</v>
      </c>
      <c r="AD107" s="107" t="s">
        <v>95</v>
      </c>
      <c r="AE107" s="107" t="s">
        <v>95</v>
      </c>
      <c r="AF107" s="107">
        <v>8.5000000000000006E-3</v>
      </c>
      <c r="AG107" s="107" t="s">
        <v>95</v>
      </c>
      <c r="AH107" s="107" t="s">
        <v>95</v>
      </c>
      <c r="AI107" s="107">
        <v>5.8999999999999999E-3</v>
      </c>
      <c r="AJ107" s="107">
        <v>1</v>
      </c>
      <c r="AK107" s="107">
        <v>29</v>
      </c>
      <c r="AL107" s="107">
        <v>5</v>
      </c>
      <c r="AM107" s="107">
        <v>4.7</v>
      </c>
      <c r="AN107" s="107">
        <v>28</v>
      </c>
      <c r="AO107" s="107">
        <v>2.44</v>
      </c>
      <c r="AP107" s="107">
        <v>2.2000000000000002</v>
      </c>
      <c r="AQ107" s="107">
        <v>2.48</v>
      </c>
      <c r="AR107" s="107">
        <v>2.25</v>
      </c>
      <c r="AS107" s="107">
        <v>0.29199999999999998</v>
      </c>
      <c r="AT107" s="107">
        <v>2.65</v>
      </c>
      <c r="AU107" s="107">
        <v>0.23400000000000001</v>
      </c>
      <c r="AV107" s="107">
        <v>7.0000000000000001E-3</v>
      </c>
      <c r="AW107" s="107">
        <v>0.28000000000000003</v>
      </c>
      <c r="AX107" s="107">
        <v>30</v>
      </c>
      <c r="AY107" s="107">
        <v>10</v>
      </c>
      <c r="AZ107" s="107">
        <v>0.1</v>
      </c>
      <c r="BA107" s="107">
        <v>8.5</v>
      </c>
      <c r="BB107" s="107">
        <v>1.18</v>
      </c>
      <c r="BC107" s="107">
        <v>100</v>
      </c>
      <c r="BD107" s="107">
        <v>2.4900000000000002</v>
      </c>
      <c r="BE107" s="107">
        <v>100</v>
      </c>
      <c r="BF107" s="107">
        <v>60</v>
      </c>
      <c r="BG107" s="107">
        <v>0.69</v>
      </c>
      <c r="BH107" s="107">
        <v>60</v>
      </c>
      <c r="BI107" s="107">
        <v>0.1</v>
      </c>
      <c r="BJ107" s="107">
        <v>0.4</v>
      </c>
      <c r="BK107" s="107" t="s">
        <v>94</v>
      </c>
      <c r="BL107" s="107">
        <v>0.8</v>
      </c>
      <c r="BM107" s="107" t="s">
        <v>95</v>
      </c>
      <c r="BN107" s="107">
        <v>1155</v>
      </c>
      <c r="BO107" s="107">
        <v>2.2000000000000002</v>
      </c>
      <c r="BP107" s="107" t="s">
        <v>93</v>
      </c>
      <c r="BQ107" s="107" t="s">
        <v>298</v>
      </c>
      <c r="BR107" s="107" t="s">
        <v>95</v>
      </c>
      <c r="BS107" s="107">
        <v>2.6</v>
      </c>
      <c r="BT107" s="107">
        <v>3.7</v>
      </c>
      <c r="BU107" s="107">
        <v>68</v>
      </c>
      <c r="BV107" s="107">
        <v>5.4</v>
      </c>
      <c r="BW107" s="107">
        <v>6.6</v>
      </c>
      <c r="BX107" s="107" t="s">
        <v>94</v>
      </c>
      <c r="BY107" s="107" t="s">
        <v>115</v>
      </c>
      <c r="BZ107" s="107" t="s">
        <v>94</v>
      </c>
      <c r="CA107" s="107" t="s">
        <v>95</v>
      </c>
      <c r="CB107" s="107">
        <v>42577</v>
      </c>
      <c r="CC107" s="107">
        <v>42664</v>
      </c>
      <c r="CD107" s="107">
        <v>2538</v>
      </c>
      <c r="CE107" s="107">
        <v>0.46400000000000002</v>
      </c>
    </row>
    <row r="108" spans="1:83" x14ac:dyDescent="0.25">
      <c r="A108" s="99" t="s">
        <v>299</v>
      </c>
      <c r="B108" s="99">
        <v>146</v>
      </c>
      <c r="C108" s="99" t="s">
        <v>93</v>
      </c>
      <c r="D108" s="99" t="s">
        <v>102</v>
      </c>
      <c r="E108" s="99" t="s">
        <v>251</v>
      </c>
      <c r="F108" s="99" t="s">
        <v>265</v>
      </c>
      <c r="G108" s="99" t="s">
        <v>300</v>
      </c>
      <c r="H108" s="99" t="s">
        <v>94</v>
      </c>
      <c r="I108" s="99">
        <v>1</v>
      </c>
      <c r="J108" s="99">
        <v>0</v>
      </c>
      <c r="K108" s="99">
        <v>4</v>
      </c>
      <c r="L108" s="99">
        <v>60</v>
      </c>
      <c r="M108" s="99">
        <v>20</v>
      </c>
      <c r="N108" s="99">
        <v>100</v>
      </c>
      <c r="O108" s="99">
        <v>164</v>
      </c>
      <c r="P108" s="99">
        <v>175</v>
      </c>
      <c r="Q108" s="99">
        <v>107</v>
      </c>
      <c r="R108" s="99">
        <v>62</v>
      </c>
      <c r="S108" s="99">
        <v>1.3</v>
      </c>
      <c r="T108" s="99">
        <v>1.5</v>
      </c>
      <c r="U108" s="99">
        <v>2.2999999999999998</v>
      </c>
      <c r="V108" s="99">
        <v>3.29</v>
      </c>
      <c r="W108" s="99">
        <v>1</v>
      </c>
      <c r="X108" s="99">
        <v>49</v>
      </c>
      <c r="Y108" s="99">
        <v>40</v>
      </c>
      <c r="Z108" s="99">
        <v>300</v>
      </c>
      <c r="AA108" s="99">
        <v>100</v>
      </c>
      <c r="AB108" s="99">
        <v>1.5</v>
      </c>
      <c r="AC108" s="107" t="s">
        <v>95</v>
      </c>
      <c r="AD108" s="99" t="s">
        <v>95</v>
      </c>
      <c r="AE108" s="99" t="s">
        <v>95</v>
      </c>
      <c r="AF108" s="99">
        <v>1.3299999999999999E-2</v>
      </c>
      <c r="AG108" s="99" t="s">
        <v>95</v>
      </c>
      <c r="AH108" s="99" t="s">
        <v>95</v>
      </c>
      <c r="AI108" s="99">
        <v>9.4999999999999998E-3</v>
      </c>
      <c r="AJ108" s="99">
        <v>1.05</v>
      </c>
      <c r="AK108" s="99">
        <v>19</v>
      </c>
      <c r="AL108" s="99">
        <v>4</v>
      </c>
      <c r="AM108" s="99">
        <v>3.3</v>
      </c>
      <c r="AN108" s="99">
        <v>18.5</v>
      </c>
      <c r="AO108" s="99">
        <v>1.45</v>
      </c>
      <c r="AP108" s="99">
        <v>1.4</v>
      </c>
      <c r="AQ108" s="99">
        <v>1.5</v>
      </c>
      <c r="AR108" s="99">
        <v>1.45</v>
      </c>
      <c r="AS108" s="99">
        <v>0.16400000000000001</v>
      </c>
      <c r="AT108" s="99">
        <v>1.7</v>
      </c>
      <c r="AU108" s="99">
        <v>0.14000000000000001</v>
      </c>
      <c r="AV108" s="99">
        <v>5.0000000000000001E-3</v>
      </c>
      <c r="AW108" s="99">
        <v>0.16</v>
      </c>
      <c r="AX108" s="99">
        <v>30</v>
      </c>
      <c r="AY108" s="99">
        <v>10</v>
      </c>
      <c r="AZ108" s="99">
        <v>0.4</v>
      </c>
      <c r="BA108" s="99">
        <v>4.55</v>
      </c>
      <c r="BB108" s="99">
        <v>1.7</v>
      </c>
      <c r="BC108" s="99">
        <v>82</v>
      </c>
      <c r="BD108" s="99">
        <v>2.5299999999999998</v>
      </c>
      <c r="BE108" s="99">
        <v>82</v>
      </c>
      <c r="BF108" s="99">
        <v>60</v>
      </c>
      <c r="BG108" s="99">
        <v>0.88</v>
      </c>
      <c r="BH108" s="99">
        <v>60</v>
      </c>
      <c r="BI108" s="99">
        <v>0.1</v>
      </c>
      <c r="BJ108" s="99">
        <v>0.59</v>
      </c>
      <c r="BK108" s="99" t="s">
        <v>94</v>
      </c>
      <c r="BL108" s="99">
        <v>0.8</v>
      </c>
      <c r="BM108" s="99" t="s">
        <v>95</v>
      </c>
      <c r="BN108" s="99">
        <v>42</v>
      </c>
      <c r="BO108" s="99">
        <v>1.34</v>
      </c>
      <c r="BP108" s="99" t="s">
        <v>93</v>
      </c>
      <c r="BQ108" s="99" t="s">
        <v>301</v>
      </c>
      <c r="BR108" s="99" t="s">
        <v>95</v>
      </c>
      <c r="BS108" s="99">
        <v>3</v>
      </c>
      <c r="BT108" s="99">
        <v>3.5</v>
      </c>
      <c r="BU108" s="99">
        <v>68</v>
      </c>
      <c r="BV108" s="99">
        <v>3.1</v>
      </c>
      <c r="BW108" s="99">
        <v>4.8</v>
      </c>
      <c r="BX108" s="99" t="s">
        <v>94</v>
      </c>
      <c r="BY108" s="99" t="s">
        <v>255</v>
      </c>
      <c r="BZ108" s="99" t="s">
        <v>94</v>
      </c>
      <c r="CA108" s="99" t="s">
        <v>95</v>
      </c>
      <c r="CB108" s="99">
        <v>42577</v>
      </c>
      <c r="CC108" s="99">
        <v>42664</v>
      </c>
      <c r="CD108" s="99">
        <v>2539</v>
      </c>
      <c r="CE108" s="99">
        <v>0.46300000000000002</v>
      </c>
    </row>
    <row r="109" spans="1:83" x14ac:dyDescent="0.25">
      <c r="A109" s="107" t="s">
        <v>302</v>
      </c>
      <c r="B109" s="107">
        <v>146</v>
      </c>
      <c r="C109" s="107" t="s">
        <v>93</v>
      </c>
      <c r="D109" s="107" t="s">
        <v>93</v>
      </c>
      <c r="E109" s="107" t="s">
        <v>111</v>
      </c>
      <c r="F109" s="107" t="s">
        <v>247</v>
      </c>
      <c r="G109" s="107" t="s">
        <v>253</v>
      </c>
      <c r="H109" s="107" t="s">
        <v>94</v>
      </c>
      <c r="I109" s="107">
        <v>1</v>
      </c>
      <c r="J109" s="107">
        <v>0</v>
      </c>
      <c r="K109" s="107">
        <v>1</v>
      </c>
      <c r="L109" s="107">
        <v>60</v>
      </c>
      <c r="M109" s="107">
        <v>20</v>
      </c>
      <c r="N109" s="107">
        <v>50</v>
      </c>
      <c r="O109" s="107">
        <v>229</v>
      </c>
      <c r="P109" s="107">
        <v>150</v>
      </c>
      <c r="Q109" s="107">
        <v>3.1</v>
      </c>
      <c r="R109" s="107">
        <v>50</v>
      </c>
      <c r="S109" s="107">
        <v>2</v>
      </c>
      <c r="T109" s="107">
        <v>1.5</v>
      </c>
      <c r="U109" s="107">
        <v>2.2999999999999998</v>
      </c>
      <c r="V109" s="107">
        <v>2.81</v>
      </c>
      <c r="W109" s="107">
        <v>1</v>
      </c>
      <c r="X109" s="107">
        <v>40</v>
      </c>
      <c r="Y109" s="107">
        <v>14</v>
      </c>
      <c r="Z109" s="107">
        <v>300</v>
      </c>
      <c r="AA109" s="107">
        <v>72</v>
      </c>
      <c r="AB109" s="107">
        <v>1.5</v>
      </c>
      <c r="AC109" s="107" t="s">
        <v>95</v>
      </c>
      <c r="AD109" s="107" t="s">
        <v>95</v>
      </c>
      <c r="AE109" s="107" t="s">
        <v>95</v>
      </c>
      <c r="AF109" s="107">
        <v>1.24E-2</v>
      </c>
      <c r="AG109" s="107" t="s">
        <v>95</v>
      </c>
      <c r="AH109" s="107" t="s">
        <v>95</v>
      </c>
      <c r="AI109" s="107">
        <v>9.7999999999999997E-3</v>
      </c>
      <c r="AJ109" s="107">
        <v>0.94</v>
      </c>
      <c r="AK109" s="107">
        <v>17</v>
      </c>
      <c r="AL109" s="107">
        <v>4.0999999999999996</v>
      </c>
      <c r="AM109" s="107">
        <v>2.6</v>
      </c>
      <c r="AN109" s="107">
        <v>17</v>
      </c>
      <c r="AO109" s="107">
        <v>1.46</v>
      </c>
      <c r="AP109" s="107">
        <v>1.36</v>
      </c>
      <c r="AQ109" s="107">
        <v>1.48</v>
      </c>
      <c r="AR109" s="107">
        <v>1.55</v>
      </c>
      <c r="AS109" s="107">
        <v>0.16700000000000001</v>
      </c>
      <c r="AT109" s="107">
        <v>1.89</v>
      </c>
      <c r="AU109" s="107">
        <v>0.14000000000000001</v>
      </c>
      <c r="AV109" s="107">
        <v>5.0000000000000001E-3</v>
      </c>
      <c r="AW109" s="107">
        <v>0.158</v>
      </c>
      <c r="AX109" s="107">
        <v>30</v>
      </c>
      <c r="AY109" s="107">
        <v>10</v>
      </c>
      <c r="AZ109" s="107">
        <v>0.1</v>
      </c>
      <c r="BA109" s="107">
        <v>5.3</v>
      </c>
      <c r="BB109" s="107">
        <v>1.08</v>
      </c>
      <c r="BC109" s="107">
        <v>56.6</v>
      </c>
      <c r="BD109" s="107">
        <v>3.1</v>
      </c>
      <c r="BE109" s="107">
        <v>56.6</v>
      </c>
      <c r="BF109" s="107">
        <v>60</v>
      </c>
      <c r="BG109" s="107">
        <v>0.77</v>
      </c>
      <c r="BH109" s="107">
        <v>60</v>
      </c>
      <c r="BI109" s="107">
        <v>0.1</v>
      </c>
      <c r="BJ109" s="107">
        <v>0.63</v>
      </c>
      <c r="BK109" s="107" t="s">
        <v>94</v>
      </c>
      <c r="BL109" s="107">
        <v>0.8</v>
      </c>
      <c r="BM109" s="107" t="s">
        <v>95</v>
      </c>
      <c r="BN109" s="107">
        <v>1155</v>
      </c>
      <c r="BO109" s="107">
        <v>1.34</v>
      </c>
      <c r="BP109" s="107" t="s">
        <v>93</v>
      </c>
      <c r="BQ109" s="107" t="s">
        <v>303</v>
      </c>
      <c r="BR109" s="107" t="s">
        <v>95</v>
      </c>
      <c r="BS109" s="107">
        <v>3</v>
      </c>
      <c r="BT109" s="107">
        <v>3.5</v>
      </c>
      <c r="BU109" s="107">
        <v>54</v>
      </c>
      <c r="BV109" s="107">
        <v>3.5</v>
      </c>
      <c r="BW109" s="107">
        <v>3.2</v>
      </c>
      <c r="BX109" s="107" t="s">
        <v>95</v>
      </c>
      <c r="BY109" s="107" t="s">
        <v>115</v>
      </c>
      <c r="BZ109" s="107" t="s">
        <v>95</v>
      </c>
      <c r="CA109" s="107" t="s">
        <v>95</v>
      </c>
      <c r="CB109" s="107">
        <v>42577</v>
      </c>
      <c r="CC109" s="107">
        <v>42577</v>
      </c>
      <c r="CD109" s="107">
        <v>2540</v>
      </c>
      <c r="CE109" s="107">
        <v>0.32600000000000001</v>
      </c>
    </row>
    <row r="110" spans="1:83" x14ac:dyDescent="0.25">
      <c r="A110" s="99" t="s">
        <v>304</v>
      </c>
      <c r="B110" s="99">
        <v>146</v>
      </c>
      <c r="C110" s="99" t="s">
        <v>93</v>
      </c>
      <c r="D110" s="99" t="s">
        <v>102</v>
      </c>
      <c r="E110" s="99" t="s">
        <v>251</v>
      </c>
      <c r="F110" s="99" t="s">
        <v>265</v>
      </c>
      <c r="G110" s="99" t="s">
        <v>305</v>
      </c>
      <c r="H110" s="99" t="s">
        <v>94</v>
      </c>
      <c r="I110" s="99">
        <v>1</v>
      </c>
      <c r="J110" s="99">
        <v>0</v>
      </c>
      <c r="K110" s="99">
        <v>4</v>
      </c>
      <c r="L110" s="99">
        <v>60</v>
      </c>
      <c r="M110" s="99">
        <v>20</v>
      </c>
      <c r="N110" s="99">
        <v>200</v>
      </c>
      <c r="O110" s="99">
        <v>400</v>
      </c>
      <c r="P110" s="99">
        <v>175</v>
      </c>
      <c r="Q110" s="99">
        <v>300</v>
      </c>
      <c r="R110" s="99">
        <v>62</v>
      </c>
      <c r="S110" s="99">
        <v>0.5</v>
      </c>
      <c r="T110" s="99">
        <v>1.4</v>
      </c>
      <c r="U110" s="99">
        <v>2.4</v>
      </c>
      <c r="V110" s="99">
        <v>3.4</v>
      </c>
      <c r="W110" s="99">
        <v>1</v>
      </c>
      <c r="X110" s="99">
        <v>63</v>
      </c>
      <c r="Y110" s="99">
        <v>100</v>
      </c>
      <c r="Z110" s="99">
        <v>300</v>
      </c>
      <c r="AA110" s="99">
        <v>263</v>
      </c>
      <c r="AB110" s="99">
        <v>0.8</v>
      </c>
      <c r="AC110" s="107" t="s">
        <v>95</v>
      </c>
      <c r="AD110" s="99" t="s">
        <v>95</v>
      </c>
      <c r="AE110" s="99" t="s">
        <v>95</v>
      </c>
      <c r="AF110" s="99">
        <v>2.8999999999999998E-3</v>
      </c>
      <c r="AG110" s="99" t="s">
        <v>95</v>
      </c>
      <c r="AH110" s="99" t="s">
        <v>95</v>
      </c>
      <c r="AI110" s="99">
        <v>2E-3</v>
      </c>
      <c r="AJ110" s="99">
        <v>0.75</v>
      </c>
      <c r="AK110" s="99">
        <v>63</v>
      </c>
      <c r="AL110" s="99">
        <v>13</v>
      </c>
      <c r="AM110" s="99">
        <v>9.4</v>
      </c>
      <c r="AN110" s="99">
        <v>62</v>
      </c>
      <c r="AO110" s="99">
        <v>5.5</v>
      </c>
      <c r="AP110" s="99">
        <v>5.09</v>
      </c>
      <c r="AQ110" s="99">
        <v>5.59</v>
      </c>
      <c r="AR110" s="99">
        <v>9.9499999999999993</v>
      </c>
      <c r="AS110" s="99">
        <v>0.89</v>
      </c>
      <c r="AT110" s="99">
        <v>11.6</v>
      </c>
      <c r="AU110" s="99">
        <v>0.55700000000000005</v>
      </c>
      <c r="AV110" s="99">
        <v>2.4E-2</v>
      </c>
      <c r="AW110" s="99">
        <v>0.66200000000000003</v>
      </c>
      <c r="AX110" s="99">
        <v>30</v>
      </c>
      <c r="AY110" s="99">
        <v>10</v>
      </c>
      <c r="AZ110" s="99">
        <v>0.1</v>
      </c>
      <c r="BA110" s="99">
        <v>26</v>
      </c>
      <c r="BB110" s="99">
        <v>1.54</v>
      </c>
      <c r="BC110" s="99">
        <v>400</v>
      </c>
      <c r="BD110" s="99">
        <v>3.69</v>
      </c>
      <c r="BE110" s="99">
        <v>255</v>
      </c>
      <c r="BF110" s="99">
        <v>100</v>
      </c>
      <c r="BG110" s="99">
        <v>0.85</v>
      </c>
      <c r="BH110" s="99">
        <v>100</v>
      </c>
      <c r="BI110" s="99">
        <v>0.1</v>
      </c>
      <c r="BJ110" s="99">
        <v>0.17</v>
      </c>
      <c r="BK110" s="99" t="s">
        <v>94</v>
      </c>
      <c r="BL110" s="99">
        <v>0.9</v>
      </c>
      <c r="BM110" s="99" t="s">
        <v>95</v>
      </c>
      <c r="BN110" s="99" t="s">
        <v>95</v>
      </c>
      <c r="BO110" s="99" t="s">
        <v>95</v>
      </c>
      <c r="BP110" s="99" t="s">
        <v>93</v>
      </c>
      <c r="BQ110" s="99" t="s">
        <v>306</v>
      </c>
      <c r="BR110" s="99" t="s">
        <v>95</v>
      </c>
      <c r="BS110" s="99">
        <v>1.6</v>
      </c>
      <c r="BT110" s="99">
        <v>3.9</v>
      </c>
      <c r="BU110" s="99">
        <v>214</v>
      </c>
      <c r="BV110" s="99">
        <v>10.4</v>
      </c>
      <c r="BW110" s="99">
        <v>15.7</v>
      </c>
      <c r="BX110" s="99" t="s">
        <v>94</v>
      </c>
      <c r="BY110" s="99" t="s">
        <v>255</v>
      </c>
      <c r="BZ110" s="99" t="s">
        <v>94</v>
      </c>
      <c r="CA110" s="99" t="s">
        <v>95</v>
      </c>
      <c r="CB110" s="99">
        <v>42577</v>
      </c>
      <c r="CC110" s="99">
        <v>42664</v>
      </c>
      <c r="CD110" s="99">
        <v>2541</v>
      </c>
      <c r="CE110" s="99">
        <v>1.22</v>
      </c>
    </row>
    <row r="111" spans="1:83" x14ac:dyDescent="0.25">
      <c r="A111" s="99" t="s">
        <v>307</v>
      </c>
      <c r="B111" s="99">
        <v>146</v>
      </c>
      <c r="C111" s="99" t="s">
        <v>93</v>
      </c>
      <c r="D111" s="99" t="s">
        <v>94</v>
      </c>
      <c r="E111" s="99" t="s">
        <v>251</v>
      </c>
      <c r="F111" s="99" t="s">
        <v>273</v>
      </c>
      <c r="G111" s="99" t="s">
        <v>103</v>
      </c>
      <c r="H111" s="99" t="s">
        <v>94</v>
      </c>
      <c r="I111" s="99">
        <v>1</v>
      </c>
      <c r="J111" s="99">
        <v>0</v>
      </c>
      <c r="K111" s="99">
        <v>1</v>
      </c>
      <c r="L111" s="99">
        <v>60</v>
      </c>
      <c r="M111" s="99">
        <v>20</v>
      </c>
      <c r="N111" s="99">
        <v>200</v>
      </c>
      <c r="O111" s="99">
        <v>400</v>
      </c>
      <c r="P111" s="99">
        <v>175</v>
      </c>
      <c r="Q111" s="99">
        <v>300</v>
      </c>
      <c r="R111" s="99">
        <v>62</v>
      </c>
      <c r="S111" s="99">
        <v>0.5</v>
      </c>
      <c r="T111" s="99">
        <v>1.4</v>
      </c>
      <c r="U111" s="99">
        <v>2.4</v>
      </c>
      <c r="V111" s="99">
        <v>3.76</v>
      </c>
      <c r="W111" s="99">
        <v>1</v>
      </c>
      <c r="X111" s="99">
        <v>63</v>
      </c>
      <c r="Y111" s="99">
        <v>100</v>
      </c>
      <c r="Z111" s="99">
        <v>300</v>
      </c>
      <c r="AA111" s="99">
        <v>263</v>
      </c>
      <c r="AB111" s="99">
        <v>0.8</v>
      </c>
      <c r="AC111" s="99" t="s">
        <v>95</v>
      </c>
      <c r="AD111" s="99" t="s">
        <v>95</v>
      </c>
      <c r="AE111" s="99" t="s">
        <v>95</v>
      </c>
      <c r="AF111" s="99">
        <v>2.8999999999999998E-3</v>
      </c>
      <c r="AG111" s="99" t="s">
        <v>95</v>
      </c>
      <c r="AH111" s="99" t="s">
        <v>95</v>
      </c>
      <c r="AI111" s="99">
        <v>2E-3</v>
      </c>
      <c r="AJ111" s="99">
        <v>0.93</v>
      </c>
      <c r="AK111" s="99">
        <v>63</v>
      </c>
      <c r="AL111" s="99">
        <v>13</v>
      </c>
      <c r="AM111" s="99">
        <v>9.4</v>
      </c>
      <c r="AN111" s="99">
        <v>62</v>
      </c>
      <c r="AO111" s="99">
        <v>5.5</v>
      </c>
      <c r="AP111" s="99">
        <v>5.09</v>
      </c>
      <c r="AQ111" s="99">
        <v>5.59</v>
      </c>
      <c r="AR111" s="99">
        <v>9.9499999999999993</v>
      </c>
      <c r="AS111" s="99">
        <v>0.89</v>
      </c>
      <c r="AT111" s="99">
        <v>11.6</v>
      </c>
      <c r="AU111" s="99">
        <v>0.55700000000000005</v>
      </c>
      <c r="AV111" s="99">
        <v>2.4E-2</v>
      </c>
      <c r="AW111" s="99">
        <v>0.66200000000000003</v>
      </c>
      <c r="AX111" s="99">
        <v>30</v>
      </c>
      <c r="AY111" s="99">
        <v>10</v>
      </c>
      <c r="AZ111" s="99">
        <v>0.1</v>
      </c>
      <c r="BA111" s="99">
        <v>27</v>
      </c>
      <c r="BB111" s="99">
        <v>1.5</v>
      </c>
      <c r="BC111" s="99">
        <v>400</v>
      </c>
      <c r="BD111" s="99">
        <v>6</v>
      </c>
      <c r="BE111" s="99">
        <v>100</v>
      </c>
      <c r="BF111" s="99">
        <v>60</v>
      </c>
      <c r="BG111" s="99">
        <v>2</v>
      </c>
      <c r="BH111" s="99">
        <v>60</v>
      </c>
      <c r="BI111" s="99">
        <v>0.1</v>
      </c>
      <c r="BJ111" s="99">
        <v>0.17</v>
      </c>
      <c r="BK111" s="99" t="s">
        <v>94</v>
      </c>
      <c r="BL111" s="99">
        <v>0.9</v>
      </c>
      <c r="BM111" s="99" t="s">
        <v>95</v>
      </c>
      <c r="BN111" s="99" t="s">
        <v>95</v>
      </c>
      <c r="BO111" s="99" t="s">
        <v>95</v>
      </c>
      <c r="BP111" s="99" t="s">
        <v>93</v>
      </c>
      <c r="BQ111" s="99" t="s">
        <v>308</v>
      </c>
      <c r="BR111" s="99" t="s">
        <v>95</v>
      </c>
      <c r="BS111" s="99">
        <v>1.6</v>
      </c>
      <c r="BT111" s="99">
        <v>3.9</v>
      </c>
      <c r="BU111" s="99">
        <v>214</v>
      </c>
      <c r="BV111" s="99">
        <v>10.4</v>
      </c>
      <c r="BW111" s="99">
        <v>15.7</v>
      </c>
      <c r="BX111" s="99" t="s">
        <v>95</v>
      </c>
      <c r="BY111" s="99" t="s">
        <v>309</v>
      </c>
      <c r="BZ111" s="99" t="s">
        <v>94</v>
      </c>
      <c r="CA111" s="99" t="s">
        <v>95</v>
      </c>
      <c r="CB111" s="99">
        <v>42577</v>
      </c>
      <c r="CC111" s="99" t="s">
        <v>95</v>
      </c>
      <c r="CD111" s="99">
        <v>2592</v>
      </c>
      <c r="CE111" s="99">
        <v>1.266</v>
      </c>
    </row>
    <row r="112" spans="1:83" x14ac:dyDescent="0.25">
      <c r="A112" s="99" t="s">
        <v>310</v>
      </c>
      <c r="B112" s="99">
        <v>146</v>
      </c>
      <c r="C112" s="99" t="s">
        <v>93</v>
      </c>
      <c r="D112" s="99" t="s">
        <v>102</v>
      </c>
      <c r="E112" s="99" t="s">
        <v>251</v>
      </c>
      <c r="F112" s="99" t="s">
        <v>265</v>
      </c>
      <c r="G112" s="99" t="s">
        <v>311</v>
      </c>
      <c r="H112" s="99" t="s">
        <v>94</v>
      </c>
      <c r="I112" s="99">
        <v>1</v>
      </c>
      <c r="J112" s="99">
        <v>0</v>
      </c>
      <c r="K112" s="99">
        <v>4</v>
      </c>
      <c r="L112" s="99">
        <v>60</v>
      </c>
      <c r="M112" s="99">
        <v>20</v>
      </c>
      <c r="N112" s="99">
        <v>200</v>
      </c>
      <c r="O112" s="99">
        <v>400</v>
      </c>
      <c r="P112" s="99">
        <v>175</v>
      </c>
      <c r="Q112" s="99">
        <v>375</v>
      </c>
      <c r="R112" s="99">
        <v>62</v>
      </c>
      <c r="S112" s="99">
        <v>0.4</v>
      </c>
      <c r="T112" s="99">
        <v>1.4</v>
      </c>
      <c r="U112" s="99">
        <v>2.2000000000000002</v>
      </c>
      <c r="V112" s="99">
        <v>3.2</v>
      </c>
      <c r="W112" s="99">
        <v>1</v>
      </c>
      <c r="X112" s="99">
        <v>86</v>
      </c>
      <c r="Y112" s="99">
        <v>100</v>
      </c>
      <c r="Z112" s="99">
        <v>300</v>
      </c>
      <c r="AA112" s="99">
        <v>312</v>
      </c>
      <c r="AB112" s="99">
        <v>0.7</v>
      </c>
      <c r="AC112" s="107" t="s">
        <v>95</v>
      </c>
      <c r="AD112" s="99" t="s">
        <v>95</v>
      </c>
      <c r="AE112" s="99" t="s">
        <v>95</v>
      </c>
      <c r="AF112" s="99">
        <v>2.2000000000000001E-3</v>
      </c>
      <c r="AG112" s="99" t="s">
        <v>95</v>
      </c>
      <c r="AH112" s="99" t="s">
        <v>95</v>
      </c>
      <c r="AI112" s="99">
        <v>1.6000000000000001E-3</v>
      </c>
      <c r="AJ112" s="99">
        <v>0.72</v>
      </c>
      <c r="AK112" s="99">
        <v>83</v>
      </c>
      <c r="AL112" s="99">
        <v>20.5</v>
      </c>
      <c r="AM112" s="99">
        <v>17</v>
      </c>
      <c r="AN112" s="99">
        <v>99</v>
      </c>
      <c r="AO112" s="99">
        <v>9.5500000000000007</v>
      </c>
      <c r="AP112" s="99">
        <v>8.7899999999999991</v>
      </c>
      <c r="AQ112" s="99">
        <v>9.69</v>
      </c>
      <c r="AR112" s="99">
        <v>16.899999999999999</v>
      </c>
      <c r="AS112" s="99">
        <v>1.7</v>
      </c>
      <c r="AT112" s="99">
        <v>18.7</v>
      </c>
      <c r="AU112" s="99">
        <v>1.01</v>
      </c>
      <c r="AV112" s="99">
        <v>3.9E-2</v>
      </c>
      <c r="AW112" s="99">
        <v>1.1399999999999999</v>
      </c>
      <c r="AX112" s="99">
        <v>30</v>
      </c>
      <c r="AY112" s="99">
        <v>10</v>
      </c>
      <c r="AZ112" s="99">
        <v>0.1</v>
      </c>
      <c r="BA112" s="99">
        <v>32.5</v>
      </c>
      <c r="BB112" s="99">
        <v>1.2</v>
      </c>
      <c r="BC112" s="99">
        <v>400</v>
      </c>
      <c r="BD112" s="99">
        <v>2.33</v>
      </c>
      <c r="BE112" s="99">
        <v>400</v>
      </c>
      <c r="BF112" s="99">
        <v>100</v>
      </c>
      <c r="BG112" s="99">
        <v>0.79</v>
      </c>
      <c r="BH112" s="99">
        <v>100</v>
      </c>
      <c r="BI112" s="99">
        <v>0.1</v>
      </c>
      <c r="BJ112" s="99">
        <v>0.11</v>
      </c>
      <c r="BK112" s="99" t="s">
        <v>94</v>
      </c>
      <c r="BL112" s="99">
        <v>0.9</v>
      </c>
      <c r="BM112" s="99" t="s">
        <v>95</v>
      </c>
      <c r="BN112" s="99" t="s">
        <v>95</v>
      </c>
      <c r="BO112" s="99" t="s">
        <v>95</v>
      </c>
      <c r="BP112" s="99" t="s">
        <v>262</v>
      </c>
      <c r="BQ112" s="99" t="s">
        <v>312</v>
      </c>
      <c r="BR112" s="99" t="s">
        <v>95</v>
      </c>
      <c r="BS112" s="99">
        <v>1.4</v>
      </c>
      <c r="BT112" s="99">
        <v>3.5</v>
      </c>
      <c r="BU112" s="99">
        <v>323</v>
      </c>
      <c r="BV112" s="99">
        <v>14</v>
      </c>
      <c r="BW112" s="99">
        <v>18</v>
      </c>
      <c r="BX112" s="99" t="s">
        <v>94</v>
      </c>
      <c r="BY112" s="99" t="s">
        <v>255</v>
      </c>
      <c r="BZ112" s="99" t="s">
        <v>94</v>
      </c>
      <c r="CA112" s="99" t="s">
        <v>95</v>
      </c>
      <c r="CB112" s="99">
        <v>42577</v>
      </c>
      <c r="CC112" s="99">
        <v>42664</v>
      </c>
      <c r="CD112" s="99">
        <v>2542</v>
      </c>
      <c r="CE112" s="99">
        <v>1.8480000000000001</v>
      </c>
    </row>
    <row r="113" spans="1:83" x14ac:dyDescent="0.25">
      <c r="A113" s="99" t="s">
        <v>313</v>
      </c>
      <c r="B113" s="99">
        <v>146</v>
      </c>
      <c r="C113" s="99" t="s">
        <v>93</v>
      </c>
      <c r="D113" s="99" t="s">
        <v>94</v>
      </c>
      <c r="E113" s="99" t="s">
        <v>95</v>
      </c>
      <c r="F113" s="99" t="s">
        <v>95</v>
      </c>
      <c r="G113" s="99" t="s">
        <v>103</v>
      </c>
      <c r="H113" s="99" t="s">
        <v>94</v>
      </c>
      <c r="I113" s="99">
        <v>1</v>
      </c>
      <c r="J113" s="99">
        <v>0</v>
      </c>
      <c r="K113" s="99" t="s">
        <v>95</v>
      </c>
      <c r="L113" s="99">
        <v>60</v>
      </c>
      <c r="M113" s="99">
        <v>20</v>
      </c>
      <c r="N113" s="99">
        <v>200</v>
      </c>
      <c r="O113" s="99">
        <v>400</v>
      </c>
      <c r="P113" s="99">
        <v>175</v>
      </c>
      <c r="Q113" s="99">
        <v>375</v>
      </c>
      <c r="R113" s="99">
        <v>62</v>
      </c>
      <c r="S113" s="99">
        <v>0.4</v>
      </c>
      <c r="T113" s="99">
        <v>1.4</v>
      </c>
      <c r="U113" s="99">
        <v>2.2000000000000002</v>
      </c>
      <c r="V113" s="99">
        <v>3.4</v>
      </c>
      <c r="W113" s="99">
        <v>1</v>
      </c>
      <c r="X113" s="99">
        <v>86</v>
      </c>
      <c r="Y113" s="99">
        <v>100</v>
      </c>
      <c r="Z113" s="99">
        <v>300</v>
      </c>
      <c r="AA113" s="99">
        <v>312</v>
      </c>
      <c r="AB113" s="99">
        <v>0.7</v>
      </c>
      <c r="AC113" s="99" t="s">
        <v>95</v>
      </c>
      <c r="AD113" s="99" t="s">
        <v>95</v>
      </c>
      <c r="AE113" s="99" t="s">
        <v>95</v>
      </c>
      <c r="AF113" s="99">
        <v>2.2000000000000001E-3</v>
      </c>
      <c r="AG113" s="99" t="s">
        <v>95</v>
      </c>
      <c r="AH113" s="99" t="s">
        <v>95</v>
      </c>
      <c r="AI113" s="99">
        <v>1.6000000000000001E-3</v>
      </c>
      <c r="AJ113" s="99">
        <v>0.88</v>
      </c>
      <c r="AK113" s="99">
        <v>108</v>
      </c>
      <c r="AL113" s="99">
        <v>20.5</v>
      </c>
      <c r="AM113" s="99">
        <v>17</v>
      </c>
      <c r="AN113" s="99">
        <v>98.5</v>
      </c>
      <c r="AO113" s="99">
        <v>9.5500000000000007</v>
      </c>
      <c r="AP113" s="99">
        <v>8.7899999999999991</v>
      </c>
      <c r="AQ113" s="99">
        <v>9.69</v>
      </c>
      <c r="AR113" s="99">
        <v>16.899999999999999</v>
      </c>
      <c r="AS113" s="99">
        <v>1.41</v>
      </c>
      <c r="AT113" s="99">
        <v>18.7</v>
      </c>
      <c r="AU113" s="99">
        <v>1.01</v>
      </c>
      <c r="AV113" s="99">
        <v>3.9E-2</v>
      </c>
      <c r="AW113" s="99">
        <v>1.1399999999999999</v>
      </c>
      <c r="AX113" s="99">
        <v>30</v>
      </c>
      <c r="AY113" s="99">
        <v>10</v>
      </c>
      <c r="AZ113" s="99">
        <v>0.1</v>
      </c>
      <c r="BA113" s="99">
        <v>32</v>
      </c>
      <c r="BB113" s="99">
        <v>1.2</v>
      </c>
      <c r="BC113" s="99">
        <v>400</v>
      </c>
      <c r="BD113" s="99">
        <v>2.1</v>
      </c>
      <c r="BE113" s="99">
        <v>400</v>
      </c>
      <c r="BF113" s="99">
        <v>60</v>
      </c>
      <c r="BG113" s="99">
        <v>3</v>
      </c>
      <c r="BH113" s="99">
        <v>60</v>
      </c>
      <c r="BI113" s="99">
        <v>0.1</v>
      </c>
      <c r="BJ113" s="99">
        <v>0.11</v>
      </c>
      <c r="BK113" s="99" t="s">
        <v>94</v>
      </c>
      <c r="BL113" s="99">
        <v>0.9</v>
      </c>
      <c r="BM113" s="99" t="s">
        <v>95</v>
      </c>
      <c r="BN113" s="99" t="s">
        <v>95</v>
      </c>
      <c r="BO113" s="99" t="s">
        <v>95</v>
      </c>
      <c r="BP113" s="99" t="s">
        <v>93</v>
      </c>
      <c r="BQ113" s="99" t="s">
        <v>314</v>
      </c>
      <c r="BR113" s="99" t="s">
        <v>95</v>
      </c>
      <c r="BS113" s="99">
        <v>1.4</v>
      </c>
      <c r="BT113" s="99">
        <v>3.9</v>
      </c>
      <c r="BU113" s="99">
        <v>323</v>
      </c>
      <c r="BV113" s="99">
        <v>14</v>
      </c>
      <c r="BW113" s="99">
        <v>18</v>
      </c>
      <c r="BX113" s="99" t="s">
        <v>95</v>
      </c>
      <c r="BY113" s="99" t="s">
        <v>309</v>
      </c>
      <c r="BZ113" s="99" t="s">
        <v>95</v>
      </c>
      <c r="CA113" s="99" t="s">
        <v>95</v>
      </c>
      <c r="CB113" s="99">
        <v>42577</v>
      </c>
      <c r="CC113" s="99" t="s">
        <v>95</v>
      </c>
      <c r="CD113" s="99">
        <v>2593</v>
      </c>
      <c r="CE113" s="99">
        <v>1.8939999999999999</v>
      </c>
    </row>
    <row r="114" spans="1:83" x14ac:dyDescent="0.25">
      <c r="A114" s="99" t="s">
        <v>315</v>
      </c>
      <c r="B114" s="99">
        <v>146</v>
      </c>
      <c r="C114" s="99" t="s">
        <v>93</v>
      </c>
      <c r="D114" s="99" t="s">
        <v>94</v>
      </c>
      <c r="E114" s="99" t="s">
        <v>251</v>
      </c>
      <c r="F114" s="99" t="s">
        <v>252</v>
      </c>
      <c r="G114" s="99" t="s">
        <v>316</v>
      </c>
      <c r="H114" s="99" t="s">
        <v>94</v>
      </c>
      <c r="I114" s="99">
        <v>1</v>
      </c>
      <c r="J114" s="99">
        <v>0</v>
      </c>
      <c r="K114" s="99">
        <v>4</v>
      </c>
      <c r="L114" s="99">
        <v>60</v>
      </c>
      <c r="M114" s="99">
        <v>20</v>
      </c>
      <c r="N114" s="99">
        <v>50</v>
      </c>
      <c r="O114" s="99">
        <v>127</v>
      </c>
      <c r="P114" s="99">
        <v>175</v>
      </c>
      <c r="Q114" s="99">
        <v>94</v>
      </c>
      <c r="R114" s="99">
        <v>62</v>
      </c>
      <c r="S114" s="99">
        <v>1.6</v>
      </c>
      <c r="T114" s="99">
        <v>2.6</v>
      </c>
      <c r="U114" s="99">
        <v>3.5</v>
      </c>
      <c r="V114" s="99">
        <v>5</v>
      </c>
      <c r="W114" s="99">
        <v>1</v>
      </c>
      <c r="X114" s="99">
        <v>50</v>
      </c>
      <c r="Y114" s="99">
        <v>25</v>
      </c>
      <c r="Z114" s="99">
        <v>300</v>
      </c>
      <c r="AA114" s="99">
        <v>100</v>
      </c>
      <c r="AB114" s="99">
        <v>5.5</v>
      </c>
      <c r="AC114" s="107" t="s">
        <v>95</v>
      </c>
      <c r="AD114" s="99" t="s">
        <v>95</v>
      </c>
      <c r="AE114" s="99" t="s">
        <v>95</v>
      </c>
      <c r="AF114" s="99" t="s">
        <v>95</v>
      </c>
      <c r="AG114" s="99">
        <v>1.7999999999999999E-2</v>
      </c>
      <c r="AH114" s="99" t="s">
        <v>95</v>
      </c>
      <c r="AI114" s="99">
        <v>1.4E-2</v>
      </c>
      <c r="AJ114" s="99">
        <v>0.94</v>
      </c>
      <c r="AK114" s="99">
        <v>14</v>
      </c>
      <c r="AL114" s="99">
        <v>2.5</v>
      </c>
      <c r="AM114" s="99">
        <v>3.3</v>
      </c>
      <c r="AN114" s="99">
        <v>14</v>
      </c>
      <c r="AO114" s="99">
        <v>1.2</v>
      </c>
      <c r="AP114" s="99">
        <v>1.1399999999999999</v>
      </c>
      <c r="AQ114" s="99">
        <v>1.21</v>
      </c>
      <c r="AR114" s="99">
        <v>1.28</v>
      </c>
      <c r="AS114" s="99">
        <v>0.13600000000000001</v>
      </c>
      <c r="AT114" s="99">
        <v>1.56</v>
      </c>
      <c r="AU114" s="99">
        <v>0.106</v>
      </c>
      <c r="AV114" s="99">
        <v>4.0000000000000001E-3</v>
      </c>
      <c r="AW114" s="99">
        <v>0.11899999999999999</v>
      </c>
      <c r="AX114" s="99">
        <v>30</v>
      </c>
      <c r="AY114" s="99">
        <v>10</v>
      </c>
      <c r="AZ114" s="99">
        <v>0.1</v>
      </c>
      <c r="BA114" s="99">
        <v>3.3</v>
      </c>
      <c r="BB114" s="99">
        <v>1.7</v>
      </c>
      <c r="BC114" s="99">
        <v>61.25</v>
      </c>
      <c r="BD114" s="99">
        <v>2.98</v>
      </c>
      <c r="BE114" s="99">
        <v>61.25</v>
      </c>
      <c r="BF114" s="99">
        <v>60</v>
      </c>
      <c r="BG114" s="99">
        <v>0.66</v>
      </c>
      <c r="BH114" s="99">
        <v>60</v>
      </c>
      <c r="BI114" s="99">
        <v>0.1</v>
      </c>
      <c r="BJ114" s="99">
        <v>0.72</v>
      </c>
      <c r="BK114" s="99" t="s">
        <v>94</v>
      </c>
      <c r="BL114" s="99">
        <v>0.9</v>
      </c>
      <c r="BM114" s="99" t="s">
        <v>95</v>
      </c>
      <c r="BN114" s="99">
        <v>42</v>
      </c>
      <c r="BO114" s="99">
        <v>1.0840000000000001</v>
      </c>
      <c r="BP114" s="99" t="s">
        <v>93</v>
      </c>
      <c r="BQ114" s="99" t="s">
        <v>317</v>
      </c>
      <c r="BR114" s="99" t="s">
        <v>95</v>
      </c>
      <c r="BS114" s="99">
        <v>11</v>
      </c>
      <c r="BT114" s="99">
        <v>4.75</v>
      </c>
      <c r="BU114" s="99">
        <v>77</v>
      </c>
      <c r="BV114" s="99">
        <v>2.2999999999999998</v>
      </c>
      <c r="BW114" s="99">
        <v>5.2</v>
      </c>
      <c r="BX114" s="99" t="s">
        <v>95</v>
      </c>
      <c r="BY114" s="99" t="s">
        <v>255</v>
      </c>
      <c r="BZ114" s="99" t="s">
        <v>95</v>
      </c>
      <c r="CA114" s="99" t="s">
        <v>95</v>
      </c>
      <c r="CB114" s="99">
        <v>41554</v>
      </c>
      <c r="CC114" s="99">
        <v>42577</v>
      </c>
      <c r="CD114" s="99">
        <v>2543</v>
      </c>
      <c r="CE114" s="99">
        <v>0.41199999999999998</v>
      </c>
    </row>
    <row r="115" spans="1:83" x14ac:dyDescent="0.25">
      <c r="A115" s="107" t="s">
        <v>318</v>
      </c>
      <c r="B115" s="107">
        <v>146</v>
      </c>
      <c r="C115" s="107" t="s">
        <v>93</v>
      </c>
      <c r="D115" s="107" t="s">
        <v>93</v>
      </c>
      <c r="E115" s="108" t="s">
        <v>111</v>
      </c>
      <c r="F115" s="108" t="s">
        <v>132</v>
      </c>
      <c r="G115" s="107" t="s">
        <v>319</v>
      </c>
      <c r="H115" s="107" t="s">
        <v>94</v>
      </c>
      <c r="I115" s="107">
        <v>1</v>
      </c>
      <c r="J115" s="107">
        <v>0</v>
      </c>
      <c r="K115" s="108">
        <v>1</v>
      </c>
      <c r="L115" s="107">
        <v>60</v>
      </c>
      <c r="M115" s="107">
        <v>20</v>
      </c>
      <c r="N115" s="107">
        <v>50</v>
      </c>
      <c r="O115" s="107">
        <v>151</v>
      </c>
      <c r="P115" s="107">
        <v>150</v>
      </c>
      <c r="Q115" s="107">
        <v>3.125</v>
      </c>
      <c r="R115" s="107">
        <v>50</v>
      </c>
      <c r="S115" s="107">
        <v>2.1</v>
      </c>
      <c r="T115" s="107">
        <v>2.6</v>
      </c>
      <c r="U115" s="107">
        <v>3.5</v>
      </c>
      <c r="V115" s="107">
        <v>4.5</v>
      </c>
      <c r="W115" s="107">
        <v>1</v>
      </c>
      <c r="X115" s="107">
        <v>40</v>
      </c>
      <c r="Y115" s="107">
        <v>12</v>
      </c>
      <c r="Z115" s="107">
        <v>300</v>
      </c>
      <c r="AA115" s="107">
        <v>62</v>
      </c>
      <c r="AB115" s="107">
        <v>5.5</v>
      </c>
      <c r="AC115" s="107" t="s">
        <v>95</v>
      </c>
      <c r="AD115" s="107" t="s">
        <v>95</v>
      </c>
      <c r="AE115" s="107" t="s">
        <v>95</v>
      </c>
      <c r="AF115" s="107" t="s">
        <v>95</v>
      </c>
      <c r="AG115" s="107">
        <v>1.7000000000000001E-2</v>
      </c>
      <c r="AH115" s="107" t="s">
        <v>95</v>
      </c>
      <c r="AI115" s="107">
        <v>1.2999999999999999E-2</v>
      </c>
      <c r="AJ115" s="107">
        <v>0.95</v>
      </c>
      <c r="AK115" s="107">
        <v>14</v>
      </c>
      <c r="AL115" s="107">
        <v>2.5</v>
      </c>
      <c r="AM115" s="107">
        <v>3.3</v>
      </c>
      <c r="AN115" s="107">
        <v>13.5</v>
      </c>
      <c r="AO115" s="107">
        <v>1.2</v>
      </c>
      <c r="AP115" s="107">
        <v>1.1399999999999999</v>
      </c>
      <c r="AQ115" s="107">
        <v>1.24</v>
      </c>
      <c r="AR115" s="107">
        <v>1.31</v>
      </c>
      <c r="AS115" s="107">
        <v>0.13600000000000001</v>
      </c>
      <c r="AT115" s="107">
        <v>1.6</v>
      </c>
      <c r="AU115" s="107">
        <v>0.1</v>
      </c>
      <c r="AV115" s="107">
        <v>4.0000000000000001E-3</v>
      </c>
      <c r="AW115" s="107">
        <v>0.12</v>
      </c>
      <c r="AX115" s="107">
        <v>30</v>
      </c>
      <c r="AY115" s="107">
        <v>10</v>
      </c>
      <c r="AZ115" s="107">
        <v>0.1</v>
      </c>
      <c r="BA115" s="107">
        <v>4</v>
      </c>
      <c r="BB115" s="107">
        <v>1.3</v>
      </c>
      <c r="BC115" s="107">
        <v>50</v>
      </c>
      <c r="BD115" s="107">
        <v>2.2999999999999998</v>
      </c>
      <c r="BE115" s="107">
        <v>50</v>
      </c>
      <c r="BF115" s="107">
        <v>60</v>
      </c>
      <c r="BG115" s="107">
        <v>0.45</v>
      </c>
      <c r="BH115" s="107">
        <v>60</v>
      </c>
      <c r="BI115" s="107">
        <v>0.1</v>
      </c>
      <c r="BJ115" s="107">
        <v>0.78</v>
      </c>
      <c r="BK115" s="107" t="s">
        <v>94</v>
      </c>
      <c r="BL115" s="107">
        <v>0.8</v>
      </c>
      <c r="BM115" s="107" t="s">
        <v>95</v>
      </c>
      <c r="BN115" s="107">
        <v>1155</v>
      </c>
      <c r="BO115" s="107">
        <v>1.1200000000000001</v>
      </c>
      <c r="BP115" s="107" t="s">
        <v>93</v>
      </c>
      <c r="BQ115" s="107" t="s">
        <v>320</v>
      </c>
      <c r="BR115" s="107" t="s">
        <v>95</v>
      </c>
      <c r="BS115" s="107">
        <v>11</v>
      </c>
      <c r="BT115" s="107">
        <v>4.75</v>
      </c>
      <c r="BU115" s="107">
        <v>54</v>
      </c>
      <c r="BV115" s="107">
        <v>2.2999999999999998</v>
      </c>
      <c r="BW115" s="107">
        <v>4.7</v>
      </c>
      <c r="BX115" s="107" t="s">
        <v>95</v>
      </c>
      <c r="BY115" s="108" t="s">
        <v>115</v>
      </c>
      <c r="BZ115" s="107" t="s">
        <v>95</v>
      </c>
      <c r="CA115" s="107" t="s">
        <v>95</v>
      </c>
      <c r="CB115" s="107">
        <v>41554</v>
      </c>
      <c r="CC115" s="107">
        <v>42564</v>
      </c>
      <c r="CD115" s="107">
        <v>2054</v>
      </c>
      <c r="CE115" s="107">
        <v>0.27300000000000002</v>
      </c>
    </row>
    <row r="116" spans="1:83" x14ac:dyDescent="0.25">
      <c r="A116" s="109" t="s">
        <v>321</v>
      </c>
      <c r="B116" s="110">
        <v>146</v>
      </c>
      <c r="C116" s="110" t="s">
        <v>93</v>
      </c>
      <c r="D116" s="110" t="s">
        <v>93</v>
      </c>
      <c r="E116" s="110" t="s">
        <v>111</v>
      </c>
      <c r="F116" s="110" t="s">
        <v>172</v>
      </c>
      <c r="G116" s="110" t="s">
        <v>322</v>
      </c>
      <c r="H116" s="110" t="s">
        <v>94</v>
      </c>
      <c r="I116" s="110">
        <v>1</v>
      </c>
      <c r="J116" s="110">
        <v>0</v>
      </c>
      <c r="K116" s="110">
        <v>1</v>
      </c>
      <c r="L116" s="110">
        <v>60</v>
      </c>
      <c r="M116" s="110">
        <v>20</v>
      </c>
      <c r="N116" s="110">
        <v>100</v>
      </c>
      <c r="O116" s="110">
        <v>400</v>
      </c>
      <c r="P116" s="110">
        <v>175</v>
      </c>
      <c r="Q116" s="110">
        <v>3.8</v>
      </c>
      <c r="R116" s="110">
        <v>50</v>
      </c>
      <c r="S116" s="110">
        <v>0.8</v>
      </c>
      <c r="T116" s="110">
        <v>1.5</v>
      </c>
      <c r="U116" s="110">
        <v>2.2999999999999998</v>
      </c>
      <c r="V116" s="110">
        <v>3.1</v>
      </c>
      <c r="W116" s="110">
        <v>1</v>
      </c>
      <c r="X116" s="110">
        <v>82</v>
      </c>
      <c r="Y116" s="110">
        <v>28</v>
      </c>
      <c r="Z116" s="110">
        <v>300</v>
      </c>
      <c r="AA116" s="110">
        <v>116</v>
      </c>
      <c r="AB116" s="110">
        <v>0.8</v>
      </c>
      <c r="AC116" s="110" t="s">
        <v>95</v>
      </c>
      <c r="AD116" s="110" t="s">
        <v>95</v>
      </c>
      <c r="AE116" s="110" t="s">
        <v>95</v>
      </c>
      <c r="AF116" s="110">
        <v>3.3E-3</v>
      </c>
      <c r="AG116" s="110" t="s">
        <v>95</v>
      </c>
      <c r="AH116" s="110" t="s">
        <v>95</v>
      </c>
      <c r="AI116" s="110">
        <v>2.2000000000000001E-3</v>
      </c>
      <c r="AJ116" s="110">
        <v>0.82</v>
      </c>
      <c r="AK116" s="110">
        <v>41</v>
      </c>
      <c r="AL116" s="110">
        <v>8.3000000000000007</v>
      </c>
      <c r="AM116" s="110">
        <v>6.3</v>
      </c>
      <c r="AN116" s="110">
        <v>41</v>
      </c>
      <c r="AO116" s="110">
        <v>3.43</v>
      </c>
      <c r="AP116" s="110">
        <v>3.25</v>
      </c>
      <c r="AQ116" s="110">
        <v>3.49</v>
      </c>
      <c r="AR116" s="110">
        <v>5.24</v>
      </c>
      <c r="AS116" s="110">
        <v>0.622</v>
      </c>
      <c r="AT116" s="110">
        <v>6.21</v>
      </c>
      <c r="AU116" s="110">
        <v>0.24399999999999999</v>
      </c>
      <c r="AV116" s="110">
        <v>1.4999999999999999E-2</v>
      </c>
      <c r="AW116" s="110">
        <v>0.29399999999999998</v>
      </c>
      <c r="AX116" s="110">
        <v>30</v>
      </c>
      <c r="AY116" s="110">
        <v>10</v>
      </c>
      <c r="AZ116" s="110">
        <v>0.1</v>
      </c>
      <c r="BA116" s="110">
        <v>22.5</v>
      </c>
      <c r="BB116" s="110">
        <v>1.5</v>
      </c>
      <c r="BC116" s="110">
        <v>278</v>
      </c>
      <c r="BD116" s="110">
        <v>1.69</v>
      </c>
      <c r="BE116" s="110">
        <v>278</v>
      </c>
      <c r="BF116" s="110">
        <v>60</v>
      </c>
      <c r="BG116" s="110">
        <v>1.53</v>
      </c>
      <c r="BH116" s="110">
        <v>60</v>
      </c>
      <c r="BI116" s="110">
        <v>0.1</v>
      </c>
      <c r="BJ116" s="110">
        <v>0.25</v>
      </c>
      <c r="BK116" s="110" t="s">
        <v>94</v>
      </c>
      <c r="BL116" s="110">
        <v>0.8</v>
      </c>
      <c r="BM116" s="110" t="s">
        <v>95</v>
      </c>
      <c r="BN116" s="110" t="s">
        <v>95</v>
      </c>
      <c r="BO116" s="110">
        <v>3.1960000000000002</v>
      </c>
      <c r="BP116" s="110" t="s">
        <v>93</v>
      </c>
      <c r="BQ116" s="107" t="s">
        <v>323</v>
      </c>
      <c r="BR116" s="110" t="s">
        <v>95</v>
      </c>
      <c r="BS116" s="110">
        <v>1.6</v>
      </c>
      <c r="BT116" s="110">
        <v>3.3</v>
      </c>
      <c r="BU116" s="110">
        <v>145</v>
      </c>
      <c r="BV116" s="110">
        <v>6.7</v>
      </c>
      <c r="BW116" s="110">
        <v>8.6</v>
      </c>
      <c r="BX116" s="110" t="s">
        <v>94</v>
      </c>
      <c r="BY116" s="110" t="s">
        <v>115</v>
      </c>
      <c r="BZ116" s="110" t="s">
        <v>94</v>
      </c>
      <c r="CA116" s="110" t="s">
        <v>95</v>
      </c>
      <c r="CB116" s="110">
        <v>42577</v>
      </c>
      <c r="CC116" s="110">
        <v>42664</v>
      </c>
      <c r="CD116" s="110">
        <v>2544</v>
      </c>
      <c r="CE116" s="110">
        <v>0.86699999999999999</v>
      </c>
    </row>
    <row r="117" spans="1:83" x14ac:dyDescent="0.25">
      <c r="A117" s="111" t="s">
        <v>496</v>
      </c>
      <c r="B117" s="112">
        <v>146</v>
      </c>
      <c r="C117" s="112" t="s">
        <v>93</v>
      </c>
      <c r="D117" s="112" t="s">
        <v>102</v>
      </c>
      <c r="E117" s="112" t="s">
        <v>497</v>
      </c>
      <c r="F117" s="112" t="s">
        <v>495</v>
      </c>
      <c r="G117" s="112" t="s">
        <v>324</v>
      </c>
      <c r="H117" s="112" t="s">
        <v>94</v>
      </c>
      <c r="I117" s="112">
        <v>1</v>
      </c>
      <c r="J117" s="112">
        <v>0</v>
      </c>
      <c r="K117" s="112">
        <v>1</v>
      </c>
      <c r="L117" s="112">
        <v>60</v>
      </c>
      <c r="M117" s="112">
        <v>20</v>
      </c>
      <c r="N117" s="112">
        <v>2.2000000000000002</v>
      </c>
      <c r="O117" s="112">
        <v>21</v>
      </c>
      <c r="P117" s="112">
        <v>150</v>
      </c>
      <c r="Q117" s="112">
        <v>0.5</v>
      </c>
      <c r="R117" s="112">
        <v>110</v>
      </c>
      <c r="S117" s="112" t="s">
        <v>95</v>
      </c>
      <c r="T117" s="112">
        <v>1.4</v>
      </c>
      <c r="U117" s="112">
        <v>2.2000000000000002</v>
      </c>
      <c r="V117" s="112" t="s">
        <v>95</v>
      </c>
      <c r="W117" s="112">
        <v>1</v>
      </c>
      <c r="X117" s="112" t="s">
        <v>95</v>
      </c>
      <c r="Y117" s="112" t="s">
        <v>95</v>
      </c>
      <c r="Z117" s="112" t="s">
        <v>95</v>
      </c>
      <c r="AA117" s="112">
        <v>7.7</v>
      </c>
      <c r="AB117" s="112">
        <v>1200</v>
      </c>
      <c r="AC117" s="112" t="s">
        <v>95</v>
      </c>
      <c r="AD117" s="112" t="s">
        <v>95</v>
      </c>
      <c r="AE117" s="112" t="s">
        <v>95</v>
      </c>
      <c r="AF117" s="112">
        <v>7.4999999999999997E-2</v>
      </c>
      <c r="AG117" s="112" t="s">
        <v>95</v>
      </c>
      <c r="AH117" s="112" t="s">
        <v>95</v>
      </c>
      <c r="AI117" s="112">
        <v>6.5000000000000002E-2</v>
      </c>
      <c r="AJ117" s="112">
        <v>0.7</v>
      </c>
      <c r="AK117" s="112">
        <v>11</v>
      </c>
      <c r="AL117" s="112">
        <v>1.5</v>
      </c>
      <c r="AM117" s="112">
        <v>11.2</v>
      </c>
      <c r="AN117" s="112">
        <v>11</v>
      </c>
      <c r="AO117" s="112">
        <v>0.64500000000000002</v>
      </c>
      <c r="AP117" s="112">
        <v>0.59799999999999998</v>
      </c>
      <c r="AQ117" s="112">
        <v>0.68100000000000005</v>
      </c>
      <c r="AR117" s="112">
        <v>0.28799999999999998</v>
      </c>
      <c r="AS117" s="112">
        <v>4.7E-2</v>
      </c>
      <c r="AT117" s="112">
        <v>0.47799999999999998</v>
      </c>
      <c r="AU117" s="112">
        <v>5.7799999999999997E-2</v>
      </c>
      <c r="AV117" s="112">
        <v>8.0999999999999996E-3</v>
      </c>
      <c r="AW117" s="112">
        <v>0.126</v>
      </c>
      <c r="AX117" s="112">
        <v>30</v>
      </c>
      <c r="AY117" s="112">
        <v>10</v>
      </c>
      <c r="AZ117" s="112">
        <v>0.1</v>
      </c>
      <c r="BA117" s="112">
        <v>0.9</v>
      </c>
      <c r="BB117" s="112">
        <v>0.9</v>
      </c>
      <c r="BC117" s="112">
        <v>8.5</v>
      </c>
      <c r="BD117" s="112">
        <v>2.7</v>
      </c>
      <c r="BE117" s="112">
        <v>8.5</v>
      </c>
      <c r="BF117" s="112">
        <v>60</v>
      </c>
      <c r="BG117" s="112">
        <v>0.1</v>
      </c>
      <c r="BH117" s="112">
        <v>60</v>
      </c>
      <c r="BI117" s="112">
        <v>0.01</v>
      </c>
      <c r="BJ117" s="112">
        <v>0.91</v>
      </c>
      <c r="BK117" s="112" t="s">
        <v>94</v>
      </c>
      <c r="BL117" s="112">
        <v>0.8</v>
      </c>
      <c r="BM117" s="112" t="s">
        <v>95</v>
      </c>
      <c r="BN117" s="112" t="s">
        <v>95</v>
      </c>
      <c r="BO117" s="112" t="s">
        <v>95</v>
      </c>
      <c r="BP117" s="112" t="s">
        <v>93</v>
      </c>
      <c r="BQ117" s="112" t="s">
        <v>498</v>
      </c>
      <c r="BR117" s="112" t="s">
        <v>95</v>
      </c>
      <c r="BS117" s="112">
        <v>1600</v>
      </c>
      <c r="BT117" s="112">
        <v>2.8</v>
      </c>
      <c r="BU117" s="112" t="s">
        <v>95</v>
      </c>
      <c r="BV117" s="112">
        <v>1.6</v>
      </c>
      <c r="BW117" s="112">
        <v>1.5</v>
      </c>
      <c r="BX117" s="112" t="s">
        <v>95</v>
      </c>
      <c r="BY117" s="112" t="s">
        <v>499</v>
      </c>
      <c r="BZ117" s="112" t="s">
        <v>94</v>
      </c>
      <c r="CA117" s="112" t="s">
        <v>95</v>
      </c>
      <c r="CB117" s="112">
        <v>42577</v>
      </c>
      <c r="CC117" s="112">
        <v>42664</v>
      </c>
      <c r="CD117" s="112">
        <v>2594</v>
      </c>
      <c r="CE117" s="112">
        <v>7.3999999999999996E-2</v>
      </c>
    </row>
    <row r="118" spans="1:83" x14ac:dyDescent="0.25">
      <c r="A118" s="109" t="s">
        <v>325</v>
      </c>
      <c r="B118" s="110">
        <v>146</v>
      </c>
      <c r="C118" s="110" t="s">
        <v>93</v>
      </c>
      <c r="D118" s="110" t="s">
        <v>94</v>
      </c>
      <c r="E118" s="110" t="s">
        <v>95</v>
      </c>
      <c r="F118" s="110" t="s">
        <v>95</v>
      </c>
      <c r="G118" s="110" t="s">
        <v>208</v>
      </c>
      <c r="H118" s="110" t="s">
        <v>94</v>
      </c>
      <c r="I118" s="110">
        <v>1</v>
      </c>
      <c r="J118" s="110">
        <v>0</v>
      </c>
      <c r="K118" s="110" t="s">
        <v>95</v>
      </c>
      <c r="L118" s="110">
        <v>60</v>
      </c>
      <c r="M118" s="110">
        <v>20</v>
      </c>
      <c r="N118" s="110">
        <v>200</v>
      </c>
      <c r="O118" s="110">
        <v>400</v>
      </c>
      <c r="P118" s="110">
        <v>175</v>
      </c>
      <c r="Q118" s="110">
        <v>200</v>
      </c>
      <c r="R118" s="110">
        <v>62</v>
      </c>
      <c r="S118" s="110">
        <v>0.6</v>
      </c>
      <c r="T118" s="110">
        <v>1.5</v>
      </c>
      <c r="U118" s="110">
        <v>2.2000000000000002</v>
      </c>
      <c r="V118" s="110">
        <v>3.3</v>
      </c>
      <c r="W118" s="110">
        <v>1</v>
      </c>
      <c r="X118" s="110">
        <v>53</v>
      </c>
      <c r="Y118" s="110">
        <v>100</v>
      </c>
      <c r="Z118" s="110">
        <v>300</v>
      </c>
      <c r="AA118" s="110">
        <v>198</v>
      </c>
      <c r="AB118" s="110">
        <v>1.3</v>
      </c>
      <c r="AC118" s="110" t="s">
        <v>95</v>
      </c>
      <c r="AD118" s="110" t="s">
        <v>95</v>
      </c>
      <c r="AE118" s="110" t="s">
        <v>95</v>
      </c>
      <c r="AF118" s="110">
        <v>5.1000000000000004E-3</v>
      </c>
      <c r="AG118" s="110" t="s">
        <v>95</v>
      </c>
      <c r="AH118" s="110" t="s">
        <v>95</v>
      </c>
      <c r="AI118" s="110">
        <v>4.0000000000000001E-3</v>
      </c>
      <c r="AJ118" s="110">
        <v>0.94</v>
      </c>
      <c r="AK118" s="110">
        <v>44</v>
      </c>
      <c r="AL118" s="110">
        <v>10.5</v>
      </c>
      <c r="AM118" s="110">
        <v>7.3</v>
      </c>
      <c r="AN118" s="110">
        <v>45.4</v>
      </c>
      <c r="AO118" s="110">
        <v>4.21</v>
      </c>
      <c r="AP118" s="110">
        <v>3.9</v>
      </c>
      <c r="AQ118" s="110">
        <v>4.26</v>
      </c>
      <c r="AR118" s="110">
        <v>4.84</v>
      </c>
      <c r="AS118" s="110">
        <v>0.56999999999999995</v>
      </c>
      <c r="AT118" s="110">
        <v>5.47</v>
      </c>
      <c r="AU118" s="110">
        <v>0.33</v>
      </c>
      <c r="AV118" s="110">
        <v>1.0999999999999999E-2</v>
      </c>
      <c r="AW118" s="110">
        <v>0.36199999999999999</v>
      </c>
      <c r="AX118" s="110">
        <v>30</v>
      </c>
      <c r="AY118" s="110">
        <v>10</v>
      </c>
      <c r="AZ118" s="110">
        <v>0.1</v>
      </c>
      <c r="BA118" s="110">
        <v>11.55</v>
      </c>
      <c r="BB118" s="110">
        <v>1.6</v>
      </c>
      <c r="BC118" s="110">
        <v>196.93</v>
      </c>
      <c r="BD118" s="110">
        <v>2.4700000000000002</v>
      </c>
      <c r="BE118" s="110">
        <v>196.93</v>
      </c>
      <c r="BF118" s="110">
        <v>60</v>
      </c>
      <c r="BG118" s="110">
        <v>1.27</v>
      </c>
      <c r="BH118" s="110">
        <v>60</v>
      </c>
      <c r="BI118" s="110">
        <v>0.1</v>
      </c>
      <c r="BJ118" s="110">
        <v>0.23</v>
      </c>
      <c r="BK118" s="110" t="s">
        <v>94</v>
      </c>
      <c r="BL118" s="110">
        <v>0.9</v>
      </c>
      <c r="BM118" s="110" t="s">
        <v>95</v>
      </c>
      <c r="BN118" s="110" t="s">
        <v>95</v>
      </c>
      <c r="BO118" s="110" t="s">
        <v>95</v>
      </c>
      <c r="BP118" s="110" t="s">
        <v>93</v>
      </c>
      <c r="BQ118" s="110" t="s">
        <v>326</v>
      </c>
      <c r="BR118" s="110" t="s">
        <v>95</v>
      </c>
      <c r="BS118" s="110">
        <v>2.6</v>
      </c>
      <c r="BT118" s="110">
        <v>3.1</v>
      </c>
      <c r="BU118" s="110">
        <v>148</v>
      </c>
      <c r="BV118" s="110">
        <v>6.9</v>
      </c>
      <c r="BW118" s="110">
        <v>10</v>
      </c>
      <c r="BX118" s="110" t="s">
        <v>95</v>
      </c>
      <c r="BY118" s="110" t="s">
        <v>255</v>
      </c>
      <c r="BZ118" s="110" t="s">
        <v>95</v>
      </c>
      <c r="CA118" s="110" t="s">
        <v>95</v>
      </c>
      <c r="CB118" s="110">
        <v>42577</v>
      </c>
      <c r="CC118" s="110">
        <v>42577</v>
      </c>
      <c r="CD118" s="110">
        <v>2545</v>
      </c>
      <c r="CE118" s="110">
        <v>0.81499999999999995</v>
      </c>
    </row>
    <row r="119" spans="1:83" x14ac:dyDescent="0.25">
      <c r="A119" s="109" t="s">
        <v>327</v>
      </c>
      <c r="B119" s="110">
        <v>146</v>
      </c>
      <c r="C119" s="110" t="s">
        <v>93</v>
      </c>
      <c r="D119" s="110" t="s">
        <v>102</v>
      </c>
      <c r="E119" s="110" t="s">
        <v>251</v>
      </c>
      <c r="F119" s="110" t="s">
        <v>273</v>
      </c>
      <c r="G119" s="110" t="s">
        <v>324</v>
      </c>
      <c r="H119" s="110" t="s">
        <v>94</v>
      </c>
      <c r="I119" s="110">
        <v>1</v>
      </c>
      <c r="J119" s="110">
        <v>0</v>
      </c>
      <c r="K119" s="110">
        <v>1</v>
      </c>
      <c r="L119" s="110">
        <v>60</v>
      </c>
      <c r="M119" s="110">
        <v>20</v>
      </c>
      <c r="N119" s="110">
        <v>200</v>
      </c>
      <c r="O119" s="110">
        <v>400</v>
      </c>
      <c r="P119" s="110">
        <v>175</v>
      </c>
      <c r="Q119" s="110">
        <v>250</v>
      </c>
      <c r="R119" s="110">
        <v>62</v>
      </c>
      <c r="S119" s="110">
        <v>0.6</v>
      </c>
      <c r="T119" s="110">
        <v>1.5</v>
      </c>
      <c r="U119" s="110">
        <v>2.2000000000000002</v>
      </c>
      <c r="V119" s="110">
        <v>3.71</v>
      </c>
      <c r="W119" s="110">
        <v>1</v>
      </c>
      <c r="X119" s="110">
        <v>73</v>
      </c>
      <c r="Y119" s="110">
        <v>100</v>
      </c>
      <c r="Z119" s="110">
        <v>300</v>
      </c>
      <c r="AA119" s="110">
        <v>198</v>
      </c>
      <c r="AB119" s="110">
        <v>1.3</v>
      </c>
      <c r="AC119" s="110" t="s">
        <v>95</v>
      </c>
      <c r="AD119" s="110" t="s">
        <v>95</v>
      </c>
      <c r="AE119" s="110" t="s">
        <v>95</v>
      </c>
      <c r="AF119" s="110">
        <v>5.1000000000000004E-3</v>
      </c>
      <c r="AG119" s="110" t="s">
        <v>95</v>
      </c>
      <c r="AH119" s="110" t="s">
        <v>95</v>
      </c>
      <c r="AI119" s="110">
        <v>4.0000000000000001E-3</v>
      </c>
      <c r="AJ119" s="110">
        <v>0.94</v>
      </c>
      <c r="AK119" s="110">
        <v>44</v>
      </c>
      <c r="AL119" s="110">
        <v>10.5</v>
      </c>
      <c r="AM119" s="110">
        <v>7.3</v>
      </c>
      <c r="AN119" s="110">
        <v>45</v>
      </c>
      <c r="AO119" s="110">
        <v>4.21</v>
      </c>
      <c r="AP119" s="110">
        <v>3.9</v>
      </c>
      <c r="AQ119" s="110">
        <v>4.26</v>
      </c>
      <c r="AR119" s="110">
        <v>4.84</v>
      </c>
      <c r="AS119" s="110">
        <v>0.5</v>
      </c>
      <c r="AT119" s="110">
        <v>5.47</v>
      </c>
      <c r="AU119" s="110">
        <v>0.33</v>
      </c>
      <c r="AV119" s="110">
        <v>1.0999999999999999E-2</v>
      </c>
      <c r="AW119" s="110">
        <v>0.36199999999999999</v>
      </c>
      <c r="AX119" s="110">
        <v>30</v>
      </c>
      <c r="AY119" s="110">
        <v>10</v>
      </c>
      <c r="AZ119" s="110">
        <v>0.1</v>
      </c>
      <c r="BA119" s="110">
        <v>12</v>
      </c>
      <c r="BB119" s="110">
        <v>1.7</v>
      </c>
      <c r="BC119" s="110">
        <v>200</v>
      </c>
      <c r="BD119" s="110">
        <v>2.9</v>
      </c>
      <c r="BE119" s="110">
        <v>200</v>
      </c>
      <c r="BF119" s="110">
        <v>60</v>
      </c>
      <c r="BG119" s="110">
        <v>1</v>
      </c>
      <c r="BH119" s="110">
        <v>60</v>
      </c>
      <c r="BI119" s="110">
        <v>0.1</v>
      </c>
      <c r="BJ119" s="110">
        <v>0.24</v>
      </c>
      <c r="BK119" s="110" t="s">
        <v>94</v>
      </c>
      <c r="BL119" s="110">
        <v>0.9</v>
      </c>
      <c r="BM119" s="110" t="s">
        <v>95</v>
      </c>
      <c r="BN119" s="110" t="s">
        <v>95</v>
      </c>
      <c r="BO119" s="110" t="s">
        <v>95</v>
      </c>
      <c r="BP119" s="110" t="s">
        <v>93</v>
      </c>
      <c r="BQ119" s="110" t="s">
        <v>328</v>
      </c>
      <c r="BR119" s="110" t="s">
        <v>95</v>
      </c>
      <c r="BS119" s="110">
        <v>2.6</v>
      </c>
      <c r="BT119" s="110">
        <v>3.8</v>
      </c>
      <c r="BU119" s="110">
        <v>132</v>
      </c>
      <c r="BV119" s="110">
        <v>6.9</v>
      </c>
      <c r="BW119" s="110">
        <v>13</v>
      </c>
      <c r="BX119" s="110" t="s">
        <v>95</v>
      </c>
      <c r="BY119" s="110" t="s">
        <v>309</v>
      </c>
      <c r="BZ119" s="110" t="s">
        <v>94</v>
      </c>
      <c r="CA119" s="110" t="s">
        <v>95</v>
      </c>
      <c r="CB119" s="110">
        <v>42577</v>
      </c>
      <c r="CC119" s="110">
        <v>42664</v>
      </c>
      <c r="CD119" s="110">
        <v>2595</v>
      </c>
      <c r="CE119" s="110">
        <v>0.86099999999999999</v>
      </c>
    </row>
    <row r="120" spans="1:83" x14ac:dyDescent="0.25">
      <c r="A120" s="113" t="s">
        <v>393</v>
      </c>
      <c r="B120" s="114">
        <v>146</v>
      </c>
      <c r="C120" s="114" t="s">
        <v>94</v>
      </c>
      <c r="D120" s="114" t="s">
        <v>93</v>
      </c>
      <c r="E120" s="114" t="s">
        <v>111</v>
      </c>
      <c r="F120" s="114" t="s">
        <v>132</v>
      </c>
      <c r="G120" s="114" t="s">
        <v>400</v>
      </c>
      <c r="H120" s="114" t="s">
        <v>94</v>
      </c>
      <c r="I120" s="114">
        <v>1</v>
      </c>
      <c r="J120" s="114">
        <v>0</v>
      </c>
      <c r="K120" s="114">
        <v>1</v>
      </c>
      <c r="L120" s="114">
        <v>60</v>
      </c>
      <c r="M120" s="114">
        <v>20</v>
      </c>
      <c r="N120" s="114">
        <v>35</v>
      </c>
      <c r="O120" s="114">
        <v>156</v>
      </c>
      <c r="P120" s="114">
        <v>150</v>
      </c>
      <c r="Q120" s="114">
        <v>2.8</v>
      </c>
      <c r="R120" s="114">
        <v>55</v>
      </c>
      <c r="S120" s="114">
        <v>1.9</v>
      </c>
      <c r="T120" s="114">
        <v>1.5</v>
      </c>
      <c r="U120" s="114">
        <v>2.7</v>
      </c>
      <c r="V120" s="114">
        <v>3.6</v>
      </c>
      <c r="W120" s="114">
        <v>1</v>
      </c>
      <c r="X120" s="114">
        <v>27</v>
      </c>
      <c r="Y120" s="114">
        <v>12</v>
      </c>
      <c r="Z120" s="114">
        <v>300</v>
      </c>
      <c r="AA120" s="114">
        <v>40</v>
      </c>
      <c r="AB120" s="114">
        <v>0.5</v>
      </c>
      <c r="AC120" s="110" t="s">
        <v>95</v>
      </c>
      <c r="AD120" s="114" t="s">
        <v>95</v>
      </c>
      <c r="AE120" s="110" t="s">
        <v>95</v>
      </c>
      <c r="AF120" s="114">
        <v>1.5599999999999999E-2</v>
      </c>
      <c r="AG120" s="114" t="s">
        <v>95</v>
      </c>
      <c r="AH120" s="114" t="s">
        <v>95</v>
      </c>
      <c r="AI120" s="114">
        <v>9.9000000000000008E-3</v>
      </c>
      <c r="AJ120" s="114">
        <v>0.95</v>
      </c>
      <c r="AK120" s="114">
        <v>5.6</v>
      </c>
      <c r="AL120" s="114">
        <v>2</v>
      </c>
      <c r="AM120" s="114">
        <v>2</v>
      </c>
      <c r="AN120" s="114">
        <v>11.1</v>
      </c>
      <c r="AO120" s="114">
        <v>0.95299999999999996</v>
      </c>
      <c r="AP120" s="114">
        <v>0.88800000000000001</v>
      </c>
      <c r="AQ120" s="114">
        <v>0.97299999999999998</v>
      </c>
      <c r="AR120" s="114">
        <v>1.45</v>
      </c>
      <c r="AS120" s="114">
        <v>0.16900000000000001</v>
      </c>
      <c r="AT120" s="114">
        <v>1.71</v>
      </c>
      <c r="AU120" s="114">
        <v>0.11700000000000001</v>
      </c>
      <c r="AV120" s="114">
        <v>1.34E-2</v>
      </c>
      <c r="AW120" s="114">
        <v>0.14399999999999999</v>
      </c>
      <c r="AX120" s="114">
        <v>30</v>
      </c>
      <c r="AY120" s="114">
        <v>10</v>
      </c>
      <c r="AZ120" s="114">
        <v>0.1</v>
      </c>
      <c r="BA120" s="114">
        <v>7</v>
      </c>
      <c r="BB120" s="114">
        <v>1.4</v>
      </c>
      <c r="BC120" s="114">
        <v>95</v>
      </c>
      <c r="BD120" s="114">
        <v>7</v>
      </c>
      <c r="BE120" s="114">
        <v>20</v>
      </c>
      <c r="BF120" s="114">
        <v>30</v>
      </c>
      <c r="BG120" s="114">
        <v>3</v>
      </c>
      <c r="BH120" s="114">
        <v>60</v>
      </c>
      <c r="BI120" s="114">
        <v>0.1</v>
      </c>
      <c r="BJ120" s="114">
        <v>0.7</v>
      </c>
      <c r="BK120" s="114" t="s">
        <v>94</v>
      </c>
      <c r="BL120" s="114">
        <v>0.8</v>
      </c>
      <c r="BM120" s="114" t="s">
        <v>95</v>
      </c>
      <c r="BN120" s="114">
        <v>1155</v>
      </c>
      <c r="BO120" s="114">
        <v>1.125</v>
      </c>
      <c r="BP120" s="114" t="s">
        <v>93</v>
      </c>
      <c r="BQ120" s="115" t="s">
        <v>408</v>
      </c>
      <c r="BR120" s="114" t="s">
        <v>95</v>
      </c>
      <c r="BS120" s="114">
        <v>1</v>
      </c>
      <c r="BT120" s="114">
        <v>3.75</v>
      </c>
      <c r="BU120" s="114">
        <v>37</v>
      </c>
      <c r="BV120" s="114">
        <v>1.7</v>
      </c>
      <c r="BW120" s="114">
        <v>3.1</v>
      </c>
      <c r="BX120" s="114" t="s">
        <v>95</v>
      </c>
      <c r="BY120" s="114" t="s">
        <v>122</v>
      </c>
      <c r="BZ120" s="114" t="s">
        <v>94</v>
      </c>
      <c r="CA120" s="114" t="s">
        <v>95</v>
      </c>
      <c r="CB120" s="114">
        <v>43724</v>
      </c>
      <c r="CC120" s="114">
        <v>43724</v>
      </c>
      <c r="CD120" s="114">
        <v>2055</v>
      </c>
      <c r="CE120" s="114">
        <v>0.25800000000000001</v>
      </c>
    </row>
    <row r="121" spans="1:83" x14ac:dyDescent="0.25">
      <c r="A121" s="109" t="s">
        <v>329</v>
      </c>
      <c r="B121" s="110">
        <v>146</v>
      </c>
      <c r="C121" s="110" t="s">
        <v>93</v>
      </c>
      <c r="D121" s="110" t="s">
        <v>93</v>
      </c>
      <c r="E121" s="110" t="s">
        <v>111</v>
      </c>
      <c r="F121" s="110" t="s">
        <v>132</v>
      </c>
      <c r="G121" s="110" t="s">
        <v>319</v>
      </c>
      <c r="H121" s="110" t="s">
        <v>94</v>
      </c>
      <c r="I121" s="110">
        <v>1</v>
      </c>
      <c r="J121" s="110">
        <v>0</v>
      </c>
      <c r="K121" s="110">
        <v>1</v>
      </c>
      <c r="L121" s="110">
        <v>60</v>
      </c>
      <c r="M121" s="110">
        <v>20</v>
      </c>
      <c r="N121" s="110">
        <v>100</v>
      </c>
      <c r="O121" s="110">
        <v>251</v>
      </c>
      <c r="P121" s="110">
        <v>150</v>
      </c>
      <c r="Q121" s="110">
        <v>3.2</v>
      </c>
      <c r="R121" s="110">
        <v>50</v>
      </c>
      <c r="S121" s="110">
        <v>1.3</v>
      </c>
      <c r="T121" s="110">
        <v>1.7</v>
      </c>
      <c r="U121" s="110">
        <v>2.4</v>
      </c>
      <c r="V121" s="110">
        <v>3.3</v>
      </c>
      <c r="W121" s="110">
        <v>1</v>
      </c>
      <c r="X121" s="110">
        <v>49</v>
      </c>
      <c r="Y121" s="110">
        <v>18</v>
      </c>
      <c r="Z121" s="110">
        <v>300</v>
      </c>
      <c r="AA121" s="110">
        <v>60</v>
      </c>
      <c r="AB121" s="110">
        <v>1.5</v>
      </c>
      <c r="AC121" s="110" t="s">
        <v>95</v>
      </c>
      <c r="AD121" s="110" t="s">
        <v>95</v>
      </c>
      <c r="AE121" s="110" t="s">
        <v>95</v>
      </c>
      <c r="AF121" s="110">
        <v>1.0800000000000001E-2</v>
      </c>
      <c r="AG121" s="110" t="s">
        <v>95</v>
      </c>
      <c r="AH121" s="110" t="s">
        <v>95</v>
      </c>
      <c r="AI121" s="110">
        <v>6.7999999999999996E-3</v>
      </c>
      <c r="AJ121" s="110">
        <v>0.95</v>
      </c>
      <c r="AK121" s="110">
        <v>15</v>
      </c>
      <c r="AL121" s="110">
        <v>3</v>
      </c>
      <c r="AM121" s="110">
        <v>2.2999999999999998</v>
      </c>
      <c r="AN121" s="110">
        <v>15</v>
      </c>
      <c r="AO121" s="110">
        <v>1.25</v>
      </c>
      <c r="AP121" s="110">
        <v>1.1499999999999999</v>
      </c>
      <c r="AQ121" s="110">
        <v>1.27</v>
      </c>
      <c r="AR121" s="110">
        <v>2.6</v>
      </c>
      <c r="AS121" s="110">
        <v>0.28000000000000003</v>
      </c>
      <c r="AT121" s="110">
        <v>3.2</v>
      </c>
      <c r="AU121" s="110">
        <v>0.12</v>
      </c>
      <c r="AV121" s="110">
        <v>0.01</v>
      </c>
      <c r="AW121" s="110">
        <v>0.14499999999999999</v>
      </c>
      <c r="AX121" s="110">
        <v>30</v>
      </c>
      <c r="AY121" s="110">
        <v>10</v>
      </c>
      <c r="AZ121" s="110">
        <v>0.1</v>
      </c>
      <c r="BA121" s="110">
        <v>7</v>
      </c>
      <c r="BB121" s="110">
        <v>1.4</v>
      </c>
      <c r="BC121" s="110">
        <v>95</v>
      </c>
      <c r="BD121" s="110">
        <v>7</v>
      </c>
      <c r="BE121" s="110">
        <v>20</v>
      </c>
      <c r="BF121" s="110">
        <v>30</v>
      </c>
      <c r="BG121" s="110">
        <v>3</v>
      </c>
      <c r="BH121" s="110">
        <v>60</v>
      </c>
      <c r="BI121" s="110">
        <v>0.1</v>
      </c>
      <c r="BJ121" s="110">
        <v>0.7</v>
      </c>
      <c r="BK121" s="110" t="s">
        <v>94</v>
      </c>
      <c r="BL121" s="110">
        <v>0.8</v>
      </c>
      <c r="BM121" s="110" t="s">
        <v>95</v>
      </c>
      <c r="BN121" s="110">
        <v>1155</v>
      </c>
      <c r="BO121" s="110">
        <v>1.125</v>
      </c>
      <c r="BP121" s="110" t="s">
        <v>93</v>
      </c>
      <c r="BQ121" s="110" t="s">
        <v>330</v>
      </c>
      <c r="BR121" s="110" t="s">
        <v>95</v>
      </c>
      <c r="BS121" s="110">
        <v>3</v>
      </c>
      <c r="BT121" s="110">
        <v>3.75</v>
      </c>
      <c r="BU121" s="110">
        <v>63</v>
      </c>
      <c r="BV121" s="110">
        <v>2.9</v>
      </c>
      <c r="BW121" s="110">
        <v>3.3</v>
      </c>
      <c r="BX121" s="110" t="s">
        <v>95</v>
      </c>
      <c r="BY121" s="110" t="s">
        <v>115</v>
      </c>
      <c r="BZ121" s="110" t="s">
        <v>94</v>
      </c>
      <c r="CA121" s="110" t="s">
        <v>95</v>
      </c>
      <c r="CB121" s="110">
        <v>41554</v>
      </c>
      <c r="CC121" s="110">
        <v>42564</v>
      </c>
      <c r="CD121" s="110">
        <v>2055</v>
      </c>
      <c r="CE121" s="110">
        <v>0.47699999999999998</v>
      </c>
    </row>
    <row r="122" spans="1:83" x14ac:dyDescent="0.25">
      <c r="A122" s="109" t="s">
        <v>331</v>
      </c>
      <c r="B122" s="110">
        <v>146</v>
      </c>
      <c r="C122" s="110" t="s">
        <v>93</v>
      </c>
      <c r="D122" s="110" t="s">
        <v>102</v>
      </c>
      <c r="E122" s="110" t="s">
        <v>251</v>
      </c>
      <c r="F122" s="110" t="s">
        <v>265</v>
      </c>
      <c r="G122" s="110" t="s">
        <v>332</v>
      </c>
      <c r="H122" s="110" t="s">
        <v>94</v>
      </c>
      <c r="I122" s="110">
        <v>1</v>
      </c>
      <c r="J122" s="110">
        <v>0</v>
      </c>
      <c r="K122" s="110">
        <v>4</v>
      </c>
      <c r="L122" s="110">
        <v>80</v>
      </c>
      <c r="M122" s="110">
        <v>20</v>
      </c>
      <c r="N122" s="110">
        <v>100</v>
      </c>
      <c r="O122" s="110">
        <v>305</v>
      </c>
      <c r="P122" s="110">
        <v>175</v>
      </c>
      <c r="Q122" s="110">
        <v>217</v>
      </c>
      <c r="R122" s="110">
        <v>62</v>
      </c>
      <c r="S122" s="110">
        <v>0.7</v>
      </c>
      <c r="T122" s="110">
        <v>2.2000000000000002</v>
      </c>
      <c r="U122" s="110">
        <v>2.2999999999999998</v>
      </c>
      <c r="V122" s="110">
        <v>4.41</v>
      </c>
      <c r="W122" s="110">
        <v>1.1000000000000001</v>
      </c>
      <c r="X122" s="110">
        <v>74</v>
      </c>
      <c r="Y122" s="110">
        <v>60</v>
      </c>
      <c r="Z122" s="110">
        <v>300</v>
      </c>
      <c r="AA122" s="110">
        <v>137</v>
      </c>
      <c r="AB122" s="110">
        <v>1.3</v>
      </c>
      <c r="AC122" s="110" t="s">
        <v>95</v>
      </c>
      <c r="AD122" s="110" t="s">
        <v>95</v>
      </c>
      <c r="AE122" s="110" t="s">
        <v>95</v>
      </c>
      <c r="AF122" s="110" t="s">
        <v>95</v>
      </c>
      <c r="AG122" s="110">
        <v>7.9000000000000008E-3</v>
      </c>
      <c r="AH122" s="110" t="s">
        <v>95</v>
      </c>
      <c r="AI122" s="110">
        <v>6.6E-3</v>
      </c>
      <c r="AJ122" s="110">
        <v>0.94</v>
      </c>
      <c r="AK122" s="110">
        <v>38</v>
      </c>
      <c r="AL122" s="110">
        <v>7</v>
      </c>
      <c r="AM122" s="110">
        <v>7.5</v>
      </c>
      <c r="AN122" s="110">
        <v>38</v>
      </c>
      <c r="AO122" s="110">
        <v>3.28</v>
      </c>
      <c r="AP122" s="110">
        <v>3.06</v>
      </c>
      <c r="AQ122" s="110">
        <v>3.35</v>
      </c>
      <c r="AR122" s="110">
        <v>4.16</v>
      </c>
      <c r="AS122" s="110">
        <v>0.78400000000000003</v>
      </c>
      <c r="AT122" s="110">
        <v>4.99</v>
      </c>
      <c r="AU122" s="110">
        <v>0.245</v>
      </c>
      <c r="AV122" s="110">
        <v>1.24E-2</v>
      </c>
      <c r="AW122" s="110">
        <v>0.307</v>
      </c>
      <c r="AX122" s="110">
        <v>40</v>
      </c>
      <c r="AY122" s="110">
        <v>10</v>
      </c>
      <c r="AZ122" s="110">
        <v>0.1</v>
      </c>
      <c r="BA122" s="110">
        <v>6.5</v>
      </c>
      <c r="BB122" s="110">
        <v>2.2000000000000002</v>
      </c>
      <c r="BC122" s="110">
        <v>120</v>
      </c>
      <c r="BD122" s="110">
        <v>80</v>
      </c>
      <c r="BE122" s="110">
        <v>0.5</v>
      </c>
      <c r="BF122" s="110">
        <v>80</v>
      </c>
      <c r="BG122" s="110">
        <v>0.1</v>
      </c>
      <c r="BH122" s="110">
        <v>80</v>
      </c>
      <c r="BI122" s="110">
        <v>0.1</v>
      </c>
      <c r="BJ122" s="110">
        <v>0.27</v>
      </c>
      <c r="BK122" s="110" t="s">
        <v>94</v>
      </c>
      <c r="BL122" s="110">
        <v>0.9</v>
      </c>
      <c r="BM122" s="110" t="s">
        <v>95</v>
      </c>
      <c r="BN122" s="110" t="s">
        <v>95</v>
      </c>
      <c r="BO122" s="110" t="s">
        <v>95</v>
      </c>
      <c r="BP122" s="110" t="s">
        <v>93</v>
      </c>
      <c r="BQ122" s="110" t="s">
        <v>333</v>
      </c>
      <c r="BR122" s="110" t="s">
        <v>95</v>
      </c>
      <c r="BS122" s="110">
        <v>1.3</v>
      </c>
      <c r="BT122" s="110">
        <v>4.2</v>
      </c>
      <c r="BU122" s="110">
        <v>230</v>
      </c>
      <c r="BV122" s="110">
        <v>5.8</v>
      </c>
      <c r="BW122" s="110">
        <v>12.4</v>
      </c>
      <c r="BX122" s="110" t="s">
        <v>95</v>
      </c>
      <c r="BY122" s="110" t="s">
        <v>255</v>
      </c>
      <c r="BZ122" s="110" t="s">
        <v>94</v>
      </c>
      <c r="CA122" s="110" t="s">
        <v>95</v>
      </c>
      <c r="CB122" s="110">
        <v>42577</v>
      </c>
      <c r="CC122" s="110">
        <v>42664</v>
      </c>
      <c r="CD122" s="110">
        <v>2546</v>
      </c>
      <c r="CE122" s="110">
        <v>0.71899999999999997</v>
      </c>
    </row>
    <row r="123" spans="1:83" x14ac:dyDescent="0.25">
      <c r="A123" s="109" t="s">
        <v>334</v>
      </c>
      <c r="B123" s="110">
        <v>146</v>
      </c>
      <c r="C123" s="110" t="s">
        <v>93</v>
      </c>
      <c r="D123" s="110" t="s">
        <v>93</v>
      </c>
      <c r="E123" s="110" t="s">
        <v>97</v>
      </c>
      <c r="F123" s="110" t="s">
        <v>98</v>
      </c>
      <c r="G123" s="110" t="s">
        <v>335</v>
      </c>
      <c r="H123" s="110" t="s">
        <v>94</v>
      </c>
      <c r="I123" s="110">
        <v>1</v>
      </c>
      <c r="J123" s="110">
        <v>0</v>
      </c>
      <c r="K123" s="110">
        <v>1</v>
      </c>
      <c r="L123" s="110">
        <v>80</v>
      </c>
      <c r="M123" s="110">
        <v>20</v>
      </c>
      <c r="N123" s="110">
        <v>100</v>
      </c>
      <c r="O123" s="110">
        <v>400</v>
      </c>
      <c r="P123" s="110">
        <v>150</v>
      </c>
      <c r="Q123" s="110">
        <v>3.1</v>
      </c>
      <c r="R123" s="110">
        <v>50</v>
      </c>
      <c r="S123" s="110">
        <v>0.8</v>
      </c>
      <c r="T123" s="110">
        <v>2.2000000000000002</v>
      </c>
      <c r="U123" s="110">
        <v>3.3</v>
      </c>
      <c r="V123" s="110">
        <v>4</v>
      </c>
      <c r="W123" s="110">
        <v>1</v>
      </c>
      <c r="X123" s="110">
        <v>72</v>
      </c>
      <c r="Y123" s="110">
        <v>19</v>
      </c>
      <c r="Z123" s="110">
        <v>300</v>
      </c>
      <c r="AA123" s="110">
        <v>88</v>
      </c>
      <c r="AB123" s="110">
        <v>1.2</v>
      </c>
      <c r="AC123" s="110" t="s">
        <v>95</v>
      </c>
      <c r="AD123" s="110" t="s">
        <v>95</v>
      </c>
      <c r="AE123" s="110" t="s">
        <v>95</v>
      </c>
      <c r="AF123" s="110" t="s">
        <v>95</v>
      </c>
      <c r="AG123" s="110">
        <v>4.7999999999999996E-3</v>
      </c>
      <c r="AH123" s="110" t="s">
        <v>95</v>
      </c>
      <c r="AI123" s="110">
        <v>4.1000000000000003E-3</v>
      </c>
      <c r="AJ123" s="110">
        <v>0.93</v>
      </c>
      <c r="AK123" s="110">
        <v>48</v>
      </c>
      <c r="AL123" s="110">
        <v>9</v>
      </c>
      <c r="AM123" s="110">
        <v>10</v>
      </c>
      <c r="AN123" s="110">
        <v>51</v>
      </c>
      <c r="AO123" s="110">
        <v>4.08</v>
      </c>
      <c r="AP123" s="110">
        <v>3.75</v>
      </c>
      <c r="AQ123" s="110">
        <v>4.2</v>
      </c>
      <c r="AR123" s="110">
        <v>5.17</v>
      </c>
      <c r="AS123" s="110">
        <v>0.92500000000000004</v>
      </c>
      <c r="AT123" s="110">
        <v>6.6</v>
      </c>
      <c r="AU123" s="110">
        <v>0.39200000000000002</v>
      </c>
      <c r="AV123" s="110">
        <v>1.7000000000000001E-2</v>
      </c>
      <c r="AW123" s="110">
        <v>0.52</v>
      </c>
      <c r="AX123" s="110">
        <v>40</v>
      </c>
      <c r="AY123" s="110">
        <v>10</v>
      </c>
      <c r="AZ123" s="110">
        <v>0.1</v>
      </c>
      <c r="BA123" s="110">
        <v>12.67</v>
      </c>
      <c r="BB123" s="110">
        <v>1.5</v>
      </c>
      <c r="BC123" s="110">
        <v>190</v>
      </c>
      <c r="BD123" s="110">
        <v>2.48</v>
      </c>
      <c r="BE123" s="110">
        <v>190</v>
      </c>
      <c r="BF123" s="110">
        <v>80</v>
      </c>
      <c r="BG123" s="110">
        <v>0.69</v>
      </c>
      <c r="BH123" s="110">
        <v>80</v>
      </c>
      <c r="BI123" s="110">
        <v>0.1</v>
      </c>
      <c r="BJ123" s="110">
        <v>0.21</v>
      </c>
      <c r="BK123" s="110" t="s">
        <v>94</v>
      </c>
      <c r="BL123" s="110">
        <v>0.8</v>
      </c>
      <c r="BM123" s="110" t="s">
        <v>95</v>
      </c>
      <c r="BN123" s="110" t="s">
        <v>95</v>
      </c>
      <c r="BO123" s="110">
        <v>3.68</v>
      </c>
      <c r="BP123" s="110" t="s">
        <v>94</v>
      </c>
      <c r="BQ123" s="110" t="s">
        <v>336</v>
      </c>
      <c r="BR123" s="110" t="s">
        <v>95</v>
      </c>
      <c r="BS123" s="110">
        <v>2.4</v>
      </c>
      <c r="BT123" s="110">
        <v>3.9</v>
      </c>
      <c r="BU123" s="110">
        <v>275</v>
      </c>
      <c r="BV123" s="110">
        <v>8.6</v>
      </c>
      <c r="BW123" s="110">
        <v>14</v>
      </c>
      <c r="BX123" s="110" t="s">
        <v>95</v>
      </c>
      <c r="BY123" s="110" t="s">
        <v>115</v>
      </c>
      <c r="BZ123" s="110" t="s">
        <v>94</v>
      </c>
      <c r="CA123" s="110" t="s">
        <v>95</v>
      </c>
      <c r="CB123" s="110">
        <v>42422</v>
      </c>
      <c r="CC123" s="110">
        <v>42585</v>
      </c>
      <c r="CD123" s="110">
        <v>2547</v>
      </c>
      <c r="CE123" s="110">
        <v>0.89600000000000002</v>
      </c>
    </row>
    <row r="124" spans="1:83" x14ac:dyDescent="0.25">
      <c r="A124" s="109" t="s">
        <v>337</v>
      </c>
      <c r="B124" s="110">
        <v>146</v>
      </c>
      <c r="C124" s="110" t="s">
        <v>93</v>
      </c>
      <c r="D124" s="110" t="s">
        <v>102</v>
      </c>
      <c r="E124" s="110" t="s">
        <v>251</v>
      </c>
      <c r="F124" s="110" t="s">
        <v>265</v>
      </c>
      <c r="G124" s="110" t="s">
        <v>305</v>
      </c>
      <c r="H124" s="110" t="s">
        <v>94</v>
      </c>
      <c r="I124" s="110">
        <v>1</v>
      </c>
      <c r="J124" s="110">
        <v>0</v>
      </c>
      <c r="K124" s="110">
        <v>4</v>
      </c>
      <c r="L124" s="110">
        <v>80</v>
      </c>
      <c r="M124" s="110">
        <v>20</v>
      </c>
      <c r="N124" s="110">
        <v>100</v>
      </c>
      <c r="O124" s="110">
        <v>247</v>
      </c>
      <c r="P124" s="110">
        <v>175</v>
      </c>
      <c r="Q124" s="110">
        <v>188</v>
      </c>
      <c r="R124" s="110">
        <v>62</v>
      </c>
      <c r="S124" s="110">
        <v>0.8</v>
      </c>
      <c r="T124" s="110">
        <v>2.2000000000000002</v>
      </c>
      <c r="U124" s="110">
        <v>3.4</v>
      </c>
      <c r="V124" s="110">
        <v>4.84</v>
      </c>
      <c r="W124" s="110">
        <v>1.1000000000000001</v>
      </c>
      <c r="X124" s="110">
        <v>72</v>
      </c>
      <c r="Y124" s="110">
        <v>60</v>
      </c>
      <c r="Z124" s="110">
        <v>300</v>
      </c>
      <c r="AA124" s="110">
        <v>110</v>
      </c>
      <c r="AB124" s="110">
        <v>1.2</v>
      </c>
      <c r="AC124" s="110" t="s">
        <v>95</v>
      </c>
      <c r="AD124" s="110" t="s">
        <v>95</v>
      </c>
      <c r="AE124" s="110" t="s">
        <v>95</v>
      </c>
      <c r="AF124" s="110" t="s">
        <v>95</v>
      </c>
      <c r="AG124" s="110">
        <v>1.09E-2</v>
      </c>
      <c r="AH124" s="110" t="s">
        <v>95</v>
      </c>
      <c r="AI124" s="110">
        <v>9.1999999999999998E-3</v>
      </c>
      <c r="AJ124" s="110">
        <v>0.77</v>
      </c>
      <c r="AK124" s="110">
        <v>28</v>
      </c>
      <c r="AL124" s="110">
        <v>5.55</v>
      </c>
      <c r="AM124" s="110">
        <v>6.1</v>
      </c>
      <c r="AN124" s="110">
        <v>28</v>
      </c>
      <c r="AO124" s="110">
        <v>2.2599999999999998</v>
      </c>
      <c r="AP124" s="110">
        <v>2.1</v>
      </c>
      <c r="AQ124" s="110">
        <v>2.31</v>
      </c>
      <c r="AR124" s="110">
        <v>2.91</v>
      </c>
      <c r="AS124" s="110">
        <v>0.55500000000000005</v>
      </c>
      <c r="AT124" s="110">
        <v>3.47</v>
      </c>
      <c r="AU124" s="110">
        <v>0.215</v>
      </c>
      <c r="AV124" s="110">
        <v>8.5000000000000006E-3</v>
      </c>
      <c r="AW124" s="110">
        <v>0.26600000000000001</v>
      </c>
      <c r="AX124" s="110">
        <v>40</v>
      </c>
      <c r="AY124" s="110">
        <v>10</v>
      </c>
      <c r="AZ124" s="110">
        <v>0.1</v>
      </c>
      <c r="BA124" s="110">
        <v>5.66</v>
      </c>
      <c r="BB124" s="110">
        <v>1.79</v>
      </c>
      <c r="BC124" s="110">
        <v>101.52</v>
      </c>
      <c r="BD124" s="110">
        <v>80</v>
      </c>
      <c r="BE124" s="110">
        <v>0.42</v>
      </c>
      <c r="BF124" s="110">
        <v>80</v>
      </c>
      <c r="BG124" s="110">
        <v>0.1</v>
      </c>
      <c r="BH124" s="110">
        <v>80</v>
      </c>
      <c r="BI124" s="110">
        <v>0.1</v>
      </c>
      <c r="BJ124" s="110">
        <v>0.38</v>
      </c>
      <c r="BK124" s="110" t="s">
        <v>94</v>
      </c>
      <c r="BL124" s="110">
        <v>0.9</v>
      </c>
      <c r="BM124" s="110" t="s">
        <v>95</v>
      </c>
      <c r="BN124" s="110" t="s">
        <v>95</v>
      </c>
      <c r="BO124" s="110" t="s">
        <v>95</v>
      </c>
      <c r="BP124" s="110" t="s">
        <v>93</v>
      </c>
      <c r="BQ124" s="110" t="s">
        <v>338</v>
      </c>
      <c r="BR124" s="110" t="s">
        <v>95</v>
      </c>
      <c r="BS124" s="110">
        <v>2.4</v>
      </c>
      <c r="BT124" s="110">
        <v>5</v>
      </c>
      <c r="BU124" s="110">
        <v>119</v>
      </c>
      <c r="BV124" s="110">
        <v>5.4</v>
      </c>
      <c r="BW124" s="110">
        <v>9.8000000000000007</v>
      </c>
      <c r="BX124" s="110" t="s">
        <v>95</v>
      </c>
      <c r="BY124" s="110" t="s">
        <v>255</v>
      </c>
      <c r="BZ124" s="110" t="s">
        <v>94</v>
      </c>
      <c r="CA124" s="110" t="s">
        <v>95</v>
      </c>
      <c r="CB124" s="110">
        <v>42577</v>
      </c>
      <c r="CC124" s="110">
        <v>42577</v>
      </c>
      <c r="CD124" s="110">
        <v>2548</v>
      </c>
      <c r="CE124" s="110">
        <v>0.58699999999999997</v>
      </c>
    </row>
    <row r="125" spans="1:83" x14ac:dyDescent="0.25">
      <c r="A125" s="109" t="s">
        <v>339</v>
      </c>
      <c r="B125" s="110">
        <v>146</v>
      </c>
      <c r="C125" s="110" t="s">
        <v>93</v>
      </c>
      <c r="D125" s="110" t="s">
        <v>94</v>
      </c>
      <c r="E125" s="110" t="s">
        <v>95</v>
      </c>
      <c r="F125" s="110" t="s">
        <v>95</v>
      </c>
      <c r="G125" s="110" t="s">
        <v>208</v>
      </c>
      <c r="H125" s="110" t="s">
        <v>94</v>
      </c>
      <c r="I125" s="110">
        <v>1</v>
      </c>
      <c r="J125" s="110">
        <v>0</v>
      </c>
      <c r="K125" s="110" t="s">
        <v>95</v>
      </c>
      <c r="L125" s="110">
        <v>80</v>
      </c>
      <c r="M125" s="110">
        <v>20</v>
      </c>
      <c r="N125" s="110">
        <v>150</v>
      </c>
      <c r="O125" s="110">
        <v>400</v>
      </c>
      <c r="P125" s="110">
        <v>175</v>
      </c>
      <c r="Q125" s="110">
        <v>300</v>
      </c>
      <c r="R125" s="110">
        <v>62</v>
      </c>
      <c r="S125" s="110">
        <v>0.5</v>
      </c>
      <c r="T125" s="110">
        <v>2.2000000000000002</v>
      </c>
      <c r="U125" s="110">
        <v>3.2</v>
      </c>
      <c r="V125" s="110">
        <v>4.46</v>
      </c>
      <c r="W125" s="110">
        <v>1.1000000000000001</v>
      </c>
      <c r="X125" s="110">
        <v>88</v>
      </c>
      <c r="Y125" s="110">
        <v>100</v>
      </c>
      <c r="Z125" s="110">
        <v>300</v>
      </c>
      <c r="AA125" s="110">
        <v>262</v>
      </c>
      <c r="AB125" s="110">
        <v>1.4</v>
      </c>
      <c r="AC125" s="110" t="s">
        <v>95</v>
      </c>
      <c r="AD125" s="110" t="s">
        <v>95</v>
      </c>
      <c r="AE125" s="110" t="s">
        <v>95</v>
      </c>
      <c r="AF125" s="110" t="s">
        <v>95</v>
      </c>
      <c r="AG125" s="110">
        <v>3.8E-3</v>
      </c>
      <c r="AH125" s="110" t="s">
        <v>95</v>
      </c>
      <c r="AI125" s="110">
        <v>3.0999999999999999E-3</v>
      </c>
      <c r="AJ125" s="110">
        <v>0.92</v>
      </c>
      <c r="AK125" s="110">
        <v>76</v>
      </c>
      <c r="AL125" s="110">
        <v>15</v>
      </c>
      <c r="AM125" s="110">
        <v>15</v>
      </c>
      <c r="AN125" s="110">
        <v>76</v>
      </c>
      <c r="AO125" s="110">
        <v>6.55</v>
      </c>
      <c r="AP125" s="110">
        <v>6.09</v>
      </c>
      <c r="AQ125" s="110">
        <v>6.7</v>
      </c>
      <c r="AR125" s="110">
        <v>8.85</v>
      </c>
      <c r="AS125" s="110">
        <v>1.6</v>
      </c>
      <c r="AT125" s="110">
        <v>10.3</v>
      </c>
      <c r="AU125" s="110">
        <v>0.439</v>
      </c>
      <c r="AV125" s="110">
        <v>2.5999999999999999E-2</v>
      </c>
      <c r="AW125" s="110">
        <v>0.44</v>
      </c>
      <c r="AX125" s="110">
        <v>40</v>
      </c>
      <c r="AY125" s="110">
        <v>10</v>
      </c>
      <c r="AZ125" s="110">
        <v>0.1</v>
      </c>
      <c r="BA125" s="110">
        <v>15</v>
      </c>
      <c r="BB125" s="110">
        <v>2.4700000000000002</v>
      </c>
      <c r="BC125" s="110">
        <v>332</v>
      </c>
      <c r="BD125" s="110">
        <v>3.16</v>
      </c>
      <c r="BE125" s="110">
        <v>260</v>
      </c>
      <c r="BF125" s="110">
        <v>80</v>
      </c>
      <c r="BG125" s="110">
        <v>1.21</v>
      </c>
      <c r="BH125" s="110">
        <v>80</v>
      </c>
      <c r="BI125" s="110">
        <v>0.1</v>
      </c>
      <c r="BJ125" s="110">
        <v>0.13</v>
      </c>
      <c r="BK125" s="110" t="s">
        <v>94</v>
      </c>
      <c r="BL125" s="110">
        <v>0.9</v>
      </c>
      <c r="BM125" s="110" t="s">
        <v>95</v>
      </c>
      <c r="BN125" s="110" t="s">
        <v>95</v>
      </c>
      <c r="BO125" s="110" t="s">
        <v>95</v>
      </c>
      <c r="BP125" s="110" t="s">
        <v>93</v>
      </c>
      <c r="BQ125" s="110" t="s">
        <v>340</v>
      </c>
      <c r="BR125" s="110" t="s">
        <v>95</v>
      </c>
      <c r="BS125" s="110">
        <v>2.8</v>
      </c>
      <c r="BT125" s="110">
        <v>4.3</v>
      </c>
      <c r="BU125" s="110">
        <v>400</v>
      </c>
      <c r="BV125" s="110">
        <v>11</v>
      </c>
      <c r="BW125" s="110">
        <v>25</v>
      </c>
      <c r="BX125" s="110" t="s">
        <v>95</v>
      </c>
      <c r="BY125" s="110" t="s">
        <v>255</v>
      </c>
      <c r="BZ125" s="110" t="s">
        <v>95</v>
      </c>
      <c r="CA125" s="110" t="s">
        <v>95</v>
      </c>
      <c r="CB125" s="110">
        <v>42577</v>
      </c>
      <c r="CC125" s="110">
        <v>42577</v>
      </c>
      <c r="CD125" s="110">
        <v>2549</v>
      </c>
      <c r="CE125" s="110">
        <v>1.266</v>
      </c>
    </row>
    <row r="126" spans="1:83" x14ac:dyDescent="0.25">
      <c r="A126" s="109" t="s">
        <v>341</v>
      </c>
      <c r="B126" s="110">
        <v>146</v>
      </c>
      <c r="C126" s="110" t="s">
        <v>93</v>
      </c>
      <c r="D126" s="110" t="s">
        <v>94</v>
      </c>
      <c r="E126" s="110" t="s">
        <v>95</v>
      </c>
      <c r="F126" s="110" t="s">
        <v>95</v>
      </c>
      <c r="G126" s="110" t="s">
        <v>103</v>
      </c>
      <c r="H126" s="110" t="s">
        <v>94</v>
      </c>
      <c r="I126" s="110">
        <v>1</v>
      </c>
      <c r="J126" s="110">
        <v>0</v>
      </c>
      <c r="K126" s="110" t="s">
        <v>95</v>
      </c>
      <c r="L126" s="110">
        <v>80</v>
      </c>
      <c r="M126" s="110">
        <v>20</v>
      </c>
      <c r="N126" s="110">
        <v>200</v>
      </c>
      <c r="O126" s="110">
        <v>400</v>
      </c>
      <c r="P126" s="110">
        <v>175</v>
      </c>
      <c r="Q126" s="110">
        <v>300</v>
      </c>
      <c r="R126" s="110">
        <v>62</v>
      </c>
      <c r="S126" s="110">
        <v>0.5</v>
      </c>
      <c r="T126" s="110">
        <v>2.2000000000000002</v>
      </c>
      <c r="U126" s="110">
        <v>3.2</v>
      </c>
      <c r="V126" s="110">
        <v>4.5999999999999996</v>
      </c>
      <c r="W126" s="110">
        <v>1.1000000000000001</v>
      </c>
      <c r="X126" s="110">
        <v>88</v>
      </c>
      <c r="Y126" s="110">
        <v>100</v>
      </c>
      <c r="Z126" s="110">
        <v>300</v>
      </c>
      <c r="AA126" s="110">
        <v>262</v>
      </c>
      <c r="AB126" s="110">
        <v>1.4</v>
      </c>
      <c r="AC126" s="110" t="s">
        <v>95</v>
      </c>
      <c r="AD126" s="110" t="s">
        <v>95</v>
      </c>
      <c r="AE126" s="110" t="s">
        <v>95</v>
      </c>
      <c r="AF126" s="110" t="s">
        <v>95</v>
      </c>
      <c r="AG126" s="110">
        <v>3.8E-3</v>
      </c>
      <c r="AH126" s="110" t="s">
        <v>95</v>
      </c>
      <c r="AI126" s="110">
        <v>3.0999999999999999E-3</v>
      </c>
      <c r="AJ126" s="110">
        <v>0.92</v>
      </c>
      <c r="AK126" s="110">
        <v>76</v>
      </c>
      <c r="AL126" s="110">
        <v>15</v>
      </c>
      <c r="AM126" s="110">
        <v>15</v>
      </c>
      <c r="AN126" s="110">
        <v>76</v>
      </c>
      <c r="AO126" s="110">
        <v>6.55</v>
      </c>
      <c r="AP126" s="110">
        <v>6.09</v>
      </c>
      <c r="AQ126" s="110">
        <v>6.7</v>
      </c>
      <c r="AR126" s="110">
        <v>8.85</v>
      </c>
      <c r="AS126" s="110">
        <v>1.6</v>
      </c>
      <c r="AT126" s="110">
        <v>10.3</v>
      </c>
      <c r="AU126" s="110">
        <v>0.439</v>
      </c>
      <c r="AV126" s="110">
        <v>2.5999999999999999E-2</v>
      </c>
      <c r="AW126" s="110">
        <v>0.44</v>
      </c>
      <c r="AX126" s="110">
        <v>40</v>
      </c>
      <c r="AY126" s="110">
        <v>10</v>
      </c>
      <c r="AZ126" s="110">
        <v>0.1</v>
      </c>
      <c r="BA126" s="110">
        <v>15</v>
      </c>
      <c r="BB126" s="110">
        <v>2.4700000000000002</v>
      </c>
      <c r="BC126" s="110">
        <v>332</v>
      </c>
      <c r="BD126" s="110">
        <v>3.16</v>
      </c>
      <c r="BE126" s="110">
        <v>260</v>
      </c>
      <c r="BF126" s="110">
        <v>80</v>
      </c>
      <c r="BG126" s="110">
        <v>1.21</v>
      </c>
      <c r="BH126" s="110">
        <v>80</v>
      </c>
      <c r="BI126" s="110">
        <v>0.1</v>
      </c>
      <c r="BJ126" s="110">
        <v>0.14000000000000001</v>
      </c>
      <c r="BK126" s="110" t="s">
        <v>94</v>
      </c>
      <c r="BL126" s="110">
        <v>0.9</v>
      </c>
      <c r="BM126" s="110" t="s">
        <v>95</v>
      </c>
      <c r="BN126" s="110" t="s">
        <v>95</v>
      </c>
      <c r="BO126" s="110" t="s">
        <v>95</v>
      </c>
      <c r="BP126" s="110" t="s">
        <v>93</v>
      </c>
      <c r="BQ126" s="110" t="s">
        <v>342</v>
      </c>
      <c r="BR126" s="110" t="s">
        <v>95</v>
      </c>
      <c r="BS126" s="110">
        <v>2.8</v>
      </c>
      <c r="BT126" s="110">
        <v>4.3</v>
      </c>
      <c r="BU126" s="110">
        <v>400</v>
      </c>
      <c r="BV126" s="110">
        <v>11</v>
      </c>
      <c r="BW126" s="110">
        <v>25</v>
      </c>
      <c r="BX126" s="110" t="s">
        <v>95</v>
      </c>
      <c r="BY126" s="110" t="s">
        <v>309</v>
      </c>
      <c r="BZ126" s="110" t="s">
        <v>95</v>
      </c>
      <c r="CA126" s="110" t="s">
        <v>95</v>
      </c>
      <c r="CB126" s="110">
        <v>42577</v>
      </c>
      <c r="CC126" s="110" t="s">
        <v>95</v>
      </c>
      <c r="CD126" s="110">
        <v>2596</v>
      </c>
      <c r="CE126" s="110">
        <v>1.3129999999999999</v>
      </c>
    </row>
    <row r="127" spans="1:83" x14ac:dyDescent="0.25">
      <c r="A127" s="109" t="s">
        <v>343</v>
      </c>
      <c r="B127" s="110">
        <v>146</v>
      </c>
      <c r="C127" s="110" t="s">
        <v>93</v>
      </c>
      <c r="D127" s="110" t="s">
        <v>94</v>
      </c>
      <c r="E127" s="110" t="s">
        <v>95</v>
      </c>
      <c r="F127" s="110" t="s">
        <v>95</v>
      </c>
      <c r="G127" s="110" t="s">
        <v>208</v>
      </c>
      <c r="H127" s="110" t="s">
        <v>94</v>
      </c>
      <c r="I127" s="110">
        <v>1</v>
      </c>
      <c r="J127" s="110">
        <v>0</v>
      </c>
      <c r="K127" s="110" t="s">
        <v>95</v>
      </c>
      <c r="L127" s="110">
        <v>80</v>
      </c>
      <c r="M127" s="110">
        <v>20</v>
      </c>
      <c r="N127" s="110">
        <v>150</v>
      </c>
      <c r="O127" s="110">
        <v>400</v>
      </c>
      <c r="P127" s="110">
        <v>175</v>
      </c>
      <c r="Q127" s="110">
        <v>375</v>
      </c>
      <c r="R127" s="110">
        <v>62</v>
      </c>
      <c r="S127" s="110">
        <v>0.4</v>
      </c>
      <c r="T127" s="110">
        <v>2.1</v>
      </c>
      <c r="U127" s="110">
        <v>3.2</v>
      </c>
      <c r="V127" s="110">
        <v>4.2699999999999996</v>
      </c>
      <c r="W127" s="110">
        <v>1.1000000000000001</v>
      </c>
      <c r="X127" s="110">
        <v>107</v>
      </c>
      <c r="Y127" s="110">
        <v>100</v>
      </c>
      <c r="Z127" s="110">
        <v>300</v>
      </c>
      <c r="AA127" s="110">
        <v>297</v>
      </c>
      <c r="AB127" s="110">
        <v>1.3</v>
      </c>
      <c r="AC127" s="110" t="s">
        <v>95</v>
      </c>
      <c r="AD127" s="110" t="s">
        <v>95</v>
      </c>
      <c r="AE127" s="110" t="s">
        <v>95</v>
      </c>
      <c r="AF127" s="110" t="s">
        <v>95</v>
      </c>
      <c r="AG127" s="110">
        <v>2.8E-3</v>
      </c>
      <c r="AH127" s="110" t="s">
        <v>95</v>
      </c>
      <c r="AI127" s="110">
        <v>2.3E-3</v>
      </c>
      <c r="AJ127" s="110">
        <v>0.82</v>
      </c>
      <c r="AK127" s="110">
        <v>120</v>
      </c>
      <c r="AL127" s="110">
        <v>25</v>
      </c>
      <c r="AM127" s="110">
        <v>25</v>
      </c>
      <c r="AN127" s="110">
        <v>121</v>
      </c>
      <c r="AO127" s="110">
        <v>10.4</v>
      </c>
      <c r="AP127" s="110">
        <v>9.3800000000000008</v>
      </c>
      <c r="AQ127" s="110">
        <v>10.6</v>
      </c>
      <c r="AR127" s="110">
        <v>15.3</v>
      </c>
      <c r="AS127" s="110">
        <v>2.2599999999999998</v>
      </c>
      <c r="AT127" s="110">
        <v>17.600000000000001</v>
      </c>
      <c r="AU127" s="110">
        <v>0.89800000000000002</v>
      </c>
      <c r="AV127" s="110">
        <v>4.2000000000000003E-2</v>
      </c>
      <c r="AW127" s="110">
        <v>1.1100000000000001</v>
      </c>
      <c r="AX127" s="110">
        <v>40</v>
      </c>
      <c r="AY127" s="110">
        <v>10</v>
      </c>
      <c r="AZ127" s="110">
        <v>0.1</v>
      </c>
      <c r="BA127" s="110">
        <v>21.6</v>
      </c>
      <c r="BB127" s="110">
        <v>1.85</v>
      </c>
      <c r="BC127" s="110">
        <v>400</v>
      </c>
      <c r="BD127" s="110">
        <v>80</v>
      </c>
      <c r="BE127" s="110">
        <v>1.66</v>
      </c>
      <c r="BF127" s="110">
        <v>80</v>
      </c>
      <c r="BG127" s="110">
        <v>0.1</v>
      </c>
      <c r="BH127" s="110">
        <v>80</v>
      </c>
      <c r="BI127" s="110">
        <v>0.1</v>
      </c>
      <c r="BJ127" s="110">
        <v>0.08</v>
      </c>
      <c r="BK127" s="110" t="s">
        <v>94</v>
      </c>
      <c r="BL127" s="110">
        <v>0.9</v>
      </c>
      <c r="BM127" s="110" t="s">
        <v>95</v>
      </c>
      <c r="BN127" s="110" t="s">
        <v>95</v>
      </c>
      <c r="BO127" s="110" t="s">
        <v>95</v>
      </c>
      <c r="BP127" s="110" t="s">
        <v>93</v>
      </c>
      <c r="BQ127" s="110" t="s">
        <v>344</v>
      </c>
      <c r="BR127" s="110" t="s">
        <v>95</v>
      </c>
      <c r="BS127" s="110">
        <v>2.6</v>
      </c>
      <c r="BT127" s="110">
        <v>4</v>
      </c>
      <c r="BU127" s="110">
        <v>525</v>
      </c>
      <c r="BV127" s="110">
        <v>20</v>
      </c>
      <c r="BW127" s="110">
        <v>37</v>
      </c>
      <c r="BX127" s="110" t="s">
        <v>95</v>
      </c>
      <c r="BY127" s="110" t="s">
        <v>255</v>
      </c>
      <c r="BZ127" s="110" t="s">
        <v>95</v>
      </c>
      <c r="CA127" s="110" t="s">
        <v>95</v>
      </c>
      <c r="CB127" s="110">
        <v>42577</v>
      </c>
      <c r="CC127" s="110">
        <v>42577</v>
      </c>
      <c r="CD127" s="110">
        <v>2550</v>
      </c>
      <c r="CE127" s="110">
        <v>1.9259999999999999</v>
      </c>
    </row>
    <row r="128" spans="1:83" x14ac:dyDescent="0.25">
      <c r="A128" s="109" t="s">
        <v>345</v>
      </c>
      <c r="B128" s="110">
        <v>146</v>
      </c>
      <c r="C128" s="110" t="s">
        <v>93</v>
      </c>
      <c r="D128" s="110" t="s">
        <v>102</v>
      </c>
      <c r="E128" s="110" t="s">
        <v>251</v>
      </c>
      <c r="F128" s="110" t="s">
        <v>273</v>
      </c>
      <c r="G128" s="110" t="s">
        <v>346</v>
      </c>
      <c r="H128" s="110" t="s">
        <v>94</v>
      </c>
      <c r="I128" s="110">
        <v>1</v>
      </c>
      <c r="J128" s="110">
        <v>0</v>
      </c>
      <c r="K128" s="110">
        <v>1</v>
      </c>
      <c r="L128" s="110">
        <v>80</v>
      </c>
      <c r="M128" s="110">
        <v>20</v>
      </c>
      <c r="N128" s="110">
        <v>200</v>
      </c>
      <c r="O128" s="110">
        <v>400</v>
      </c>
      <c r="P128" s="110">
        <v>175</v>
      </c>
      <c r="Q128" s="110">
        <v>375</v>
      </c>
      <c r="R128" s="110">
        <v>62</v>
      </c>
      <c r="S128" s="110">
        <v>0.4</v>
      </c>
      <c r="T128" s="110">
        <v>2.1</v>
      </c>
      <c r="U128" s="110">
        <v>3.2</v>
      </c>
      <c r="V128" s="110">
        <v>4.5999999999999996</v>
      </c>
      <c r="W128" s="110">
        <v>1.1000000000000001</v>
      </c>
      <c r="X128" s="110">
        <v>107</v>
      </c>
      <c r="Y128" s="110">
        <v>100</v>
      </c>
      <c r="Z128" s="110">
        <v>300</v>
      </c>
      <c r="AA128" s="110">
        <v>297</v>
      </c>
      <c r="AB128" s="110">
        <v>1.3</v>
      </c>
      <c r="AC128" s="110" t="s">
        <v>95</v>
      </c>
      <c r="AD128" s="110" t="s">
        <v>95</v>
      </c>
      <c r="AE128" s="110" t="s">
        <v>95</v>
      </c>
      <c r="AF128" s="110" t="s">
        <v>95</v>
      </c>
      <c r="AG128" s="110">
        <v>2.8E-3</v>
      </c>
      <c r="AH128" s="110" t="s">
        <v>95</v>
      </c>
      <c r="AI128" s="110">
        <v>2.3E-3</v>
      </c>
      <c r="AJ128" s="110">
        <v>0.82</v>
      </c>
      <c r="AK128" s="110">
        <v>120</v>
      </c>
      <c r="AL128" s="110">
        <v>25</v>
      </c>
      <c r="AM128" s="110">
        <v>25</v>
      </c>
      <c r="AN128" s="110">
        <v>120</v>
      </c>
      <c r="AO128" s="110">
        <v>10.4</v>
      </c>
      <c r="AP128" s="110">
        <v>9.3800000000000008</v>
      </c>
      <c r="AQ128" s="110">
        <v>10.6</v>
      </c>
      <c r="AR128" s="110">
        <v>15.3</v>
      </c>
      <c r="AS128" s="110">
        <v>2.2599999999999998</v>
      </c>
      <c r="AT128" s="110">
        <v>17.8</v>
      </c>
      <c r="AU128" s="110">
        <v>0.89800000000000002</v>
      </c>
      <c r="AV128" s="110">
        <v>4.2000000000000003E-2</v>
      </c>
      <c r="AW128" s="110">
        <v>1.1100000000000001</v>
      </c>
      <c r="AX128" s="110">
        <v>40</v>
      </c>
      <c r="AY128" s="110">
        <v>10</v>
      </c>
      <c r="AZ128" s="110">
        <v>0.1</v>
      </c>
      <c r="BA128" s="110">
        <v>25</v>
      </c>
      <c r="BB128" s="110">
        <v>1.8</v>
      </c>
      <c r="BC128" s="110">
        <v>400</v>
      </c>
      <c r="BD128" s="110">
        <v>2.1</v>
      </c>
      <c r="BE128" s="110">
        <v>400</v>
      </c>
      <c r="BF128" s="110">
        <v>80</v>
      </c>
      <c r="BG128" s="110">
        <v>2.5</v>
      </c>
      <c r="BH128" s="110">
        <v>80</v>
      </c>
      <c r="BI128" s="110">
        <v>0.1</v>
      </c>
      <c r="BJ128" s="110">
        <v>0.08</v>
      </c>
      <c r="BK128" s="110" t="s">
        <v>94</v>
      </c>
      <c r="BL128" s="110">
        <v>0.9</v>
      </c>
      <c r="BM128" s="110" t="s">
        <v>95</v>
      </c>
      <c r="BN128" s="110" t="s">
        <v>95</v>
      </c>
      <c r="BO128" s="110" t="s">
        <v>95</v>
      </c>
      <c r="BP128" s="110" t="s">
        <v>93</v>
      </c>
      <c r="BQ128" s="110" t="s">
        <v>347</v>
      </c>
      <c r="BR128" s="110" t="s">
        <v>95</v>
      </c>
      <c r="BS128" s="110">
        <v>2.6</v>
      </c>
      <c r="BT128" s="110">
        <v>4.2</v>
      </c>
      <c r="BU128" s="110">
        <v>525</v>
      </c>
      <c r="BV128" s="110">
        <v>20</v>
      </c>
      <c r="BW128" s="110">
        <v>37</v>
      </c>
      <c r="BX128" s="110" t="s">
        <v>95</v>
      </c>
      <c r="BY128" s="110" t="s">
        <v>309</v>
      </c>
      <c r="BZ128" s="110" t="s">
        <v>94</v>
      </c>
      <c r="CA128" s="110" t="s">
        <v>95</v>
      </c>
      <c r="CB128" s="110">
        <v>42577</v>
      </c>
      <c r="CC128" s="110" t="s">
        <v>95</v>
      </c>
      <c r="CD128" s="110">
        <v>2597</v>
      </c>
      <c r="CE128" s="110">
        <v>1.972</v>
      </c>
    </row>
    <row r="129" spans="1:83" x14ac:dyDescent="0.25">
      <c r="A129" s="109" t="s">
        <v>348</v>
      </c>
      <c r="B129" s="110">
        <v>146</v>
      </c>
      <c r="C129" s="110" t="s">
        <v>93</v>
      </c>
      <c r="D129" s="110" t="s">
        <v>94</v>
      </c>
      <c r="E129" s="110" t="s">
        <v>251</v>
      </c>
      <c r="F129" s="110" t="s">
        <v>252</v>
      </c>
      <c r="G129" s="110" t="s">
        <v>316</v>
      </c>
      <c r="H129" s="110" t="s">
        <v>94</v>
      </c>
      <c r="I129" s="110">
        <v>1</v>
      </c>
      <c r="J129" s="110">
        <v>0</v>
      </c>
      <c r="K129" s="110">
        <v>4</v>
      </c>
      <c r="L129" s="110">
        <v>100</v>
      </c>
      <c r="M129" s="110">
        <v>20</v>
      </c>
      <c r="N129" s="110">
        <v>100</v>
      </c>
      <c r="O129" s="110">
        <v>285</v>
      </c>
      <c r="P129" s="110">
        <v>175</v>
      </c>
      <c r="Q129" s="110">
        <v>214</v>
      </c>
      <c r="R129" s="110">
        <v>62</v>
      </c>
      <c r="S129" s="110">
        <v>0.7</v>
      </c>
      <c r="T129" s="110">
        <v>2.2000000000000002</v>
      </c>
      <c r="U129" s="110">
        <v>3.3</v>
      </c>
      <c r="V129" s="110">
        <v>4.5999999999999996</v>
      </c>
      <c r="W129" s="110">
        <v>1</v>
      </c>
      <c r="X129" s="110">
        <v>83</v>
      </c>
      <c r="Y129" s="110">
        <v>60</v>
      </c>
      <c r="Z129" s="110">
        <v>300</v>
      </c>
      <c r="AA129" s="110">
        <v>137</v>
      </c>
      <c r="AB129" s="110">
        <v>1.3</v>
      </c>
      <c r="AC129" s="110" t="s">
        <v>95</v>
      </c>
      <c r="AD129" s="110" t="s">
        <v>95</v>
      </c>
      <c r="AE129" s="110" t="s">
        <v>95</v>
      </c>
      <c r="AF129" s="110" t="s">
        <v>95</v>
      </c>
      <c r="AG129" s="110">
        <v>8.8000000000000005E-3</v>
      </c>
      <c r="AH129" s="110" t="s">
        <v>95</v>
      </c>
      <c r="AI129" s="110">
        <v>7.7000000000000002E-3</v>
      </c>
      <c r="AJ129" s="110">
        <v>1</v>
      </c>
      <c r="AK129" s="110">
        <v>37</v>
      </c>
      <c r="AL129" s="110">
        <v>7.2</v>
      </c>
      <c r="AM129" s="110">
        <v>7.3</v>
      </c>
      <c r="AN129" s="110">
        <v>34.5</v>
      </c>
      <c r="AO129" s="110">
        <v>3.32</v>
      </c>
      <c r="AP129" s="110">
        <v>2.98</v>
      </c>
      <c r="AQ129" s="110">
        <v>3.41</v>
      </c>
      <c r="AR129" s="110">
        <v>3.75</v>
      </c>
      <c r="AS129" s="110">
        <v>0.56000000000000005</v>
      </c>
      <c r="AT129" s="110">
        <v>4.38</v>
      </c>
      <c r="AU129" s="110">
        <v>0.26800000000000002</v>
      </c>
      <c r="AV129" s="110">
        <v>1.2999999999999999E-2</v>
      </c>
      <c r="AW129" s="110">
        <v>0.318</v>
      </c>
      <c r="AX129" s="110">
        <v>50</v>
      </c>
      <c r="AY129" s="110">
        <v>10</v>
      </c>
      <c r="AZ129" s="110">
        <v>0.1</v>
      </c>
      <c r="BA129" s="110">
        <v>6.1</v>
      </c>
      <c r="BB129" s="110">
        <v>2</v>
      </c>
      <c r="BC129" s="110">
        <v>122</v>
      </c>
      <c r="BD129" s="110">
        <v>4</v>
      </c>
      <c r="BE129" s="110">
        <v>100</v>
      </c>
      <c r="BF129" s="110">
        <v>100</v>
      </c>
      <c r="BG129" s="110">
        <v>0.66</v>
      </c>
      <c r="BH129" s="110">
        <v>100</v>
      </c>
      <c r="BI129" s="110">
        <v>0.1</v>
      </c>
      <c r="BJ129" s="110">
        <v>0.28999999999999998</v>
      </c>
      <c r="BK129" s="110" t="s">
        <v>94</v>
      </c>
      <c r="BL129" s="110">
        <v>0.9</v>
      </c>
      <c r="BM129" s="110" t="s">
        <v>95</v>
      </c>
      <c r="BN129" s="110">
        <v>42</v>
      </c>
      <c r="BO129" s="110">
        <v>3.05</v>
      </c>
      <c r="BP129" s="110" t="s">
        <v>93</v>
      </c>
      <c r="BQ129" s="110" t="s">
        <v>349</v>
      </c>
      <c r="BR129" s="110" t="s">
        <v>95</v>
      </c>
      <c r="BS129" s="110">
        <v>2.6</v>
      </c>
      <c r="BT129" s="110">
        <v>4.5</v>
      </c>
      <c r="BU129" s="110">
        <v>270</v>
      </c>
      <c r="BV129" s="110">
        <v>7.5</v>
      </c>
      <c r="BW129" s="110">
        <v>11.9</v>
      </c>
      <c r="BX129" s="110" t="s">
        <v>95</v>
      </c>
      <c r="BY129" s="110" t="s">
        <v>255</v>
      </c>
      <c r="BZ129" s="110" t="s">
        <v>95</v>
      </c>
      <c r="CA129" s="110" t="s">
        <v>95</v>
      </c>
      <c r="CB129" s="110">
        <v>41572</v>
      </c>
      <c r="CC129" s="110">
        <v>42577</v>
      </c>
      <c r="CD129" s="110">
        <v>2551</v>
      </c>
      <c r="CE129" s="110">
        <v>0.72099999999999997</v>
      </c>
    </row>
    <row r="130" spans="1:83" x14ac:dyDescent="0.25">
      <c r="A130" s="116" t="s">
        <v>350</v>
      </c>
      <c r="B130" s="108">
        <v>146</v>
      </c>
      <c r="C130" s="108" t="s">
        <v>93</v>
      </c>
      <c r="D130" s="108" t="s">
        <v>93</v>
      </c>
      <c r="E130" s="108" t="s">
        <v>111</v>
      </c>
      <c r="F130" s="108" t="s">
        <v>132</v>
      </c>
      <c r="G130" s="108" t="s">
        <v>351</v>
      </c>
      <c r="H130" s="108" t="s">
        <v>94</v>
      </c>
      <c r="I130" s="108">
        <v>1</v>
      </c>
      <c r="J130" s="108">
        <v>0</v>
      </c>
      <c r="K130" s="108">
        <v>1</v>
      </c>
      <c r="L130" s="108">
        <v>100</v>
      </c>
      <c r="M130" s="108">
        <v>20</v>
      </c>
      <c r="N130" s="108">
        <v>100</v>
      </c>
      <c r="O130" s="108">
        <v>337</v>
      </c>
      <c r="P130" s="108">
        <v>150</v>
      </c>
      <c r="Q130" s="108">
        <v>3.125</v>
      </c>
      <c r="R130" s="108">
        <v>50</v>
      </c>
      <c r="S130" s="108">
        <v>1</v>
      </c>
      <c r="T130" s="108">
        <v>2.2000000000000002</v>
      </c>
      <c r="U130" s="108">
        <v>3.3</v>
      </c>
      <c r="V130" s="108">
        <v>4</v>
      </c>
      <c r="W130" s="108">
        <v>1</v>
      </c>
      <c r="X130" s="108">
        <v>148</v>
      </c>
      <c r="Y130" s="108">
        <v>16</v>
      </c>
      <c r="Z130" s="108">
        <v>300</v>
      </c>
      <c r="AA130" s="108">
        <v>82</v>
      </c>
      <c r="AB130" s="108">
        <v>1.3</v>
      </c>
      <c r="AC130" s="108" t="s">
        <v>95</v>
      </c>
      <c r="AD130" s="108" t="s">
        <v>95</v>
      </c>
      <c r="AE130" s="108" t="s">
        <v>95</v>
      </c>
      <c r="AF130" s="108" t="s">
        <v>95</v>
      </c>
      <c r="AG130" s="108">
        <v>7.7999999999999996E-3</v>
      </c>
      <c r="AH130" s="108" t="s">
        <v>95</v>
      </c>
      <c r="AI130" s="108">
        <v>6.4000000000000003E-3</v>
      </c>
      <c r="AJ130" s="108">
        <v>0.98</v>
      </c>
      <c r="AK130" s="108">
        <v>37</v>
      </c>
      <c r="AL130" s="108">
        <v>7.3</v>
      </c>
      <c r="AM130" s="108">
        <v>7.3</v>
      </c>
      <c r="AN130" s="108">
        <v>38</v>
      </c>
      <c r="AO130" s="108">
        <v>3.2</v>
      </c>
      <c r="AP130" s="108">
        <v>2.98</v>
      </c>
      <c r="AQ130" s="108">
        <v>3.2</v>
      </c>
      <c r="AR130" s="108">
        <v>3.76</v>
      </c>
      <c r="AS130" s="108">
        <v>0.6</v>
      </c>
      <c r="AT130" s="108">
        <v>4.4000000000000004</v>
      </c>
      <c r="AU130" s="108">
        <v>0.25</v>
      </c>
      <c r="AV130" s="108">
        <v>1.2E-2</v>
      </c>
      <c r="AW130" s="108">
        <v>0.3</v>
      </c>
      <c r="AX130" s="108">
        <v>50</v>
      </c>
      <c r="AY130" s="108">
        <v>10</v>
      </c>
      <c r="AZ130" s="108">
        <v>0.1</v>
      </c>
      <c r="BA130" s="108">
        <v>8</v>
      </c>
      <c r="BB130" s="108">
        <v>1.6</v>
      </c>
      <c r="BC130" s="108">
        <v>120</v>
      </c>
      <c r="BD130" s="108">
        <v>2.9</v>
      </c>
      <c r="BE130" s="108">
        <v>120</v>
      </c>
      <c r="BF130" s="108">
        <v>100</v>
      </c>
      <c r="BG130" s="108">
        <v>0.35</v>
      </c>
      <c r="BH130" s="108">
        <v>100</v>
      </c>
      <c r="BI130" s="108">
        <v>0.1</v>
      </c>
      <c r="BJ130" s="108">
        <v>0.28999999999999998</v>
      </c>
      <c r="BK130" s="108" t="s">
        <v>94</v>
      </c>
      <c r="BL130" s="108">
        <v>0.8</v>
      </c>
      <c r="BM130" s="108" t="s">
        <v>95</v>
      </c>
      <c r="BN130" s="108">
        <v>1155</v>
      </c>
      <c r="BO130" s="108">
        <v>2.9</v>
      </c>
      <c r="BP130" s="108" t="s">
        <v>93</v>
      </c>
      <c r="BQ130" s="108" t="s">
        <v>352</v>
      </c>
      <c r="BR130" s="108" t="s">
        <v>95</v>
      </c>
      <c r="BS130" s="108">
        <v>2.6</v>
      </c>
      <c r="BT130" s="108">
        <v>3.8</v>
      </c>
      <c r="BU130" s="108">
        <v>226</v>
      </c>
      <c r="BV130" s="108">
        <v>6.6</v>
      </c>
      <c r="BW130" s="108">
        <v>10.5</v>
      </c>
      <c r="BX130" s="108" t="s">
        <v>95</v>
      </c>
      <c r="BY130" s="108" t="s">
        <v>115</v>
      </c>
      <c r="BZ130" s="108" t="s">
        <v>95</v>
      </c>
      <c r="CA130" s="108" t="s">
        <v>95</v>
      </c>
      <c r="CB130" s="108">
        <v>41984</v>
      </c>
      <c r="CC130" s="108">
        <v>42564</v>
      </c>
      <c r="CD130" s="108">
        <v>2056</v>
      </c>
      <c r="CE130" s="108">
        <v>0.61099999999999999</v>
      </c>
    </row>
    <row r="131" spans="1:83" x14ac:dyDescent="0.25">
      <c r="A131" s="105" t="s">
        <v>353</v>
      </c>
      <c r="B131" s="105">
        <v>146</v>
      </c>
      <c r="C131" s="105" t="s">
        <v>95</v>
      </c>
      <c r="D131" s="105" t="s">
        <v>102</v>
      </c>
      <c r="E131" s="105" t="s">
        <v>251</v>
      </c>
      <c r="F131" s="105" t="s">
        <v>273</v>
      </c>
      <c r="G131" s="105" t="s">
        <v>354</v>
      </c>
      <c r="H131" s="105" t="s">
        <v>94</v>
      </c>
      <c r="I131" s="105">
        <v>1</v>
      </c>
      <c r="J131" s="105">
        <v>0</v>
      </c>
      <c r="K131" s="105">
        <v>1</v>
      </c>
      <c r="L131" s="105">
        <v>100</v>
      </c>
      <c r="M131" s="105">
        <v>20</v>
      </c>
      <c r="N131" s="105">
        <v>136</v>
      </c>
      <c r="O131" s="105">
        <v>400</v>
      </c>
      <c r="P131" s="105">
        <v>175</v>
      </c>
      <c r="Q131" s="105">
        <v>250</v>
      </c>
      <c r="R131" s="105">
        <v>62</v>
      </c>
      <c r="S131" s="105" t="s">
        <v>95</v>
      </c>
      <c r="T131" s="105">
        <v>2.2000000000000002</v>
      </c>
      <c r="U131" s="105">
        <v>3.2</v>
      </c>
      <c r="V131" s="105">
        <v>4.7</v>
      </c>
      <c r="W131" s="105" t="s">
        <v>95</v>
      </c>
      <c r="X131" s="105">
        <v>74</v>
      </c>
      <c r="Y131" s="105" t="s">
        <v>95</v>
      </c>
      <c r="Z131" s="105" t="s">
        <v>95</v>
      </c>
      <c r="AA131" s="105">
        <v>113</v>
      </c>
      <c r="AB131" s="105" t="s">
        <v>95</v>
      </c>
      <c r="AC131" s="110" t="s">
        <v>95</v>
      </c>
      <c r="AD131" s="105" t="s">
        <v>95</v>
      </c>
      <c r="AE131" s="105" t="s">
        <v>95</v>
      </c>
      <c r="AF131" s="105" t="s">
        <v>95</v>
      </c>
      <c r="AG131" s="105">
        <v>6.6E-3</v>
      </c>
      <c r="AH131" s="105" t="s">
        <v>95</v>
      </c>
      <c r="AI131" s="105">
        <v>5.5999999999999999E-3</v>
      </c>
      <c r="AJ131" s="105">
        <v>1.32</v>
      </c>
      <c r="AK131" s="105">
        <v>44</v>
      </c>
      <c r="AL131" s="105" t="s">
        <v>95</v>
      </c>
      <c r="AM131" s="105">
        <v>9.6</v>
      </c>
      <c r="AN131" s="105" t="s">
        <v>95</v>
      </c>
      <c r="AO131" s="105" t="s">
        <v>95</v>
      </c>
      <c r="AP131" s="105" t="s">
        <v>95</v>
      </c>
      <c r="AQ131" s="105">
        <v>5060</v>
      </c>
      <c r="AR131" s="105" t="s">
        <v>95</v>
      </c>
      <c r="AS131" s="105" t="s">
        <v>95</v>
      </c>
      <c r="AT131" s="105">
        <v>876</v>
      </c>
      <c r="AU131" s="105" t="s">
        <v>95</v>
      </c>
      <c r="AV131" s="105" t="s">
        <v>95</v>
      </c>
      <c r="AW131" s="105">
        <v>18</v>
      </c>
      <c r="AX131" s="105" t="s">
        <v>95</v>
      </c>
      <c r="AY131" s="105" t="s">
        <v>95</v>
      </c>
      <c r="AZ131" s="105" t="s">
        <v>95</v>
      </c>
      <c r="BA131" s="105" t="s">
        <v>95</v>
      </c>
      <c r="BB131" s="105" t="s">
        <v>95</v>
      </c>
      <c r="BC131" s="105" t="s">
        <v>95</v>
      </c>
      <c r="BD131" s="105" t="s">
        <v>95</v>
      </c>
      <c r="BE131" s="105" t="s">
        <v>95</v>
      </c>
      <c r="BF131" s="105" t="s">
        <v>95</v>
      </c>
      <c r="BG131" s="105" t="s">
        <v>95</v>
      </c>
      <c r="BH131" s="105" t="s">
        <v>95</v>
      </c>
      <c r="BI131" s="105" t="s">
        <v>95</v>
      </c>
      <c r="BJ131" s="105" t="s">
        <v>95</v>
      </c>
      <c r="BK131" s="105" t="s">
        <v>95</v>
      </c>
      <c r="BL131" s="105" t="s">
        <v>95</v>
      </c>
      <c r="BM131" s="105" t="s">
        <v>95</v>
      </c>
      <c r="BN131" s="105" t="s">
        <v>95</v>
      </c>
      <c r="BO131" s="105" t="s">
        <v>95</v>
      </c>
      <c r="BP131" s="105" t="s">
        <v>93</v>
      </c>
      <c r="BQ131" s="105" t="s">
        <v>384</v>
      </c>
      <c r="BR131" s="105" t="s">
        <v>95</v>
      </c>
      <c r="BS131" s="105">
        <v>2.6</v>
      </c>
      <c r="BT131" s="105" t="s">
        <v>95</v>
      </c>
      <c r="BU131" s="105">
        <v>326</v>
      </c>
      <c r="BV131" s="105">
        <v>5.6</v>
      </c>
      <c r="BW131" s="105">
        <v>17</v>
      </c>
      <c r="BX131" s="105" t="s">
        <v>95</v>
      </c>
      <c r="BY131" s="105" t="s">
        <v>309</v>
      </c>
      <c r="BZ131" s="105" t="s">
        <v>94</v>
      </c>
      <c r="CA131" s="105" t="s">
        <v>95</v>
      </c>
      <c r="CB131" s="105">
        <v>42312</v>
      </c>
      <c r="CC131" s="105" t="s">
        <v>95</v>
      </c>
      <c r="CD131" s="105">
        <v>2074</v>
      </c>
      <c r="CE131" s="105">
        <v>0.91400000000000003</v>
      </c>
    </row>
    <row r="132" spans="1:83" x14ac:dyDescent="0.25">
      <c r="A132" s="107" t="s">
        <v>355</v>
      </c>
      <c r="B132" s="107">
        <v>146</v>
      </c>
      <c r="C132" s="107" t="s">
        <v>93</v>
      </c>
      <c r="D132" s="107" t="s">
        <v>93</v>
      </c>
      <c r="E132" s="107" t="s">
        <v>111</v>
      </c>
      <c r="F132" s="107" t="s">
        <v>172</v>
      </c>
      <c r="G132" s="107" t="s">
        <v>211</v>
      </c>
      <c r="H132" s="107" t="s">
        <v>94</v>
      </c>
      <c r="I132" s="107">
        <v>1</v>
      </c>
      <c r="J132" s="107">
        <v>0</v>
      </c>
      <c r="K132" s="107">
        <v>1</v>
      </c>
      <c r="L132" s="107">
        <v>100</v>
      </c>
      <c r="M132" s="107">
        <v>20</v>
      </c>
      <c r="N132" s="107">
        <v>100</v>
      </c>
      <c r="O132" s="107">
        <v>400</v>
      </c>
      <c r="P132" s="107">
        <v>150</v>
      </c>
      <c r="Q132" s="107">
        <v>3.1</v>
      </c>
      <c r="R132" s="107">
        <v>50</v>
      </c>
      <c r="S132" s="107">
        <v>0.8</v>
      </c>
      <c r="T132" s="107">
        <v>2.2000000000000002</v>
      </c>
      <c r="U132" s="107">
        <v>3.2</v>
      </c>
      <c r="V132" s="107">
        <v>3.8</v>
      </c>
      <c r="W132" s="107">
        <v>1</v>
      </c>
      <c r="X132" s="107">
        <v>80</v>
      </c>
      <c r="Y132" s="107">
        <v>17</v>
      </c>
      <c r="Z132" s="107">
        <v>300</v>
      </c>
      <c r="AA132" s="107">
        <v>84</v>
      </c>
      <c r="AB132" s="107">
        <v>1.2</v>
      </c>
      <c r="AC132" s="110" t="s">
        <v>95</v>
      </c>
      <c r="AD132" s="107" t="s">
        <v>95</v>
      </c>
      <c r="AE132" s="107" t="s">
        <v>95</v>
      </c>
      <c r="AF132" s="107" t="s">
        <v>95</v>
      </c>
      <c r="AG132" s="107">
        <v>5.7000000000000002E-3</v>
      </c>
      <c r="AH132" s="107" t="s">
        <v>95</v>
      </c>
      <c r="AI132" s="107">
        <v>4.8999999999999998E-3</v>
      </c>
      <c r="AJ132" s="107">
        <v>1.03</v>
      </c>
      <c r="AK132" s="107">
        <v>48</v>
      </c>
      <c r="AL132" s="107">
        <v>9.4</v>
      </c>
      <c r="AM132" s="107">
        <v>9.5</v>
      </c>
      <c r="AN132" s="107">
        <v>48</v>
      </c>
      <c r="AO132" s="107">
        <v>3.94</v>
      </c>
      <c r="AP132" s="107">
        <v>3.7</v>
      </c>
      <c r="AQ132" s="107">
        <v>4.04</v>
      </c>
      <c r="AR132" s="107">
        <v>4.29</v>
      </c>
      <c r="AS132" s="107">
        <v>0.70599999999999996</v>
      </c>
      <c r="AT132" s="107">
        <v>5.67</v>
      </c>
      <c r="AU132" s="107">
        <v>0.35399999999999998</v>
      </c>
      <c r="AV132" s="107">
        <v>1.4E-2</v>
      </c>
      <c r="AW132" s="107">
        <v>0.442</v>
      </c>
      <c r="AX132" s="107">
        <v>50</v>
      </c>
      <c r="AY132" s="107">
        <v>10</v>
      </c>
      <c r="AZ132" s="107">
        <v>0.1</v>
      </c>
      <c r="BA132" s="107">
        <v>10.1</v>
      </c>
      <c r="BB132" s="107">
        <v>1.61</v>
      </c>
      <c r="BC132" s="107">
        <v>162</v>
      </c>
      <c r="BD132" s="107">
        <v>2.73</v>
      </c>
      <c r="BE132" s="107">
        <v>162</v>
      </c>
      <c r="BF132" s="107">
        <v>100</v>
      </c>
      <c r="BG132" s="107">
        <v>0.48</v>
      </c>
      <c r="BH132" s="107">
        <v>100</v>
      </c>
      <c r="BI132" s="107">
        <v>0.1</v>
      </c>
      <c r="BJ132" s="107">
        <v>0.22</v>
      </c>
      <c r="BK132" s="107" t="s">
        <v>94</v>
      </c>
      <c r="BL132" s="107">
        <v>0.8</v>
      </c>
      <c r="BM132" s="107" t="s">
        <v>95</v>
      </c>
      <c r="BN132" s="107">
        <v>1345</v>
      </c>
      <c r="BO132" s="107">
        <v>3.6</v>
      </c>
      <c r="BP132" s="107" t="s">
        <v>93</v>
      </c>
      <c r="BQ132" s="107" t="s">
        <v>356</v>
      </c>
      <c r="BR132" s="107" t="s">
        <v>95</v>
      </c>
      <c r="BS132" s="107">
        <v>2.4</v>
      </c>
      <c r="BT132" s="107">
        <v>3</v>
      </c>
      <c r="BU132" s="107">
        <v>249</v>
      </c>
      <c r="BV132" s="107">
        <v>8.6999999999999993</v>
      </c>
      <c r="BW132" s="107">
        <v>13</v>
      </c>
      <c r="BX132" s="107" t="s">
        <v>95</v>
      </c>
      <c r="BY132" s="107" t="s">
        <v>115</v>
      </c>
      <c r="BZ132" s="107" t="s">
        <v>94</v>
      </c>
      <c r="CA132" s="107" t="s">
        <v>95</v>
      </c>
      <c r="CB132" s="107">
        <v>41954</v>
      </c>
      <c r="CC132" s="107">
        <v>42577</v>
      </c>
      <c r="CD132" s="107">
        <v>2552</v>
      </c>
      <c r="CE132" s="107">
        <v>0.89600000000000002</v>
      </c>
    </row>
    <row r="133" spans="1:83" x14ac:dyDescent="0.25">
      <c r="A133" s="107" t="s">
        <v>357</v>
      </c>
      <c r="B133" s="107">
        <v>146</v>
      </c>
      <c r="C133" s="107" t="s">
        <v>93</v>
      </c>
      <c r="D133" s="107" t="s">
        <v>94</v>
      </c>
      <c r="E133" s="107" t="s">
        <v>95</v>
      </c>
      <c r="F133" s="107" t="s">
        <v>95</v>
      </c>
      <c r="G133" s="107" t="s">
        <v>208</v>
      </c>
      <c r="H133" s="107" t="s">
        <v>94</v>
      </c>
      <c r="I133" s="107">
        <v>1</v>
      </c>
      <c r="J133" s="107">
        <v>0</v>
      </c>
      <c r="K133" s="107" t="s">
        <v>95</v>
      </c>
      <c r="L133" s="107">
        <v>100</v>
      </c>
      <c r="M133" s="107">
        <v>20</v>
      </c>
      <c r="N133" s="107">
        <v>100</v>
      </c>
      <c r="O133" s="107">
        <v>207</v>
      </c>
      <c r="P133" s="107">
        <v>175</v>
      </c>
      <c r="Q133" s="107">
        <v>188</v>
      </c>
      <c r="R133" s="107">
        <v>62</v>
      </c>
      <c r="S133" s="107">
        <v>0.8</v>
      </c>
      <c r="T133" s="107">
        <v>2.2000000000000002</v>
      </c>
      <c r="U133" s="107">
        <v>3.4</v>
      </c>
      <c r="V133" s="107">
        <v>4.68</v>
      </c>
      <c r="W133" s="107">
        <v>1.1000000000000001</v>
      </c>
      <c r="X133" s="107">
        <v>77</v>
      </c>
      <c r="Y133" s="107">
        <v>55</v>
      </c>
      <c r="Z133" s="107">
        <v>300</v>
      </c>
      <c r="AA133" s="107">
        <v>115</v>
      </c>
      <c r="AB133" s="107">
        <v>1.2</v>
      </c>
      <c r="AC133" s="110" t="s">
        <v>95</v>
      </c>
      <c r="AD133" s="107" t="s">
        <v>95</v>
      </c>
      <c r="AE133" s="107" t="s">
        <v>95</v>
      </c>
      <c r="AF133" s="107" t="s">
        <v>95</v>
      </c>
      <c r="AG133" s="107">
        <v>1.2200000000000001E-2</v>
      </c>
      <c r="AH133" s="107" t="s">
        <v>95</v>
      </c>
      <c r="AI133" s="107">
        <v>1.0500000000000001E-2</v>
      </c>
      <c r="AJ133" s="107">
        <v>1.07</v>
      </c>
      <c r="AK133" s="107">
        <v>27</v>
      </c>
      <c r="AL133" s="107">
        <v>5</v>
      </c>
      <c r="AM133" s="107">
        <v>3.9</v>
      </c>
      <c r="AN133" s="107">
        <v>26.6</v>
      </c>
      <c r="AO133" s="107">
        <v>2.19</v>
      </c>
      <c r="AP133" s="107">
        <v>2.0499999999999998</v>
      </c>
      <c r="AQ133" s="107">
        <v>2.2200000000000002</v>
      </c>
      <c r="AR133" s="107">
        <v>2.54</v>
      </c>
      <c r="AS133" s="107">
        <v>0.39500000000000002</v>
      </c>
      <c r="AT133" s="107">
        <v>2.97</v>
      </c>
      <c r="AU133" s="107">
        <v>0.186</v>
      </c>
      <c r="AV133" s="107">
        <v>9.5999999999999992E-3</v>
      </c>
      <c r="AW133" s="107">
        <v>0.21299999999999999</v>
      </c>
      <c r="AX133" s="107">
        <v>50</v>
      </c>
      <c r="AY133" s="107">
        <v>10</v>
      </c>
      <c r="AZ133" s="107">
        <v>0.1</v>
      </c>
      <c r="BA133" s="107">
        <v>4.0999999999999996</v>
      </c>
      <c r="BB133" s="107">
        <v>2.3199999999999998</v>
      </c>
      <c r="BC133" s="107">
        <v>95</v>
      </c>
      <c r="BD133" s="107">
        <v>100</v>
      </c>
      <c r="BE133" s="107">
        <v>0.43</v>
      </c>
      <c r="BF133" s="107">
        <v>100</v>
      </c>
      <c r="BG133" s="107">
        <v>0.1</v>
      </c>
      <c r="BH133" s="107">
        <v>100</v>
      </c>
      <c r="BI133" s="107">
        <v>0.1</v>
      </c>
      <c r="BJ133" s="107">
        <v>0.4</v>
      </c>
      <c r="BK133" s="107" t="s">
        <v>94</v>
      </c>
      <c r="BL133" s="107">
        <v>0.9</v>
      </c>
      <c r="BM133" s="107" t="s">
        <v>95</v>
      </c>
      <c r="BN133" s="107" t="s">
        <v>95</v>
      </c>
      <c r="BO133" s="107" t="s">
        <v>95</v>
      </c>
      <c r="BP133" s="107" t="s">
        <v>93</v>
      </c>
      <c r="BQ133" s="107" t="s">
        <v>358</v>
      </c>
      <c r="BR133" s="107" t="s">
        <v>95</v>
      </c>
      <c r="BS133" s="107">
        <v>2.4</v>
      </c>
      <c r="BT133" s="107">
        <v>4.5</v>
      </c>
      <c r="BU133" s="107">
        <v>211</v>
      </c>
      <c r="BV133" s="107">
        <v>5.4</v>
      </c>
      <c r="BW133" s="107">
        <v>9</v>
      </c>
      <c r="BX133" s="107" t="s">
        <v>95</v>
      </c>
      <c r="BY133" s="107" t="s">
        <v>255</v>
      </c>
      <c r="BZ133" s="107" t="s">
        <v>95</v>
      </c>
      <c r="CA133" s="107" t="s">
        <v>95</v>
      </c>
      <c r="CB133" s="107">
        <v>42577</v>
      </c>
      <c r="CC133" s="107">
        <v>42577</v>
      </c>
      <c r="CD133" s="107">
        <v>2553</v>
      </c>
      <c r="CE133" s="107">
        <v>0.59</v>
      </c>
    </row>
    <row r="134" spans="1:83" x14ac:dyDescent="0.25">
      <c r="A134" s="107" t="s">
        <v>359</v>
      </c>
      <c r="B134" s="107">
        <v>146</v>
      </c>
      <c r="C134" s="107" t="s">
        <v>93</v>
      </c>
      <c r="D134" s="107" t="s">
        <v>93</v>
      </c>
      <c r="E134" s="107" t="s">
        <v>111</v>
      </c>
      <c r="F134" s="107" t="s">
        <v>132</v>
      </c>
      <c r="G134" s="107" t="s">
        <v>360</v>
      </c>
      <c r="H134" s="107" t="s">
        <v>94</v>
      </c>
      <c r="I134" s="107">
        <v>1</v>
      </c>
      <c r="J134" s="107">
        <v>0</v>
      </c>
      <c r="K134" s="107">
        <v>1</v>
      </c>
      <c r="L134" s="107">
        <v>100</v>
      </c>
      <c r="M134" s="107">
        <v>20</v>
      </c>
      <c r="N134" s="107">
        <v>100</v>
      </c>
      <c r="O134" s="107">
        <v>231</v>
      </c>
      <c r="P134" s="107">
        <v>150</v>
      </c>
      <c r="Q134" s="107">
        <v>3.125</v>
      </c>
      <c r="R134" s="107">
        <v>50</v>
      </c>
      <c r="S134" s="107">
        <v>1.3</v>
      </c>
      <c r="T134" s="107">
        <v>2.2000000000000002</v>
      </c>
      <c r="U134" s="107">
        <v>3.4</v>
      </c>
      <c r="V134" s="107">
        <v>4.05</v>
      </c>
      <c r="W134" s="107">
        <v>1</v>
      </c>
      <c r="X134" s="107">
        <v>62</v>
      </c>
      <c r="Y134" s="107">
        <v>13</v>
      </c>
      <c r="Z134" s="107">
        <v>300</v>
      </c>
      <c r="AA134" s="107">
        <v>63</v>
      </c>
      <c r="AB134" s="107">
        <v>1.2</v>
      </c>
      <c r="AC134" s="110" t="s">
        <v>95</v>
      </c>
      <c r="AD134" s="107" t="s">
        <v>95</v>
      </c>
      <c r="AE134" s="107" t="s">
        <v>95</v>
      </c>
      <c r="AF134" s="107" t="s">
        <v>95</v>
      </c>
      <c r="AG134" s="107">
        <v>1.0999999999999999E-2</v>
      </c>
      <c r="AH134" s="107" t="s">
        <v>95</v>
      </c>
      <c r="AI134" s="107">
        <v>9.4000000000000004E-3</v>
      </c>
      <c r="AJ134" s="107">
        <v>0.98</v>
      </c>
      <c r="AK134" s="107">
        <v>27</v>
      </c>
      <c r="AL134" s="107">
        <v>5.12</v>
      </c>
      <c r="AM134" s="107">
        <v>5.7</v>
      </c>
      <c r="AN134" s="107">
        <v>27</v>
      </c>
      <c r="AO134" s="107">
        <v>2.17</v>
      </c>
      <c r="AP134" s="107">
        <v>2.0499999999999998</v>
      </c>
      <c r="AQ134" s="107">
        <v>2.2000000000000002</v>
      </c>
      <c r="AR134" s="107">
        <v>2.56</v>
      </c>
      <c r="AS134" s="107">
        <v>0.4</v>
      </c>
      <c r="AT134" s="107">
        <v>3.04</v>
      </c>
      <c r="AU134" s="107">
        <v>0.184</v>
      </c>
      <c r="AV134" s="107">
        <v>9.5999999999999992E-3</v>
      </c>
      <c r="AW134" s="107">
        <v>0.22</v>
      </c>
      <c r="AX134" s="107">
        <v>50</v>
      </c>
      <c r="AY134" s="107">
        <v>10</v>
      </c>
      <c r="AZ134" s="107">
        <v>0.1</v>
      </c>
      <c r="BA134" s="107">
        <v>4.8</v>
      </c>
      <c r="BB134" s="107">
        <v>1.5</v>
      </c>
      <c r="BC134" s="107">
        <v>75</v>
      </c>
      <c r="BD134" s="107">
        <v>1.5</v>
      </c>
      <c r="BE134" s="107">
        <v>75</v>
      </c>
      <c r="BF134" s="107">
        <v>100</v>
      </c>
      <c r="BG134" s="107">
        <v>0.3</v>
      </c>
      <c r="BH134" s="107">
        <v>100</v>
      </c>
      <c r="BI134" s="107">
        <v>0.1</v>
      </c>
      <c r="BJ134" s="107">
        <v>0.41</v>
      </c>
      <c r="BK134" s="107" t="s">
        <v>94</v>
      </c>
      <c r="BL134" s="107">
        <v>0.8</v>
      </c>
      <c r="BM134" s="107" t="s">
        <v>95</v>
      </c>
      <c r="BN134" s="107">
        <v>1155</v>
      </c>
      <c r="BO134" s="107">
        <v>2.6</v>
      </c>
      <c r="BP134" s="107" t="s">
        <v>93</v>
      </c>
      <c r="BQ134" s="107" t="s">
        <v>361</v>
      </c>
      <c r="BR134" s="107" t="s">
        <v>95</v>
      </c>
      <c r="BS134" s="107">
        <v>2.4</v>
      </c>
      <c r="BT134" s="107">
        <v>4.5</v>
      </c>
      <c r="BU134" s="107">
        <v>163</v>
      </c>
      <c r="BV134" s="107">
        <v>4.9000000000000004</v>
      </c>
      <c r="BW134" s="107">
        <v>7.9</v>
      </c>
      <c r="BX134" s="107" t="s">
        <v>95</v>
      </c>
      <c r="BY134" s="107" t="s">
        <v>115</v>
      </c>
      <c r="BZ134" s="107" t="s">
        <v>95</v>
      </c>
      <c r="CA134" s="107" t="s">
        <v>95</v>
      </c>
      <c r="CB134" s="107">
        <v>41954</v>
      </c>
      <c r="CC134" s="107">
        <v>42564</v>
      </c>
      <c r="CD134" s="107">
        <v>2057</v>
      </c>
      <c r="CE134" s="107">
        <v>0.48</v>
      </c>
    </row>
    <row r="135" spans="1:83" x14ac:dyDescent="0.25">
      <c r="A135" s="107" t="s">
        <v>362</v>
      </c>
      <c r="B135" s="107">
        <v>146</v>
      </c>
      <c r="C135" s="107" t="s">
        <v>93</v>
      </c>
      <c r="D135" s="107" t="s">
        <v>94</v>
      </c>
      <c r="E135" s="107" t="s">
        <v>95</v>
      </c>
      <c r="F135" s="107" t="s">
        <v>95</v>
      </c>
      <c r="G135" s="107" t="s">
        <v>208</v>
      </c>
      <c r="H135" s="107" t="s">
        <v>94</v>
      </c>
      <c r="I135" s="107">
        <v>1</v>
      </c>
      <c r="J135" s="107">
        <v>0</v>
      </c>
      <c r="K135" s="107" t="s">
        <v>95</v>
      </c>
      <c r="L135" s="107">
        <v>100</v>
      </c>
      <c r="M135" s="107">
        <v>20</v>
      </c>
      <c r="N135" s="107">
        <v>100</v>
      </c>
      <c r="O135" s="107">
        <v>138</v>
      </c>
      <c r="P135" s="107">
        <v>175</v>
      </c>
      <c r="Q135" s="107">
        <v>118</v>
      </c>
      <c r="R135" s="107">
        <v>62</v>
      </c>
      <c r="S135" s="107">
        <v>1.3</v>
      </c>
      <c r="T135" s="107">
        <v>2.4</v>
      </c>
      <c r="U135" s="107">
        <v>3.4</v>
      </c>
      <c r="V135" s="107">
        <v>4.72</v>
      </c>
      <c r="W135" s="107">
        <v>1.1000000000000001</v>
      </c>
      <c r="X135" s="107">
        <v>72</v>
      </c>
      <c r="Y135" s="107">
        <v>30</v>
      </c>
      <c r="Z135" s="107">
        <v>300</v>
      </c>
      <c r="AA135" s="107">
        <v>80</v>
      </c>
      <c r="AB135" s="107">
        <v>1.1000000000000001</v>
      </c>
      <c r="AC135" s="110" t="s">
        <v>95</v>
      </c>
      <c r="AD135" s="107" t="s">
        <v>95</v>
      </c>
      <c r="AE135" s="107" t="s">
        <v>95</v>
      </c>
      <c r="AF135" s="107" t="s">
        <v>95</v>
      </c>
      <c r="AG135" s="107">
        <v>0.02</v>
      </c>
      <c r="AH135" s="107" t="s">
        <v>95</v>
      </c>
      <c r="AI135" s="107">
        <v>1.6500000000000001E-2</v>
      </c>
      <c r="AJ135" s="107">
        <v>1.0900000000000001</v>
      </c>
      <c r="AK135" s="107">
        <v>17.100000000000001</v>
      </c>
      <c r="AL135" s="107">
        <v>3</v>
      </c>
      <c r="AM135" s="107">
        <v>3.3</v>
      </c>
      <c r="AN135" s="107">
        <v>17</v>
      </c>
      <c r="AO135" s="107">
        <v>1.39</v>
      </c>
      <c r="AP135" s="107">
        <v>1.29</v>
      </c>
      <c r="AQ135" s="107">
        <v>1.42</v>
      </c>
      <c r="AR135" s="107">
        <v>1.52</v>
      </c>
      <c r="AS135" s="107">
        <v>0.25700000000000001</v>
      </c>
      <c r="AT135" s="107">
        <v>1.79</v>
      </c>
      <c r="AU135" s="107">
        <v>0.13700000000000001</v>
      </c>
      <c r="AV135" s="107">
        <v>5.7000000000000002E-3</v>
      </c>
      <c r="AW135" s="107">
        <v>0.16400000000000001</v>
      </c>
      <c r="AX135" s="107">
        <v>50</v>
      </c>
      <c r="AY135" s="107">
        <v>10</v>
      </c>
      <c r="AZ135" s="107">
        <v>0.1</v>
      </c>
      <c r="BA135" s="107">
        <v>2.5</v>
      </c>
      <c r="BB135" s="107">
        <v>2.82</v>
      </c>
      <c r="BC135" s="107">
        <v>58.6</v>
      </c>
      <c r="BD135" s="107">
        <v>3.19</v>
      </c>
      <c r="BE135" s="107">
        <v>58.6</v>
      </c>
      <c r="BF135" s="107">
        <v>100</v>
      </c>
      <c r="BG135" s="107">
        <v>0.27</v>
      </c>
      <c r="BH135" s="107">
        <v>100</v>
      </c>
      <c r="BI135" s="107">
        <v>0.1</v>
      </c>
      <c r="BJ135" s="107">
        <v>0.63</v>
      </c>
      <c r="BK135" s="107" t="s">
        <v>94</v>
      </c>
      <c r="BL135" s="107">
        <v>0.9</v>
      </c>
      <c r="BM135" s="107" t="s">
        <v>95</v>
      </c>
      <c r="BN135" s="107" t="s">
        <v>95</v>
      </c>
      <c r="BO135" s="107" t="s">
        <v>95</v>
      </c>
      <c r="BP135" s="107" t="s">
        <v>93</v>
      </c>
      <c r="BQ135" s="107" t="s">
        <v>363</v>
      </c>
      <c r="BR135" s="107" t="s">
        <v>95</v>
      </c>
      <c r="BS135" s="107">
        <v>2.2000000000000002</v>
      </c>
      <c r="BT135" s="107">
        <v>4.7</v>
      </c>
      <c r="BU135" s="107">
        <v>195</v>
      </c>
      <c r="BV135" s="107">
        <v>3.2</v>
      </c>
      <c r="BW135" s="107">
        <v>5.0999999999999996</v>
      </c>
      <c r="BX135" s="107" t="s">
        <v>95</v>
      </c>
      <c r="BY135" s="107" t="s">
        <v>255</v>
      </c>
      <c r="BZ135" s="107" t="s">
        <v>95</v>
      </c>
      <c r="CA135" s="107" t="s">
        <v>95</v>
      </c>
      <c r="CB135" s="107">
        <v>42577</v>
      </c>
      <c r="CC135" s="107">
        <v>42577</v>
      </c>
      <c r="CD135" s="107">
        <v>2554</v>
      </c>
      <c r="CE135" s="107">
        <v>0.47399999999999998</v>
      </c>
    </row>
    <row r="136" spans="1:83" x14ac:dyDescent="0.25">
      <c r="A136" s="107" t="s">
        <v>364</v>
      </c>
      <c r="B136" s="107">
        <v>146</v>
      </c>
      <c r="C136" s="107" t="s">
        <v>93</v>
      </c>
      <c r="D136" s="107" t="s">
        <v>93</v>
      </c>
      <c r="E136" s="107" t="s">
        <v>111</v>
      </c>
      <c r="F136" s="107" t="s">
        <v>132</v>
      </c>
      <c r="G136" s="107" t="s">
        <v>360</v>
      </c>
      <c r="H136" s="107" t="s">
        <v>94</v>
      </c>
      <c r="I136" s="107">
        <v>1</v>
      </c>
      <c r="J136" s="107">
        <v>0</v>
      </c>
      <c r="K136" s="107">
        <v>1</v>
      </c>
      <c r="L136" s="107">
        <v>100</v>
      </c>
      <c r="M136" s="107">
        <v>20</v>
      </c>
      <c r="N136" s="107">
        <v>50</v>
      </c>
      <c r="O136" s="107">
        <v>137</v>
      </c>
      <c r="P136" s="107">
        <v>150</v>
      </c>
      <c r="Q136" s="107">
        <v>3.125</v>
      </c>
      <c r="R136" s="107">
        <v>50</v>
      </c>
      <c r="S136" s="107">
        <v>2</v>
      </c>
      <c r="T136" s="107">
        <v>2.4</v>
      </c>
      <c r="U136" s="107">
        <v>3.4</v>
      </c>
      <c r="V136" s="107">
        <v>4.22</v>
      </c>
      <c r="W136" s="107">
        <v>1</v>
      </c>
      <c r="X136" s="107">
        <v>53</v>
      </c>
      <c r="Y136" s="107">
        <v>10</v>
      </c>
      <c r="Z136" s="107">
        <v>300</v>
      </c>
      <c r="AA136" s="107">
        <v>47</v>
      </c>
      <c r="AB136" s="107">
        <v>1.1000000000000001</v>
      </c>
      <c r="AC136" s="110" t="s">
        <v>95</v>
      </c>
      <c r="AD136" s="107" t="s">
        <v>95</v>
      </c>
      <c r="AE136" s="107" t="s">
        <v>95</v>
      </c>
      <c r="AF136" s="107" t="s">
        <v>95</v>
      </c>
      <c r="AG136" s="107">
        <v>1.7600000000000001E-2</v>
      </c>
      <c r="AH136" s="107" t="s">
        <v>95</v>
      </c>
      <c r="AI136" s="107">
        <v>1.5100000000000001E-2</v>
      </c>
      <c r="AJ136" s="107">
        <v>0.98</v>
      </c>
      <c r="AK136" s="107">
        <v>17</v>
      </c>
      <c r="AL136" s="107">
        <v>3.2</v>
      </c>
      <c r="AM136" s="107">
        <v>3.3</v>
      </c>
      <c r="AN136" s="107">
        <v>17</v>
      </c>
      <c r="AO136" s="107">
        <v>1.38</v>
      </c>
      <c r="AP136" s="107">
        <v>1.29</v>
      </c>
      <c r="AQ136" s="107">
        <v>1.41</v>
      </c>
      <c r="AR136" s="107">
        <v>1.52</v>
      </c>
      <c r="AS136" s="107">
        <v>0.25</v>
      </c>
      <c r="AT136" s="107">
        <v>1.79</v>
      </c>
      <c r="AU136" s="107">
        <v>0.14000000000000001</v>
      </c>
      <c r="AV136" s="107">
        <v>6.0000000000000001E-3</v>
      </c>
      <c r="AW136" s="107">
        <v>0.17</v>
      </c>
      <c r="AX136" s="107">
        <v>50</v>
      </c>
      <c r="AY136" s="107">
        <v>10</v>
      </c>
      <c r="AZ136" s="107">
        <v>0.1</v>
      </c>
      <c r="BA136" s="107">
        <v>3</v>
      </c>
      <c r="BB136" s="107">
        <v>1.6</v>
      </c>
      <c r="BC136" s="107">
        <v>50</v>
      </c>
      <c r="BD136" s="107">
        <v>2.5</v>
      </c>
      <c r="BE136" s="107">
        <v>50</v>
      </c>
      <c r="BF136" s="107">
        <v>100</v>
      </c>
      <c r="BG136" s="107">
        <v>0.3</v>
      </c>
      <c r="BH136" s="107">
        <v>100</v>
      </c>
      <c r="BI136" s="107">
        <v>0.1</v>
      </c>
      <c r="BJ136" s="107">
        <v>0.625</v>
      </c>
      <c r="BK136" s="107" t="s">
        <v>94</v>
      </c>
      <c r="BL136" s="107">
        <v>0.8</v>
      </c>
      <c r="BM136" s="107" t="s">
        <v>95</v>
      </c>
      <c r="BN136" s="107">
        <v>1155</v>
      </c>
      <c r="BO136" s="107">
        <v>1.68</v>
      </c>
      <c r="BP136" s="107" t="s">
        <v>93</v>
      </c>
      <c r="BQ136" s="107" t="s">
        <v>365</v>
      </c>
      <c r="BR136" s="107" t="s">
        <v>95</v>
      </c>
      <c r="BS136" s="107">
        <v>2.2000000000000002</v>
      </c>
      <c r="BT136" s="107">
        <v>4.5</v>
      </c>
      <c r="BU136" s="107">
        <v>134</v>
      </c>
      <c r="BV136" s="107">
        <v>3.2</v>
      </c>
      <c r="BW136" s="107">
        <v>5.0999999999999996</v>
      </c>
      <c r="BX136" s="107" t="s">
        <v>95</v>
      </c>
      <c r="BY136" s="107" t="s">
        <v>115</v>
      </c>
      <c r="BZ136" s="107" t="s">
        <v>95</v>
      </c>
      <c r="CA136" s="107" t="s">
        <v>95</v>
      </c>
      <c r="CB136" s="107">
        <v>41954</v>
      </c>
      <c r="CC136" s="107">
        <v>42564</v>
      </c>
      <c r="CD136" s="107">
        <v>2058</v>
      </c>
      <c r="CE136" s="107">
        <v>0.33500000000000002</v>
      </c>
    </row>
    <row r="137" spans="1:83" x14ac:dyDescent="0.25">
      <c r="A137" s="107" t="s">
        <v>366</v>
      </c>
      <c r="B137" s="107">
        <v>146</v>
      </c>
      <c r="C137" s="107" t="s">
        <v>93</v>
      </c>
      <c r="D137" s="107" t="s">
        <v>94</v>
      </c>
      <c r="E137" s="107" t="s">
        <v>251</v>
      </c>
      <c r="F137" s="107" t="s">
        <v>252</v>
      </c>
      <c r="G137" s="107" t="s">
        <v>211</v>
      </c>
      <c r="H137" s="107" t="s">
        <v>94</v>
      </c>
      <c r="I137" s="107">
        <v>1</v>
      </c>
      <c r="J137" s="107">
        <v>0</v>
      </c>
      <c r="K137" s="107">
        <v>4</v>
      </c>
      <c r="L137" s="107">
        <v>100</v>
      </c>
      <c r="M137" s="107">
        <v>20</v>
      </c>
      <c r="N137" s="107">
        <v>150</v>
      </c>
      <c r="O137" s="107">
        <v>400</v>
      </c>
      <c r="P137" s="107">
        <v>175</v>
      </c>
      <c r="Q137" s="107">
        <v>300</v>
      </c>
      <c r="R137" s="107">
        <v>62</v>
      </c>
      <c r="S137" s="107">
        <v>0.5</v>
      </c>
      <c r="T137" s="107">
        <v>2.2000000000000002</v>
      </c>
      <c r="U137" s="107">
        <v>3.4</v>
      </c>
      <c r="V137" s="107">
        <v>4.43</v>
      </c>
      <c r="W137" s="107">
        <v>1.1000000000000001</v>
      </c>
      <c r="X137" s="107">
        <v>89</v>
      </c>
      <c r="Y137" s="107">
        <v>100</v>
      </c>
      <c r="Z137" s="107">
        <v>300</v>
      </c>
      <c r="AA137" s="107">
        <v>274</v>
      </c>
      <c r="AB137" s="107">
        <v>1.4</v>
      </c>
      <c r="AC137" s="110" t="s">
        <v>95</v>
      </c>
      <c r="AD137" s="107" t="s">
        <v>95</v>
      </c>
      <c r="AE137" s="107" t="s">
        <v>95</v>
      </c>
      <c r="AF137" s="107" t="s">
        <v>95</v>
      </c>
      <c r="AG137" s="107">
        <v>4.4000000000000003E-3</v>
      </c>
      <c r="AH137" s="107" t="s">
        <v>95</v>
      </c>
      <c r="AI137" s="107">
        <v>3.5999999999999999E-3</v>
      </c>
      <c r="AJ137" s="107">
        <v>0.99</v>
      </c>
      <c r="AK137" s="107">
        <v>78</v>
      </c>
      <c r="AL137" s="107">
        <v>15</v>
      </c>
      <c r="AM137" s="107">
        <v>16</v>
      </c>
      <c r="AN137" s="107">
        <v>77</v>
      </c>
      <c r="AO137" s="107">
        <v>6.65</v>
      </c>
      <c r="AP137" s="107">
        <v>6.1</v>
      </c>
      <c r="AQ137" s="107">
        <v>6.75</v>
      </c>
      <c r="AR137" s="107">
        <v>7.83</v>
      </c>
      <c r="AS137" s="107">
        <v>1.1599999999999999</v>
      </c>
      <c r="AT137" s="107">
        <v>9.16</v>
      </c>
      <c r="AU137" s="107">
        <v>0.66400000000000003</v>
      </c>
      <c r="AV137" s="107">
        <v>2.9000000000000001E-2</v>
      </c>
      <c r="AW137" s="107">
        <v>0.751</v>
      </c>
      <c r="AX137" s="107">
        <v>50</v>
      </c>
      <c r="AY137" s="107">
        <v>10</v>
      </c>
      <c r="AZ137" s="107">
        <v>0.1</v>
      </c>
      <c r="BA137" s="107">
        <v>12.4</v>
      </c>
      <c r="BB137" s="107">
        <v>2.27</v>
      </c>
      <c r="BC137" s="107">
        <v>280</v>
      </c>
      <c r="BD137" s="107">
        <v>100</v>
      </c>
      <c r="BE137" s="107">
        <v>0.83</v>
      </c>
      <c r="BF137" s="107">
        <v>100</v>
      </c>
      <c r="BG137" s="107">
        <v>0.1</v>
      </c>
      <c r="BH137" s="107">
        <v>100</v>
      </c>
      <c r="BI137" s="107">
        <v>0.1</v>
      </c>
      <c r="BJ137" s="107">
        <v>0.125</v>
      </c>
      <c r="BK137" s="107" t="s">
        <v>94</v>
      </c>
      <c r="BL137" s="107">
        <v>0.9</v>
      </c>
      <c r="BM137" s="107" t="s">
        <v>95</v>
      </c>
      <c r="BN137" s="107">
        <v>42</v>
      </c>
      <c r="BO137" s="107">
        <v>6</v>
      </c>
      <c r="BP137" s="107" t="s">
        <v>93</v>
      </c>
      <c r="BQ137" s="107" t="s">
        <v>367</v>
      </c>
      <c r="BR137" s="107" t="s">
        <v>95</v>
      </c>
      <c r="BS137" s="107">
        <v>2.8</v>
      </c>
      <c r="BT137" s="107">
        <v>4.5</v>
      </c>
      <c r="BU137" s="107">
        <v>421</v>
      </c>
      <c r="BV137" s="107">
        <v>13</v>
      </c>
      <c r="BW137" s="107">
        <v>25</v>
      </c>
      <c r="BX137" s="107" t="s">
        <v>95</v>
      </c>
      <c r="BY137" s="107" t="s">
        <v>255</v>
      </c>
      <c r="BZ137" s="107" t="s">
        <v>95</v>
      </c>
      <c r="CA137" s="107" t="s">
        <v>95</v>
      </c>
      <c r="CB137" s="107">
        <v>41955</v>
      </c>
      <c r="CC137" s="107">
        <v>42577</v>
      </c>
      <c r="CD137" s="107">
        <v>2555</v>
      </c>
      <c r="CE137" s="107">
        <v>1.266</v>
      </c>
    </row>
    <row r="138" spans="1:83" x14ac:dyDescent="0.25">
      <c r="A138" s="107" t="s">
        <v>368</v>
      </c>
      <c r="B138" s="107">
        <v>146</v>
      </c>
      <c r="C138" s="107" t="s">
        <v>93</v>
      </c>
      <c r="D138" s="107" t="s">
        <v>94</v>
      </c>
      <c r="E138" s="107" t="s">
        <v>95</v>
      </c>
      <c r="F138" s="107" t="s">
        <v>95</v>
      </c>
      <c r="G138" s="107" t="s">
        <v>208</v>
      </c>
      <c r="H138" s="107" t="s">
        <v>94</v>
      </c>
      <c r="I138" s="107">
        <v>1</v>
      </c>
      <c r="J138" s="107">
        <v>0</v>
      </c>
      <c r="K138" s="107" t="s">
        <v>95</v>
      </c>
      <c r="L138" s="107">
        <v>100</v>
      </c>
      <c r="M138" s="107">
        <v>20</v>
      </c>
      <c r="N138" s="107">
        <v>200</v>
      </c>
      <c r="O138" s="107">
        <v>400</v>
      </c>
      <c r="P138" s="107">
        <v>175</v>
      </c>
      <c r="Q138" s="107">
        <v>300</v>
      </c>
      <c r="R138" s="107">
        <v>62</v>
      </c>
      <c r="S138" s="107">
        <v>0.5</v>
      </c>
      <c r="T138" s="107">
        <v>2.2000000000000002</v>
      </c>
      <c r="U138" s="107">
        <v>3.4</v>
      </c>
      <c r="V138" s="107">
        <v>4.5999999999999996</v>
      </c>
      <c r="W138" s="107">
        <v>1.1000000000000001</v>
      </c>
      <c r="X138" s="107">
        <v>85</v>
      </c>
      <c r="Y138" s="107">
        <v>100</v>
      </c>
      <c r="Z138" s="107">
        <v>300</v>
      </c>
      <c r="AA138" s="107">
        <v>301</v>
      </c>
      <c r="AB138" s="107">
        <v>1.4</v>
      </c>
      <c r="AC138" s="110" t="s">
        <v>95</v>
      </c>
      <c r="AD138" s="107" t="s">
        <v>95</v>
      </c>
      <c r="AE138" s="107" t="s">
        <v>95</v>
      </c>
      <c r="AF138" s="107" t="s">
        <v>95</v>
      </c>
      <c r="AG138" s="107">
        <v>4.1000000000000003E-3</v>
      </c>
      <c r="AH138" s="107" t="s">
        <v>95</v>
      </c>
      <c r="AI138" s="107">
        <v>3.3999999999999998E-3</v>
      </c>
      <c r="AJ138" s="107">
        <v>1.01</v>
      </c>
      <c r="AK138" s="107">
        <v>75</v>
      </c>
      <c r="AL138" s="107">
        <v>14.8</v>
      </c>
      <c r="AM138" s="107">
        <v>16</v>
      </c>
      <c r="AN138" s="107">
        <v>72</v>
      </c>
      <c r="AO138" s="107">
        <v>6.8</v>
      </c>
      <c r="AP138" s="107">
        <v>6.1</v>
      </c>
      <c r="AQ138" s="107">
        <v>6.9009999999999998</v>
      </c>
      <c r="AR138" s="107">
        <v>8.5</v>
      </c>
      <c r="AS138" s="107">
        <v>1.1599999999999999</v>
      </c>
      <c r="AT138" s="107">
        <v>10</v>
      </c>
      <c r="AU138" s="107">
        <v>0.6</v>
      </c>
      <c r="AV138" s="107">
        <v>2.9000000000000001E-2</v>
      </c>
      <c r="AW138" s="107">
        <v>0.73599999999999999</v>
      </c>
      <c r="AX138" s="107">
        <v>50</v>
      </c>
      <c r="AY138" s="107">
        <v>10</v>
      </c>
      <c r="AZ138" s="107">
        <v>0.1</v>
      </c>
      <c r="BA138" s="107">
        <v>13</v>
      </c>
      <c r="BB138" s="107">
        <v>2.14</v>
      </c>
      <c r="BC138" s="107">
        <v>278</v>
      </c>
      <c r="BD138" s="107">
        <v>100</v>
      </c>
      <c r="BE138" s="107">
        <v>0.87</v>
      </c>
      <c r="BF138" s="107">
        <v>100</v>
      </c>
      <c r="BG138" s="107">
        <v>0.1</v>
      </c>
      <c r="BH138" s="107">
        <v>100</v>
      </c>
      <c r="BI138" s="107">
        <v>0.1</v>
      </c>
      <c r="BJ138" s="107">
        <v>0.14000000000000001</v>
      </c>
      <c r="BK138" s="107" t="s">
        <v>94</v>
      </c>
      <c r="BL138" s="107">
        <v>0.9</v>
      </c>
      <c r="BM138" s="107" t="s">
        <v>95</v>
      </c>
      <c r="BN138" s="107" t="s">
        <v>95</v>
      </c>
      <c r="BO138" s="107" t="s">
        <v>95</v>
      </c>
      <c r="BP138" s="107" t="s">
        <v>93</v>
      </c>
      <c r="BQ138" s="107" t="s">
        <v>369</v>
      </c>
      <c r="BR138" s="107" t="s">
        <v>95</v>
      </c>
      <c r="BS138" s="107">
        <v>2.8</v>
      </c>
      <c r="BT138" s="107">
        <v>4.5</v>
      </c>
      <c r="BU138" s="107">
        <v>435</v>
      </c>
      <c r="BV138" s="107">
        <v>11</v>
      </c>
      <c r="BW138" s="107">
        <v>25</v>
      </c>
      <c r="BX138" s="107" t="s">
        <v>95</v>
      </c>
      <c r="BY138" s="107" t="s">
        <v>309</v>
      </c>
      <c r="BZ138" s="107" t="s">
        <v>95</v>
      </c>
      <c r="CA138" s="107" t="s">
        <v>95</v>
      </c>
      <c r="CB138" s="107">
        <v>42577</v>
      </c>
      <c r="CC138" s="107">
        <v>42577</v>
      </c>
      <c r="CD138" s="107">
        <v>2556</v>
      </c>
      <c r="CE138" s="107">
        <v>1.3129999999999999</v>
      </c>
    </row>
    <row r="139" spans="1:83" x14ac:dyDescent="0.25">
      <c r="A139" s="107" t="s">
        <v>370</v>
      </c>
      <c r="B139" s="107">
        <v>146</v>
      </c>
      <c r="C139" s="107" t="s">
        <v>93</v>
      </c>
      <c r="D139" s="107" t="s">
        <v>94</v>
      </c>
      <c r="E139" s="107" t="s">
        <v>251</v>
      </c>
      <c r="F139" s="107" t="s">
        <v>252</v>
      </c>
      <c r="G139" s="107" t="s">
        <v>316</v>
      </c>
      <c r="H139" s="107" t="s">
        <v>94</v>
      </c>
      <c r="I139" s="107">
        <v>1</v>
      </c>
      <c r="J139" s="107">
        <v>0</v>
      </c>
      <c r="K139" s="107">
        <v>4</v>
      </c>
      <c r="L139" s="107">
        <v>100</v>
      </c>
      <c r="M139" s="107">
        <v>20</v>
      </c>
      <c r="N139" s="107">
        <v>150</v>
      </c>
      <c r="O139" s="107">
        <v>400</v>
      </c>
      <c r="P139" s="107">
        <v>175</v>
      </c>
      <c r="Q139" s="107">
        <v>375</v>
      </c>
      <c r="R139" s="107">
        <v>62</v>
      </c>
      <c r="S139" s="107">
        <v>0.4</v>
      </c>
      <c r="T139" s="107">
        <v>2.1</v>
      </c>
      <c r="U139" s="107">
        <v>3.2</v>
      </c>
      <c r="V139" s="107">
        <v>4.26</v>
      </c>
      <c r="W139" s="107">
        <v>1.1000000000000001</v>
      </c>
      <c r="X139" s="107">
        <v>110</v>
      </c>
      <c r="Y139" s="107">
        <v>100</v>
      </c>
      <c r="Z139" s="107">
        <v>300</v>
      </c>
      <c r="AA139" s="107">
        <v>307</v>
      </c>
      <c r="AB139" s="107">
        <v>1.4</v>
      </c>
      <c r="AC139" s="110" t="s">
        <v>95</v>
      </c>
      <c r="AD139" s="107" t="s">
        <v>95</v>
      </c>
      <c r="AE139" s="107" t="s">
        <v>95</v>
      </c>
      <c r="AF139" s="107" t="s">
        <v>95</v>
      </c>
      <c r="AG139" s="107">
        <v>3.2000000000000002E-3</v>
      </c>
      <c r="AH139" s="107" t="s">
        <v>95</v>
      </c>
      <c r="AI139" s="107">
        <v>2.7000000000000001E-3</v>
      </c>
      <c r="AJ139" s="107">
        <v>0.92</v>
      </c>
      <c r="AK139" s="107">
        <v>118</v>
      </c>
      <c r="AL139" s="107">
        <v>24</v>
      </c>
      <c r="AM139" s="107">
        <v>24</v>
      </c>
      <c r="AN139" s="107">
        <v>118</v>
      </c>
      <c r="AO139" s="107">
        <v>10.3</v>
      </c>
      <c r="AP139" s="107">
        <v>9.25</v>
      </c>
      <c r="AQ139" s="107">
        <v>10.5</v>
      </c>
      <c r="AR139" s="107">
        <v>13.3</v>
      </c>
      <c r="AS139" s="107">
        <v>1.82</v>
      </c>
      <c r="AT139" s="107">
        <v>15.6</v>
      </c>
      <c r="AU139" s="107">
        <v>0.84499999999999997</v>
      </c>
      <c r="AV139" s="107">
        <v>4.7100000000000003E-2</v>
      </c>
      <c r="AW139" s="107">
        <v>1.18</v>
      </c>
      <c r="AX139" s="107">
        <v>50</v>
      </c>
      <c r="AY139" s="107">
        <v>10</v>
      </c>
      <c r="AZ139" s="107">
        <v>0.1</v>
      </c>
      <c r="BA139" s="107">
        <v>16.2</v>
      </c>
      <c r="BB139" s="107">
        <v>2.4</v>
      </c>
      <c r="BC139" s="107">
        <v>350</v>
      </c>
      <c r="BD139" s="107">
        <v>100</v>
      </c>
      <c r="BE139" s="107">
        <v>1.48</v>
      </c>
      <c r="BF139" s="107">
        <v>100</v>
      </c>
      <c r="BG139" s="107">
        <v>0.1</v>
      </c>
      <c r="BH139" s="107">
        <v>100</v>
      </c>
      <c r="BI139" s="107">
        <v>0.1</v>
      </c>
      <c r="BJ139" s="107">
        <v>8.3000000000000004E-2</v>
      </c>
      <c r="BK139" s="107" t="s">
        <v>94</v>
      </c>
      <c r="BL139" s="107">
        <v>0.9</v>
      </c>
      <c r="BM139" s="107" t="s">
        <v>95</v>
      </c>
      <c r="BN139" s="107">
        <v>42</v>
      </c>
      <c r="BO139" s="107">
        <v>9.32</v>
      </c>
      <c r="BP139" s="107" t="s">
        <v>93</v>
      </c>
      <c r="BQ139" s="107" t="s">
        <v>371</v>
      </c>
      <c r="BR139" s="107" t="s">
        <v>95</v>
      </c>
      <c r="BS139" s="107">
        <v>2.8</v>
      </c>
      <c r="BT139" s="107">
        <v>4.3</v>
      </c>
      <c r="BU139" s="107">
        <v>548</v>
      </c>
      <c r="BV139" s="107">
        <v>17</v>
      </c>
      <c r="BW139" s="107">
        <v>37</v>
      </c>
      <c r="BX139" s="107" t="s">
        <v>95</v>
      </c>
      <c r="BY139" s="107" t="s">
        <v>255</v>
      </c>
      <c r="BZ139" s="107" t="s">
        <v>95</v>
      </c>
      <c r="CA139" s="107" t="s">
        <v>95</v>
      </c>
      <c r="CB139" s="107">
        <v>41937</v>
      </c>
      <c r="CC139" s="107">
        <v>42577</v>
      </c>
      <c r="CD139" s="107">
        <v>2557</v>
      </c>
      <c r="CE139" s="107">
        <v>1.9259999999999999</v>
      </c>
    </row>
    <row r="140" spans="1:83" x14ac:dyDescent="0.25">
      <c r="A140" s="107" t="s">
        <v>381</v>
      </c>
      <c r="B140" s="107">
        <v>146</v>
      </c>
      <c r="C140" s="107" t="s">
        <v>93</v>
      </c>
      <c r="D140" s="107" t="s">
        <v>94</v>
      </c>
      <c r="E140" s="100" t="s">
        <v>95</v>
      </c>
      <c r="F140" s="100" t="s">
        <v>273</v>
      </c>
      <c r="G140" s="107"/>
      <c r="H140" s="107" t="s">
        <v>94</v>
      </c>
      <c r="I140" s="107">
        <v>1</v>
      </c>
      <c r="J140" s="107">
        <v>0</v>
      </c>
      <c r="K140" s="100" t="s">
        <v>95</v>
      </c>
      <c r="L140" s="107">
        <v>100</v>
      </c>
      <c r="M140" s="107">
        <v>20</v>
      </c>
      <c r="N140" s="107">
        <v>200</v>
      </c>
      <c r="O140" s="107">
        <v>400</v>
      </c>
      <c r="P140" s="107">
        <v>175</v>
      </c>
      <c r="Q140" s="107">
        <v>375</v>
      </c>
      <c r="R140" s="107">
        <v>62</v>
      </c>
      <c r="S140" s="107">
        <v>0.4</v>
      </c>
      <c r="T140" s="107">
        <v>2.1</v>
      </c>
      <c r="U140" s="107">
        <v>3.2</v>
      </c>
      <c r="V140" s="107">
        <v>4</v>
      </c>
      <c r="W140" s="107">
        <v>1.1000000000000001</v>
      </c>
      <c r="X140" s="107">
        <v>110</v>
      </c>
      <c r="Y140" s="107">
        <v>100</v>
      </c>
      <c r="Z140" s="107">
        <v>300</v>
      </c>
      <c r="AA140" s="107">
        <v>307</v>
      </c>
      <c r="AB140" s="107">
        <v>1.4</v>
      </c>
      <c r="AC140" s="110" t="s">
        <v>95</v>
      </c>
      <c r="AD140" s="107" t="s">
        <v>95</v>
      </c>
      <c r="AE140" s="107" t="s">
        <v>95</v>
      </c>
      <c r="AF140" s="107" t="s">
        <v>95</v>
      </c>
      <c r="AG140" s="107">
        <v>3.2000000000000002E-3</v>
      </c>
      <c r="AH140" s="107" t="s">
        <v>95</v>
      </c>
      <c r="AI140" s="107">
        <v>2.7000000000000001E-3</v>
      </c>
      <c r="AJ140" s="107">
        <v>0.92</v>
      </c>
      <c r="AK140" s="107">
        <v>118</v>
      </c>
      <c r="AL140" s="107">
        <v>24</v>
      </c>
      <c r="AM140" s="107">
        <v>24</v>
      </c>
      <c r="AN140" s="107">
        <v>118</v>
      </c>
      <c r="AO140" s="107">
        <v>10.3</v>
      </c>
      <c r="AP140" s="107">
        <v>9.25</v>
      </c>
      <c r="AQ140" s="107">
        <v>10.5</v>
      </c>
      <c r="AR140" s="107">
        <v>13.3</v>
      </c>
      <c r="AS140" s="107">
        <v>1.82</v>
      </c>
      <c r="AT140" s="107">
        <v>15.6</v>
      </c>
      <c r="AU140" s="107">
        <v>0.84499999999999997</v>
      </c>
      <c r="AV140" s="107">
        <v>4.7100000000000003E-2</v>
      </c>
      <c r="AW140" s="107">
        <v>1.18</v>
      </c>
      <c r="AX140" s="107">
        <v>50</v>
      </c>
      <c r="AY140" s="107">
        <v>10</v>
      </c>
      <c r="AZ140" s="107">
        <v>0.1</v>
      </c>
      <c r="BA140" s="107">
        <v>16.2</v>
      </c>
      <c r="BB140" s="107">
        <v>2.4</v>
      </c>
      <c r="BC140" s="107">
        <v>350</v>
      </c>
      <c r="BD140" s="107">
        <v>100</v>
      </c>
      <c r="BE140" s="107">
        <v>1.48</v>
      </c>
      <c r="BF140" s="107">
        <v>100</v>
      </c>
      <c r="BG140" s="107">
        <v>0.1</v>
      </c>
      <c r="BH140" s="107">
        <v>100</v>
      </c>
      <c r="BI140" s="107">
        <v>0.1</v>
      </c>
      <c r="BJ140" s="107">
        <v>8.3000000000000004E-2</v>
      </c>
      <c r="BK140" s="107" t="s">
        <v>94</v>
      </c>
      <c r="BL140" s="107">
        <v>0.9</v>
      </c>
      <c r="BM140" s="107" t="s">
        <v>95</v>
      </c>
      <c r="BN140" s="107">
        <v>42</v>
      </c>
      <c r="BO140" s="107">
        <v>9.32</v>
      </c>
      <c r="BP140" s="107" t="s">
        <v>93</v>
      </c>
      <c r="BQ140" s="107" t="s">
        <v>371</v>
      </c>
      <c r="BR140" s="107" t="s">
        <v>95</v>
      </c>
      <c r="BS140" s="107">
        <v>2.8</v>
      </c>
      <c r="BT140" s="107">
        <v>4.3</v>
      </c>
      <c r="BU140" s="107">
        <v>548</v>
      </c>
      <c r="BV140" s="107">
        <v>17</v>
      </c>
      <c r="BW140" s="107">
        <v>37</v>
      </c>
      <c r="BX140" s="107" t="s">
        <v>95</v>
      </c>
      <c r="BY140" s="100" t="s">
        <v>309</v>
      </c>
      <c r="BZ140" s="107" t="s">
        <v>95</v>
      </c>
      <c r="CA140" s="107" t="s">
        <v>95</v>
      </c>
      <c r="CB140" s="107">
        <v>41937</v>
      </c>
      <c r="CC140" s="107">
        <v>42577</v>
      </c>
      <c r="CD140" s="107">
        <v>2557</v>
      </c>
      <c r="CE140" s="107">
        <v>1.972</v>
      </c>
    </row>
    <row r="141" spans="1:83" x14ac:dyDescent="0.25">
      <c r="A141" s="107" t="s">
        <v>372</v>
      </c>
      <c r="B141" s="107">
        <v>146</v>
      </c>
      <c r="C141" s="107" t="s">
        <v>93</v>
      </c>
      <c r="D141" s="107" t="s">
        <v>93</v>
      </c>
      <c r="E141" s="107" t="s">
        <v>111</v>
      </c>
      <c r="F141" s="107" t="s">
        <v>120</v>
      </c>
      <c r="G141" s="107" t="s">
        <v>231</v>
      </c>
      <c r="H141" s="107" t="s">
        <v>94</v>
      </c>
      <c r="I141" s="107">
        <v>1</v>
      </c>
      <c r="J141" s="107">
        <v>0</v>
      </c>
      <c r="K141" s="107">
        <v>1</v>
      </c>
      <c r="L141" s="107">
        <v>100</v>
      </c>
      <c r="M141" s="107">
        <v>20</v>
      </c>
      <c r="N141" s="107">
        <v>50</v>
      </c>
      <c r="O141" s="107">
        <v>219</v>
      </c>
      <c r="P141" s="107">
        <v>150</v>
      </c>
      <c r="Q141" s="107">
        <v>83</v>
      </c>
      <c r="R141" s="107">
        <v>55</v>
      </c>
      <c r="S141" s="107">
        <v>1.5</v>
      </c>
      <c r="T141" s="107">
        <v>2.6</v>
      </c>
      <c r="U141" s="107">
        <v>3.6</v>
      </c>
      <c r="V141" s="107">
        <v>4.5999999999999996</v>
      </c>
      <c r="W141" s="107">
        <v>1</v>
      </c>
      <c r="X141" s="107">
        <v>36</v>
      </c>
      <c r="Y141" s="107">
        <v>10</v>
      </c>
      <c r="Z141" s="107">
        <v>300</v>
      </c>
      <c r="AA141" s="107">
        <v>45</v>
      </c>
      <c r="AB141" s="107">
        <v>1.2</v>
      </c>
      <c r="AC141" s="110" t="s">
        <v>95</v>
      </c>
      <c r="AD141" s="107" t="s">
        <v>95</v>
      </c>
      <c r="AE141" s="107" t="s">
        <v>95</v>
      </c>
      <c r="AF141" s="107" t="s">
        <v>95</v>
      </c>
      <c r="AG141" s="107">
        <v>1.66E-2</v>
      </c>
      <c r="AH141" s="107" t="s">
        <v>95</v>
      </c>
      <c r="AI141" s="107">
        <v>1.4500000000000001E-2</v>
      </c>
      <c r="AJ141" s="107">
        <v>1.02</v>
      </c>
      <c r="AK141" s="107">
        <v>16</v>
      </c>
      <c r="AL141" s="107">
        <v>3</v>
      </c>
      <c r="AM141" s="107">
        <v>3.8</v>
      </c>
      <c r="AN141" s="107">
        <v>15.7</v>
      </c>
      <c r="AO141" s="107">
        <v>1.45</v>
      </c>
      <c r="AP141" s="107">
        <v>1.29</v>
      </c>
      <c r="AQ141" s="107">
        <v>1.46</v>
      </c>
      <c r="AR141" s="107">
        <v>1.63</v>
      </c>
      <c r="AS141" s="107">
        <v>0.25</v>
      </c>
      <c r="AT141" s="107">
        <v>1.84</v>
      </c>
      <c r="AU141" s="107">
        <v>0.14199999999999999</v>
      </c>
      <c r="AV141" s="107">
        <v>1.2999999999999999E-2</v>
      </c>
      <c r="AW141" s="107">
        <v>0.16</v>
      </c>
      <c r="AX141" s="107">
        <v>50</v>
      </c>
      <c r="AY141" s="107" t="s">
        <v>95</v>
      </c>
      <c r="AZ141" s="107">
        <v>0.1</v>
      </c>
      <c r="BA141" s="107">
        <v>3.5</v>
      </c>
      <c r="BB141" s="107">
        <v>1.8</v>
      </c>
      <c r="BC141" s="107">
        <v>60</v>
      </c>
      <c r="BD141" s="107">
        <v>5</v>
      </c>
      <c r="BE141" s="107">
        <v>20</v>
      </c>
      <c r="BF141" s="107">
        <v>30</v>
      </c>
      <c r="BG141" s="107">
        <v>1.6</v>
      </c>
      <c r="BH141" s="107">
        <v>100</v>
      </c>
      <c r="BI141" s="107">
        <v>0.1</v>
      </c>
      <c r="BJ141" s="107">
        <v>1.35</v>
      </c>
      <c r="BK141" s="107" t="s">
        <v>94</v>
      </c>
      <c r="BL141" s="107">
        <v>0.8</v>
      </c>
      <c r="BM141" s="107" t="s">
        <v>95</v>
      </c>
      <c r="BN141" s="107" t="s">
        <v>95</v>
      </c>
      <c r="BO141" s="107">
        <v>1.3</v>
      </c>
      <c r="BP141" s="107" t="s">
        <v>95</v>
      </c>
      <c r="BQ141" s="107" t="s">
        <v>373</v>
      </c>
      <c r="BR141" s="107" t="s">
        <v>95</v>
      </c>
      <c r="BS141" s="107">
        <v>2.4</v>
      </c>
      <c r="BT141" s="107">
        <v>4.5</v>
      </c>
      <c r="BU141" s="107">
        <v>134</v>
      </c>
      <c r="BV141" s="107">
        <v>2.9</v>
      </c>
      <c r="BW141" s="107">
        <v>5.5</v>
      </c>
      <c r="BX141" s="107" t="s">
        <v>95</v>
      </c>
      <c r="BY141" s="107" t="s">
        <v>115</v>
      </c>
      <c r="BZ141" s="107" t="s">
        <v>95</v>
      </c>
      <c r="CA141" s="107" t="s">
        <v>95</v>
      </c>
      <c r="CB141" s="107">
        <v>42265</v>
      </c>
      <c r="CC141" s="107">
        <v>42599</v>
      </c>
      <c r="CD141" s="107">
        <v>2059</v>
      </c>
      <c r="CE141" s="107">
        <v>0.40100000000000002</v>
      </c>
    </row>
    <row r="142" spans="1:83" x14ac:dyDescent="0.25">
      <c r="A142" s="107" t="s">
        <v>374</v>
      </c>
      <c r="B142" s="107">
        <v>146</v>
      </c>
      <c r="C142" s="107" t="s">
        <v>93</v>
      </c>
      <c r="D142" s="107" t="s">
        <v>93</v>
      </c>
      <c r="E142" s="107" t="s">
        <v>97</v>
      </c>
      <c r="F142" s="107" t="s">
        <v>98</v>
      </c>
      <c r="G142" s="107" t="s">
        <v>335</v>
      </c>
      <c r="H142" s="107" t="s">
        <v>94</v>
      </c>
      <c r="I142" s="107">
        <v>1</v>
      </c>
      <c r="J142" s="107">
        <v>0</v>
      </c>
      <c r="K142" s="107">
        <v>1</v>
      </c>
      <c r="L142" s="107">
        <v>100</v>
      </c>
      <c r="M142" s="107">
        <v>20</v>
      </c>
      <c r="N142" s="107">
        <v>14.4</v>
      </c>
      <c r="O142" s="107">
        <v>34.4</v>
      </c>
      <c r="P142" s="107">
        <v>150</v>
      </c>
      <c r="Q142" s="107">
        <v>20.2</v>
      </c>
      <c r="R142" s="107">
        <v>65</v>
      </c>
      <c r="S142" s="107">
        <v>6.2</v>
      </c>
      <c r="T142" s="107">
        <v>2.8</v>
      </c>
      <c r="U142" s="107">
        <v>3.8</v>
      </c>
      <c r="V142" s="107">
        <v>4.7</v>
      </c>
      <c r="W142" s="107">
        <v>1</v>
      </c>
      <c r="X142" s="107">
        <v>34</v>
      </c>
      <c r="Y142" s="107">
        <v>5</v>
      </c>
      <c r="Z142" s="107">
        <v>300</v>
      </c>
      <c r="AA142" s="107">
        <v>19</v>
      </c>
      <c r="AB142" s="107">
        <v>4.5999999999999996</v>
      </c>
      <c r="AC142" s="110" t="s">
        <v>95</v>
      </c>
      <c r="AD142" s="107" t="s">
        <v>95</v>
      </c>
      <c r="AE142" s="107" t="s">
        <v>95</v>
      </c>
      <c r="AF142" s="107" t="s">
        <v>95</v>
      </c>
      <c r="AG142" s="107">
        <v>7.1999999999999995E-2</v>
      </c>
      <c r="AH142" s="107" t="s">
        <v>95</v>
      </c>
      <c r="AI142" s="107">
        <v>5.8999999999999997E-2</v>
      </c>
      <c r="AJ142" s="107">
        <v>1</v>
      </c>
      <c r="AK142" s="107">
        <v>4.3</v>
      </c>
      <c r="AL142" s="107">
        <v>0.75</v>
      </c>
      <c r="AM142" s="107">
        <v>1</v>
      </c>
      <c r="AN142" s="107">
        <v>4.2</v>
      </c>
      <c r="AO142" s="107">
        <v>0.36</v>
      </c>
      <c r="AP142" s="107">
        <v>0.35</v>
      </c>
      <c r="AQ142" s="107">
        <v>0.38</v>
      </c>
      <c r="AR142" s="107">
        <v>0.4</v>
      </c>
      <c r="AS142" s="107">
        <v>6.9000000000000006E-2</v>
      </c>
      <c r="AT142" s="107">
        <v>0.47</v>
      </c>
      <c r="AU142" s="107">
        <v>0.04</v>
      </c>
      <c r="AV142" s="107">
        <v>8.9999999999999993E-3</v>
      </c>
      <c r="AW142" s="107">
        <v>4.8000000000000001E-2</v>
      </c>
      <c r="AX142" s="107">
        <v>50</v>
      </c>
      <c r="AY142" s="107">
        <v>10</v>
      </c>
      <c r="AZ142" s="107">
        <v>0.1</v>
      </c>
      <c r="BA142" s="107">
        <v>3.5</v>
      </c>
      <c r="BB142" s="107">
        <v>1.8</v>
      </c>
      <c r="BC142" s="107">
        <v>60</v>
      </c>
      <c r="BD142" s="107">
        <v>2.5</v>
      </c>
      <c r="BE142" s="107">
        <v>60</v>
      </c>
      <c r="BF142" s="107">
        <v>100</v>
      </c>
      <c r="BG142" s="107">
        <v>0.28999999999999998</v>
      </c>
      <c r="BH142" s="107">
        <v>100</v>
      </c>
      <c r="BI142" s="107">
        <v>0.1</v>
      </c>
      <c r="BJ142" s="107">
        <v>0.41</v>
      </c>
      <c r="BK142" s="107" t="s">
        <v>94</v>
      </c>
      <c r="BL142" s="107">
        <v>0.85</v>
      </c>
      <c r="BM142" s="107" t="s">
        <v>95</v>
      </c>
      <c r="BN142" s="107" t="s">
        <v>95</v>
      </c>
      <c r="BO142" s="107">
        <v>0.33200000000000002</v>
      </c>
      <c r="BP142" s="107" t="s">
        <v>93</v>
      </c>
      <c r="BQ142" s="107" t="s">
        <v>385</v>
      </c>
      <c r="BR142" s="107" t="s">
        <v>95</v>
      </c>
      <c r="BS142" s="107">
        <v>9.1999999999999993</v>
      </c>
      <c r="BT142" s="107">
        <v>4.5</v>
      </c>
      <c r="BU142" s="107">
        <v>94</v>
      </c>
      <c r="BV142" s="107">
        <v>0.8</v>
      </c>
      <c r="BW142" s="107">
        <v>2</v>
      </c>
      <c r="BX142" s="107" t="s">
        <v>95</v>
      </c>
      <c r="BY142" s="107" t="s">
        <v>101</v>
      </c>
      <c r="BZ142" s="107" t="s">
        <v>94</v>
      </c>
      <c r="CA142" s="107" t="s">
        <v>95</v>
      </c>
      <c r="CB142" s="107">
        <v>42422</v>
      </c>
      <c r="CC142" s="107">
        <v>42585</v>
      </c>
      <c r="CD142" s="107">
        <v>2559</v>
      </c>
      <c r="CE142" s="107">
        <v>0.16200000000000001</v>
      </c>
    </row>
    <row r="143" spans="1:83" x14ac:dyDescent="0.25">
      <c r="A143" s="107" t="s">
        <v>375</v>
      </c>
      <c r="B143" s="107">
        <v>146</v>
      </c>
      <c r="C143" s="107" t="s">
        <v>93</v>
      </c>
      <c r="D143" s="107" t="s">
        <v>93</v>
      </c>
      <c r="E143" s="107" t="s">
        <v>111</v>
      </c>
      <c r="F143" s="107" t="s">
        <v>209</v>
      </c>
      <c r="G143" s="107" t="s">
        <v>376</v>
      </c>
      <c r="H143" s="107" t="s">
        <v>94</v>
      </c>
      <c r="I143" s="107">
        <v>1</v>
      </c>
      <c r="J143" s="107">
        <v>0</v>
      </c>
      <c r="K143" s="107">
        <v>1</v>
      </c>
      <c r="L143" s="107">
        <v>100</v>
      </c>
      <c r="M143" s="107">
        <v>20</v>
      </c>
      <c r="N143" s="107">
        <v>15</v>
      </c>
      <c r="O143" s="107">
        <v>37</v>
      </c>
      <c r="P143" s="107">
        <v>150</v>
      </c>
      <c r="Q143" s="107">
        <v>2.8</v>
      </c>
      <c r="R143" s="107">
        <v>55</v>
      </c>
      <c r="S143" s="107">
        <v>5.5</v>
      </c>
      <c r="T143" s="107">
        <v>2.8</v>
      </c>
      <c r="U143" s="107">
        <v>3.8</v>
      </c>
      <c r="V143" s="107">
        <v>4.9000000000000004</v>
      </c>
      <c r="W143" s="107">
        <v>1</v>
      </c>
      <c r="X143" s="107">
        <v>32</v>
      </c>
      <c r="Y143" s="107">
        <v>5</v>
      </c>
      <c r="Z143" s="107">
        <v>300</v>
      </c>
      <c r="AA143" s="107">
        <v>6.1</v>
      </c>
      <c r="AB143" s="107">
        <v>4.5999999999999996</v>
      </c>
      <c r="AC143" s="108" t="s">
        <v>95</v>
      </c>
      <c r="AD143" s="107" t="s">
        <v>95</v>
      </c>
      <c r="AE143" s="107" t="s">
        <v>95</v>
      </c>
      <c r="AF143" s="107" t="s">
        <v>95</v>
      </c>
      <c r="AG143" s="107">
        <v>7.1999999999999995E-2</v>
      </c>
      <c r="AH143" s="107" t="s">
        <v>95</v>
      </c>
      <c r="AI143" s="107">
        <v>5.8999999999999997E-2</v>
      </c>
      <c r="AJ143" s="107">
        <v>0.98</v>
      </c>
      <c r="AK143" s="107">
        <v>4.3</v>
      </c>
      <c r="AL143" s="107">
        <v>0.7</v>
      </c>
      <c r="AM143" s="107">
        <v>1</v>
      </c>
      <c r="AN143" s="107">
        <v>4.3</v>
      </c>
      <c r="AO143" s="107">
        <v>0.36799999999999999</v>
      </c>
      <c r="AP143" s="107">
        <v>0.34899999999999998</v>
      </c>
      <c r="AQ143" s="107">
        <v>0.375</v>
      </c>
      <c r="AR143" s="107">
        <v>0.40500000000000003</v>
      </c>
      <c r="AS143" s="107">
        <v>6.9000000000000006E-2</v>
      </c>
      <c r="AT143" s="107">
        <v>0.49299999999999999</v>
      </c>
      <c r="AU143" s="107">
        <v>4.0899999999999999E-2</v>
      </c>
      <c r="AV143" s="107">
        <v>1.26E-2</v>
      </c>
      <c r="AW143" s="107">
        <v>5.04E-2</v>
      </c>
      <c r="AX143" s="107">
        <v>50</v>
      </c>
      <c r="AY143" s="107">
        <v>10</v>
      </c>
      <c r="AZ143" s="107">
        <v>0.1</v>
      </c>
      <c r="BA143" s="107">
        <v>0.8</v>
      </c>
      <c r="BB143" s="107">
        <v>1.8</v>
      </c>
      <c r="BC143" s="107">
        <v>60</v>
      </c>
      <c r="BD143" s="107">
        <v>3.8</v>
      </c>
      <c r="BE143" s="107">
        <v>60</v>
      </c>
      <c r="BF143" s="107">
        <v>100</v>
      </c>
      <c r="BG143" s="107">
        <v>0.14000000000000001</v>
      </c>
      <c r="BH143" s="107">
        <v>100</v>
      </c>
      <c r="BI143" s="107">
        <v>0.1</v>
      </c>
      <c r="BJ143" s="107">
        <v>2.57</v>
      </c>
      <c r="BK143" s="107" t="s">
        <v>94</v>
      </c>
      <c r="BL143" s="107">
        <v>0.85</v>
      </c>
      <c r="BM143" s="107" t="s">
        <v>95</v>
      </c>
      <c r="BN143" s="107" t="s">
        <v>95</v>
      </c>
      <c r="BO143" s="107">
        <v>0.32400000000000001</v>
      </c>
      <c r="BP143" s="107" t="s">
        <v>93</v>
      </c>
      <c r="BQ143" s="107" t="s">
        <v>377</v>
      </c>
      <c r="BR143" s="107" t="s">
        <v>95</v>
      </c>
      <c r="BS143" s="107">
        <v>9.1999999999999993</v>
      </c>
      <c r="BT143" s="107">
        <v>4.0999999999999996</v>
      </c>
      <c r="BU143" s="107">
        <v>94</v>
      </c>
      <c r="BV143" s="107">
        <v>0.8</v>
      </c>
      <c r="BW143" s="107">
        <v>1.6</v>
      </c>
      <c r="BX143" s="107" t="s">
        <v>95</v>
      </c>
      <c r="BY143" s="107" t="s">
        <v>122</v>
      </c>
      <c r="BZ143" s="107" t="s">
        <v>94</v>
      </c>
      <c r="CA143" s="107" t="s">
        <v>95</v>
      </c>
      <c r="CB143" s="107">
        <v>42354</v>
      </c>
      <c r="CC143" s="107">
        <v>42577</v>
      </c>
      <c r="CD143" s="107">
        <v>2560</v>
      </c>
      <c r="CE143" s="107">
        <v>0.16200000000000001</v>
      </c>
    </row>
    <row r="144" spans="1:83" s="103" customFormat="1" x14ac:dyDescent="0.25">
      <c r="A144" s="103" t="s">
        <v>675</v>
      </c>
      <c r="B144" s="103">
        <v>146</v>
      </c>
      <c r="C144" s="103" t="s">
        <v>95</v>
      </c>
      <c r="D144" s="103" t="s">
        <v>102</v>
      </c>
      <c r="E144" s="103" t="s">
        <v>687</v>
      </c>
      <c r="F144" s="103" t="s">
        <v>688</v>
      </c>
      <c r="G144" s="103" t="s">
        <v>689</v>
      </c>
      <c r="H144" s="103" t="s">
        <v>94</v>
      </c>
      <c r="I144" s="103">
        <v>2</v>
      </c>
      <c r="J144" s="103">
        <v>0</v>
      </c>
      <c r="K144" s="103">
        <v>1</v>
      </c>
      <c r="L144" s="103" t="s">
        <v>95</v>
      </c>
      <c r="M144" s="103">
        <v>10</v>
      </c>
      <c r="N144" s="103" t="s">
        <v>95</v>
      </c>
      <c r="O144" s="103" t="s">
        <v>95</v>
      </c>
      <c r="P144" s="103">
        <v>150</v>
      </c>
      <c r="Q144" s="103">
        <v>2.2999999999999998</v>
      </c>
      <c r="R144" s="103">
        <v>150</v>
      </c>
      <c r="S144" s="103" t="s">
        <v>95</v>
      </c>
      <c r="T144" s="103">
        <v>0.75</v>
      </c>
      <c r="U144" s="103">
        <v>1.25</v>
      </c>
      <c r="W144" s="103" t="s">
        <v>95</v>
      </c>
      <c r="X144" s="103" t="s">
        <v>95</v>
      </c>
      <c r="Y144" s="103" t="s">
        <v>95</v>
      </c>
      <c r="Z144" s="103" t="s">
        <v>95</v>
      </c>
      <c r="AA144" s="103">
        <v>36</v>
      </c>
      <c r="AB144" s="103" t="s">
        <v>95</v>
      </c>
      <c r="AC144" s="117"/>
      <c r="AD144" s="103" t="s">
        <v>95</v>
      </c>
      <c r="AF144" s="103" t="s">
        <v>95</v>
      </c>
      <c r="AH144" s="103" t="s">
        <v>95</v>
      </c>
      <c r="AI144" s="103" t="s">
        <v>95</v>
      </c>
      <c r="AJ144" s="103" t="s">
        <v>95</v>
      </c>
      <c r="AK144" s="103">
        <v>8.4</v>
      </c>
      <c r="AL144" s="103" t="s">
        <v>95</v>
      </c>
      <c r="AN144" s="103" t="s">
        <v>95</v>
      </c>
      <c r="AO144" s="103" t="s">
        <v>95</v>
      </c>
      <c r="AP144" s="103" t="s">
        <v>95</v>
      </c>
      <c r="AQ144" s="103">
        <v>1170</v>
      </c>
      <c r="AR144" s="103" t="s">
        <v>95</v>
      </c>
      <c r="AS144" s="103" t="s">
        <v>95</v>
      </c>
      <c r="AT144" s="103">
        <v>243</v>
      </c>
      <c r="AU144" s="103" t="s">
        <v>95</v>
      </c>
      <c r="AV144" s="103" t="s">
        <v>95</v>
      </c>
      <c r="AW144" s="103">
        <v>144</v>
      </c>
      <c r="AX144" s="103" t="s">
        <v>95</v>
      </c>
      <c r="AY144" s="103" t="s">
        <v>95</v>
      </c>
      <c r="AZ144" s="103" t="s">
        <v>95</v>
      </c>
      <c r="BA144" s="103" t="s">
        <v>95</v>
      </c>
      <c r="BB144" s="103" t="s">
        <v>95</v>
      </c>
      <c r="BC144" s="103" t="s">
        <v>95</v>
      </c>
      <c r="BD144" s="103" t="s">
        <v>95</v>
      </c>
      <c r="BE144" s="103" t="s">
        <v>95</v>
      </c>
      <c r="BF144" s="103" t="s">
        <v>95</v>
      </c>
      <c r="BG144" s="103" t="s">
        <v>95</v>
      </c>
      <c r="BH144" s="103" t="s">
        <v>95</v>
      </c>
      <c r="BI144" s="103" t="s">
        <v>95</v>
      </c>
      <c r="BJ144" s="103" t="s">
        <v>95</v>
      </c>
      <c r="BK144" s="103" t="s">
        <v>95</v>
      </c>
      <c r="BL144" s="103" t="s">
        <v>95</v>
      </c>
      <c r="BM144" s="103" t="s">
        <v>95</v>
      </c>
      <c r="BN144" s="103" t="s">
        <v>95</v>
      </c>
      <c r="BO144" s="103" t="s">
        <v>95</v>
      </c>
      <c r="BP144" s="103" t="s">
        <v>93</v>
      </c>
      <c r="BQ144" s="104" t="s">
        <v>690</v>
      </c>
      <c r="BR144" s="103" t="s">
        <v>95</v>
      </c>
      <c r="BS144" s="103" t="s">
        <v>95</v>
      </c>
      <c r="BT144" s="103" t="s">
        <v>95</v>
      </c>
      <c r="BU144" s="103" t="s">
        <v>95</v>
      </c>
      <c r="BV144" s="103">
        <v>1.9</v>
      </c>
      <c r="BW144" s="103">
        <v>2.2000000000000002</v>
      </c>
      <c r="BX144" s="103" t="s">
        <v>95</v>
      </c>
      <c r="BY144" s="103" t="s">
        <v>95</v>
      </c>
      <c r="BZ144" s="103" t="s">
        <v>95</v>
      </c>
      <c r="CA144" s="103" t="s">
        <v>95</v>
      </c>
      <c r="CB144" s="103">
        <v>42031</v>
      </c>
      <c r="CC144" s="103" t="s">
        <v>95</v>
      </c>
      <c r="CD144" s="103">
        <v>3157</v>
      </c>
      <c r="CE144" s="118">
        <v>0.16200000000000001</v>
      </c>
    </row>
    <row r="145" spans="1:83" s="103" customFormat="1" x14ac:dyDescent="0.25">
      <c r="A145" s="103" t="s">
        <v>676</v>
      </c>
      <c r="B145" s="103">
        <v>146</v>
      </c>
      <c r="C145" s="103" t="s">
        <v>93</v>
      </c>
      <c r="D145" s="103" t="s">
        <v>102</v>
      </c>
      <c r="E145" s="103" t="s">
        <v>691</v>
      </c>
      <c r="F145" s="103" t="s">
        <v>692</v>
      </c>
      <c r="G145" s="103" t="s">
        <v>693</v>
      </c>
      <c r="H145" s="103" t="s">
        <v>94</v>
      </c>
      <c r="I145" s="103">
        <v>2</v>
      </c>
      <c r="J145" s="103">
        <v>0</v>
      </c>
      <c r="K145" s="103">
        <v>1</v>
      </c>
      <c r="L145" s="103">
        <v>20</v>
      </c>
      <c r="M145" s="103">
        <v>10</v>
      </c>
      <c r="N145" s="103">
        <v>5</v>
      </c>
      <c r="O145" s="103">
        <v>26</v>
      </c>
      <c r="P145" s="103">
        <v>150</v>
      </c>
      <c r="Q145" s="103">
        <v>2.2999999999999998</v>
      </c>
      <c r="R145" s="103">
        <v>70</v>
      </c>
      <c r="S145" s="103" t="s">
        <v>95</v>
      </c>
      <c r="T145" s="103">
        <v>0.6</v>
      </c>
      <c r="U145" s="103">
        <v>1.2</v>
      </c>
      <c r="W145" s="103">
        <v>1</v>
      </c>
      <c r="X145" s="103">
        <v>14</v>
      </c>
      <c r="Y145" s="103">
        <v>5</v>
      </c>
      <c r="Z145" s="103">
        <v>300</v>
      </c>
      <c r="AA145" s="103">
        <v>20</v>
      </c>
      <c r="AB145" s="103">
        <v>7.3</v>
      </c>
      <c r="AC145" s="117"/>
      <c r="AD145" s="103">
        <v>3.9E-2</v>
      </c>
      <c r="AF145" s="103">
        <v>2.7E-2</v>
      </c>
      <c r="AH145" s="103" t="s">
        <v>95</v>
      </c>
      <c r="AI145" s="103" t="s">
        <v>95</v>
      </c>
      <c r="AJ145" s="103">
        <v>0.48</v>
      </c>
      <c r="AK145" s="103">
        <v>4.2</v>
      </c>
      <c r="AL145" s="103" t="s">
        <v>95</v>
      </c>
      <c r="AN145" s="103" t="s">
        <v>95</v>
      </c>
      <c r="AO145" s="103">
        <v>0.46</v>
      </c>
      <c r="AP145" s="103">
        <v>0.38</v>
      </c>
      <c r="AQ145" s="103">
        <v>0.5</v>
      </c>
      <c r="AR145" s="103">
        <v>0.2</v>
      </c>
      <c r="AS145" s="103">
        <v>7.0000000000000007E-2</v>
      </c>
      <c r="AT145" s="103">
        <v>0.32</v>
      </c>
      <c r="AU145" s="103">
        <v>0.13</v>
      </c>
      <c r="AV145" s="103">
        <v>0.05</v>
      </c>
      <c r="AW145" s="103">
        <v>0.18</v>
      </c>
      <c r="AX145" s="103">
        <v>10</v>
      </c>
      <c r="AY145" s="103">
        <v>10</v>
      </c>
      <c r="AZ145" s="103">
        <v>0.1</v>
      </c>
      <c r="BA145" s="103">
        <v>2.6</v>
      </c>
      <c r="BB145" s="103">
        <v>0.46</v>
      </c>
      <c r="BC145" s="103">
        <v>12</v>
      </c>
      <c r="BD145" s="103">
        <v>4</v>
      </c>
      <c r="BE145" s="103">
        <v>2.5</v>
      </c>
      <c r="BF145" s="103">
        <v>20</v>
      </c>
      <c r="BG145" s="103">
        <v>0.2</v>
      </c>
      <c r="BH145" s="103">
        <v>20</v>
      </c>
      <c r="BI145" s="103">
        <v>0.1</v>
      </c>
      <c r="BJ145" s="103" t="s">
        <v>95</v>
      </c>
      <c r="BK145" s="103" t="s">
        <v>94</v>
      </c>
      <c r="BL145" s="103">
        <v>0.8</v>
      </c>
      <c r="BM145" s="103" t="s">
        <v>95</v>
      </c>
      <c r="BN145" s="103" t="s">
        <v>95</v>
      </c>
      <c r="BO145" s="103">
        <v>0.32</v>
      </c>
      <c r="BP145" s="103" t="s">
        <v>93</v>
      </c>
      <c r="BQ145" s="103" t="s">
        <v>694</v>
      </c>
      <c r="BR145" s="103" t="s">
        <v>95</v>
      </c>
      <c r="BS145" s="103" t="s">
        <v>95</v>
      </c>
      <c r="BT145" s="103" t="s">
        <v>95</v>
      </c>
      <c r="BU145" s="103">
        <v>7.2</v>
      </c>
      <c r="BV145" s="103">
        <v>1</v>
      </c>
      <c r="BW145" s="103">
        <v>1.1000000000000001</v>
      </c>
      <c r="BX145" s="103" t="s">
        <v>95</v>
      </c>
      <c r="BY145" s="103" t="s">
        <v>95</v>
      </c>
      <c r="BZ145" s="103" t="s">
        <v>94</v>
      </c>
      <c r="CA145" s="103" t="s">
        <v>95</v>
      </c>
      <c r="CB145" s="103" t="s">
        <v>95</v>
      </c>
      <c r="CC145" s="103" t="s">
        <v>95</v>
      </c>
      <c r="CD145" s="103">
        <v>2913</v>
      </c>
      <c r="CE145" s="118">
        <v>0.14599999999999999</v>
      </c>
    </row>
    <row r="146" spans="1:83" s="103" customFormat="1" x14ac:dyDescent="0.25">
      <c r="A146" s="103" t="s">
        <v>695</v>
      </c>
      <c r="B146" s="103">
        <v>146</v>
      </c>
      <c r="C146" s="103" t="s">
        <v>95</v>
      </c>
      <c r="D146" s="103" t="s">
        <v>102</v>
      </c>
      <c r="E146" s="103" t="s">
        <v>691</v>
      </c>
      <c r="F146" s="103" t="s">
        <v>692</v>
      </c>
      <c r="G146" s="103" t="s">
        <v>696</v>
      </c>
      <c r="H146" s="103" t="s">
        <v>94</v>
      </c>
      <c r="I146" s="103">
        <v>2</v>
      </c>
      <c r="J146" s="103">
        <v>0</v>
      </c>
      <c r="K146" s="103">
        <v>1</v>
      </c>
      <c r="L146" s="103">
        <v>20</v>
      </c>
      <c r="M146" s="103">
        <v>10</v>
      </c>
      <c r="N146" s="103">
        <v>6.7</v>
      </c>
      <c r="O146" s="103">
        <v>14</v>
      </c>
      <c r="P146" s="103">
        <v>150</v>
      </c>
      <c r="Q146" s="103">
        <v>2.2999999999999998</v>
      </c>
      <c r="R146" s="103" t="s">
        <v>95</v>
      </c>
      <c r="S146" s="103" t="s">
        <v>95</v>
      </c>
      <c r="T146" s="103">
        <v>0.6</v>
      </c>
      <c r="U146" s="103">
        <v>1.2</v>
      </c>
      <c r="W146" s="103" t="s">
        <v>95</v>
      </c>
      <c r="X146" s="103" t="s">
        <v>95</v>
      </c>
      <c r="Y146" s="103" t="s">
        <v>95</v>
      </c>
      <c r="Z146" s="103" t="s">
        <v>95</v>
      </c>
      <c r="AA146" s="103" t="s">
        <v>95</v>
      </c>
      <c r="AB146" s="103" t="s">
        <v>95</v>
      </c>
      <c r="AC146" s="117"/>
      <c r="AD146" s="103">
        <v>3.3000000000000002E-2</v>
      </c>
      <c r="AF146" s="103">
        <v>2.3E-2</v>
      </c>
      <c r="AH146" s="103" t="s">
        <v>95</v>
      </c>
      <c r="AI146" s="103" t="s">
        <v>95</v>
      </c>
      <c r="AJ146" s="103" t="s">
        <v>95</v>
      </c>
      <c r="AK146" s="103">
        <v>4.2</v>
      </c>
      <c r="AL146" s="103" t="s">
        <v>95</v>
      </c>
      <c r="AN146" s="103" t="s">
        <v>95</v>
      </c>
      <c r="AO146" s="103" t="s">
        <v>95</v>
      </c>
      <c r="AP146" s="103" t="s">
        <v>95</v>
      </c>
      <c r="AQ146" s="103">
        <v>469</v>
      </c>
      <c r="AR146" s="103" t="s">
        <v>95</v>
      </c>
      <c r="AS146" s="103" t="s">
        <v>95</v>
      </c>
      <c r="AT146" s="103">
        <v>89</v>
      </c>
      <c r="AU146" s="103" t="s">
        <v>95</v>
      </c>
      <c r="AV146" s="103" t="s">
        <v>95</v>
      </c>
      <c r="AW146" s="103">
        <v>62</v>
      </c>
      <c r="AX146" s="103" t="s">
        <v>95</v>
      </c>
      <c r="AY146" s="103" t="s">
        <v>95</v>
      </c>
      <c r="AZ146" s="103" t="s">
        <v>95</v>
      </c>
      <c r="BA146" s="103" t="s">
        <v>95</v>
      </c>
      <c r="BB146" s="103" t="s">
        <v>95</v>
      </c>
      <c r="BC146" s="103" t="s">
        <v>95</v>
      </c>
      <c r="BD146" s="103" t="s">
        <v>95</v>
      </c>
      <c r="BE146" s="103" t="s">
        <v>95</v>
      </c>
      <c r="BF146" s="103" t="s">
        <v>95</v>
      </c>
      <c r="BG146" s="103" t="s">
        <v>95</v>
      </c>
      <c r="BH146" s="103" t="s">
        <v>95</v>
      </c>
      <c r="BI146" s="103" t="s">
        <v>95</v>
      </c>
      <c r="BJ146" s="103" t="s">
        <v>95</v>
      </c>
      <c r="BK146" s="103" t="s">
        <v>95</v>
      </c>
      <c r="BL146" s="103" t="s">
        <v>95</v>
      </c>
      <c r="BM146" s="103" t="s">
        <v>95</v>
      </c>
      <c r="BN146" s="103" t="s">
        <v>95</v>
      </c>
      <c r="BO146" s="103" t="s">
        <v>95</v>
      </c>
      <c r="BP146" s="103" t="s">
        <v>93</v>
      </c>
      <c r="BQ146" s="103" t="s">
        <v>694</v>
      </c>
      <c r="BR146" s="103" t="s">
        <v>95</v>
      </c>
      <c r="BS146" s="103" t="s">
        <v>95</v>
      </c>
      <c r="BT146" s="103" t="s">
        <v>95</v>
      </c>
      <c r="BU146" s="103" t="s">
        <v>95</v>
      </c>
      <c r="BV146" s="103">
        <v>1</v>
      </c>
      <c r="BW146" s="103">
        <v>1.1000000000000001</v>
      </c>
      <c r="BX146" s="103" t="s">
        <v>95</v>
      </c>
      <c r="BY146" s="103" t="s">
        <v>95</v>
      </c>
      <c r="BZ146" s="103" t="s">
        <v>95</v>
      </c>
      <c r="CA146" s="103" t="s">
        <v>95</v>
      </c>
      <c r="CB146" s="103" t="s">
        <v>95</v>
      </c>
      <c r="CC146" s="103" t="s">
        <v>95</v>
      </c>
      <c r="CD146" s="103">
        <v>2997</v>
      </c>
      <c r="CE146" s="118">
        <v>0.13700000000000001</v>
      </c>
    </row>
    <row r="147" spans="1:83" s="103" customFormat="1" x14ac:dyDescent="0.25">
      <c r="A147" s="103" t="s">
        <v>677</v>
      </c>
      <c r="B147" s="103">
        <v>146</v>
      </c>
      <c r="C147" s="103" t="s">
        <v>94</v>
      </c>
      <c r="D147" s="103" t="s">
        <v>102</v>
      </c>
      <c r="E147" s="103" t="s">
        <v>697</v>
      </c>
      <c r="F147" s="103" t="s">
        <v>698</v>
      </c>
      <c r="G147" s="103" t="s">
        <v>699</v>
      </c>
      <c r="H147" s="103" t="s">
        <v>94</v>
      </c>
      <c r="I147" s="103">
        <v>2</v>
      </c>
      <c r="J147" s="103">
        <v>0</v>
      </c>
      <c r="K147" s="103">
        <v>1</v>
      </c>
      <c r="L147" s="103">
        <v>20</v>
      </c>
      <c r="M147" s="103">
        <v>10</v>
      </c>
      <c r="N147" s="103">
        <v>12</v>
      </c>
      <c r="O147" s="103">
        <v>76</v>
      </c>
      <c r="P147" s="103">
        <v>150</v>
      </c>
      <c r="Q147" s="103">
        <v>2.5</v>
      </c>
      <c r="R147" s="103">
        <v>63</v>
      </c>
      <c r="S147" s="103" t="s">
        <v>95</v>
      </c>
      <c r="T147" s="103">
        <v>0.85</v>
      </c>
      <c r="U147" s="103">
        <v>1.4</v>
      </c>
      <c r="W147" s="103" t="s">
        <v>95</v>
      </c>
      <c r="X147" s="103">
        <v>23</v>
      </c>
      <c r="Y147" s="103" t="s">
        <v>95</v>
      </c>
      <c r="Z147" s="103" t="s">
        <v>95</v>
      </c>
      <c r="AA147" s="103">
        <v>99</v>
      </c>
      <c r="AB147" s="103" t="s">
        <v>95</v>
      </c>
      <c r="AC147" s="117"/>
      <c r="AD147" s="103" t="s">
        <v>95</v>
      </c>
      <c r="AF147" s="103">
        <v>1.4E-2</v>
      </c>
      <c r="AH147" s="103" t="s">
        <v>95</v>
      </c>
      <c r="AI147" s="103" t="s">
        <v>95</v>
      </c>
      <c r="AJ147" s="103" t="s">
        <v>95</v>
      </c>
      <c r="AK147" s="103">
        <v>11.7</v>
      </c>
      <c r="AL147" s="103" t="s">
        <v>95</v>
      </c>
      <c r="AN147" s="103" t="s">
        <v>95</v>
      </c>
      <c r="AO147" s="103" t="s">
        <v>95</v>
      </c>
      <c r="AP147" s="103" t="s">
        <v>95</v>
      </c>
      <c r="AQ147" s="103">
        <v>2390</v>
      </c>
      <c r="AR147" s="103" t="s">
        <v>95</v>
      </c>
      <c r="AS147" s="103" t="s">
        <v>95</v>
      </c>
      <c r="AT147" s="103">
        <v>640</v>
      </c>
      <c r="AU147" s="103" t="s">
        <v>95</v>
      </c>
      <c r="AV147" s="103" t="s">
        <v>95</v>
      </c>
      <c r="AW147" s="103">
        <v>40</v>
      </c>
      <c r="AX147" s="103" t="s">
        <v>95</v>
      </c>
      <c r="AY147" s="103" t="s">
        <v>95</v>
      </c>
      <c r="AZ147" s="103" t="s">
        <v>95</v>
      </c>
      <c r="BA147" s="103" t="s">
        <v>95</v>
      </c>
      <c r="BB147" s="103" t="s">
        <v>95</v>
      </c>
      <c r="BC147" s="103" t="s">
        <v>95</v>
      </c>
      <c r="BD147" s="103" t="s">
        <v>95</v>
      </c>
      <c r="BE147" s="103" t="s">
        <v>95</v>
      </c>
      <c r="BF147" s="103" t="s">
        <v>95</v>
      </c>
      <c r="BG147" s="103" t="s">
        <v>95</v>
      </c>
      <c r="BH147" s="103" t="s">
        <v>95</v>
      </c>
      <c r="BI147" s="103" t="s">
        <v>95</v>
      </c>
      <c r="BJ147" s="103" t="s">
        <v>95</v>
      </c>
      <c r="BK147" s="103" t="s">
        <v>94</v>
      </c>
      <c r="BL147" s="103" t="s">
        <v>95</v>
      </c>
      <c r="BM147" s="103" t="s">
        <v>95</v>
      </c>
      <c r="BN147" s="103" t="s">
        <v>95</v>
      </c>
      <c r="BO147" s="103" t="s">
        <v>95</v>
      </c>
      <c r="BP147" s="103" t="s">
        <v>93</v>
      </c>
      <c r="BQ147" s="103" t="s">
        <v>700</v>
      </c>
      <c r="BR147" s="103" t="s">
        <v>95</v>
      </c>
      <c r="BS147" s="103" t="s">
        <v>95</v>
      </c>
      <c r="BT147" s="103" t="s">
        <v>95</v>
      </c>
      <c r="BU147" s="103">
        <v>15</v>
      </c>
      <c r="BV147" s="103">
        <v>1.6</v>
      </c>
      <c r="BW147" s="103">
        <v>3.5</v>
      </c>
      <c r="BX147" s="103" t="s">
        <v>95</v>
      </c>
      <c r="BY147" s="103" t="s">
        <v>233</v>
      </c>
      <c r="BZ147" s="103" t="s">
        <v>94</v>
      </c>
      <c r="CA147" s="103" t="s">
        <v>95</v>
      </c>
      <c r="CB147" s="103">
        <v>42529</v>
      </c>
      <c r="CC147" s="103" t="s">
        <v>95</v>
      </c>
      <c r="CD147" s="103">
        <v>2291</v>
      </c>
      <c r="CE147" s="118">
        <v>0.28699999999999998</v>
      </c>
    </row>
    <row r="148" spans="1:83" s="103" customFormat="1" x14ac:dyDescent="0.25">
      <c r="A148" s="103" t="s">
        <v>678</v>
      </c>
      <c r="B148" s="103">
        <v>146</v>
      </c>
      <c r="C148" s="103" t="s">
        <v>95</v>
      </c>
      <c r="D148" s="103" t="s">
        <v>102</v>
      </c>
      <c r="E148" s="103" t="s">
        <v>701</v>
      </c>
      <c r="F148" s="103" t="s">
        <v>702</v>
      </c>
      <c r="G148" s="103" t="s">
        <v>703</v>
      </c>
      <c r="H148" s="103" t="s">
        <v>94</v>
      </c>
      <c r="I148" s="103">
        <v>2</v>
      </c>
      <c r="J148" s="103">
        <v>0</v>
      </c>
      <c r="K148" s="103">
        <v>1</v>
      </c>
      <c r="L148" s="103">
        <v>25</v>
      </c>
      <c r="M148" s="103">
        <v>10</v>
      </c>
      <c r="N148" s="103">
        <v>4.5</v>
      </c>
      <c r="O148" s="103" t="s">
        <v>95</v>
      </c>
      <c r="P148" s="103" t="s">
        <v>95</v>
      </c>
      <c r="Q148" s="103" t="s">
        <v>95</v>
      </c>
      <c r="R148" s="103" t="s">
        <v>95</v>
      </c>
      <c r="S148" s="103" t="s">
        <v>95</v>
      </c>
      <c r="T148" s="103" t="s">
        <v>95</v>
      </c>
      <c r="U148" s="103" t="s">
        <v>95</v>
      </c>
      <c r="W148" s="103" t="s">
        <v>95</v>
      </c>
      <c r="X148" s="103" t="s">
        <v>95</v>
      </c>
      <c r="Y148" s="103" t="s">
        <v>95</v>
      </c>
      <c r="Z148" s="103" t="s">
        <v>95</v>
      </c>
      <c r="AA148" s="103" t="s">
        <v>95</v>
      </c>
      <c r="AB148" s="103" t="s">
        <v>95</v>
      </c>
      <c r="AC148" s="117"/>
      <c r="AD148" s="103" t="s">
        <v>95</v>
      </c>
      <c r="AF148" s="103">
        <v>3.1E-2</v>
      </c>
      <c r="AH148" s="103" t="s">
        <v>95</v>
      </c>
      <c r="AI148" s="103" t="s">
        <v>95</v>
      </c>
      <c r="AJ148" s="103" t="s">
        <v>95</v>
      </c>
      <c r="AK148" s="103">
        <v>3.1</v>
      </c>
      <c r="AL148" s="103" t="s">
        <v>95</v>
      </c>
      <c r="AN148" s="103" t="s">
        <v>95</v>
      </c>
      <c r="AO148" s="103" t="s">
        <v>95</v>
      </c>
      <c r="AP148" s="103" t="s">
        <v>95</v>
      </c>
      <c r="AQ148" s="103" t="s">
        <v>95</v>
      </c>
      <c r="AR148" s="103" t="s">
        <v>95</v>
      </c>
      <c r="AS148" s="103" t="s">
        <v>95</v>
      </c>
      <c r="AT148" s="103" t="s">
        <v>95</v>
      </c>
      <c r="AU148" s="103" t="s">
        <v>95</v>
      </c>
      <c r="AV148" s="103" t="s">
        <v>95</v>
      </c>
      <c r="AW148" s="103" t="s">
        <v>95</v>
      </c>
      <c r="AX148" s="103" t="s">
        <v>95</v>
      </c>
      <c r="AY148" s="103" t="s">
        <v>95</v>
      </c>
      <c r="AZ148" s="103" t="s">
        <v>95</v>
      </c>
      <c r="BA148" s="103" t="s">
        <v>95</v>
      </c>
      <c r="BB148" s="103" t="s">
        <v>95</v>
      </c>
      <c r="BC148" s="103" t="s">
        <v>95</v>
      </c>
      <c r="BD148" s="103" t="s">
        <v>95</v>
      </c>
      <c r="BE148" s="103" t="s">
        <v>95</v>
      </c>
      <c r="BF148" s="103" t="s">
        <v>95</v>
      </c>
      <c r="BG148" s="103" t="s">
        <v>95</v>
      </c>
      <c r="BH148" s="103" t="s">
        <v>95</v>
      </c>
      <c r="BI148" s="103" t="s">
        <v>95</v>
      </c>
      <c r="BJ148" s="103" t="s">
        <v>95</v>
      </c>
      <c r="BK148" s="103" t="s">
        <v>95</v>
      </c>
      <c r="BL148" s="103" t="s">
        <v>95</v>
      </c>
      <c r="BM148" s="103" t="s">
        <v>95</v>
      </c>
      <c r="BN148" s="103" t="s">
        <v>95</v>
      </c>
      <c r="BO148" s="103" t="s">
        <v>95</v>
      </c>
      <c r="BP148" s="103" t="s">
        <v>93</v>
      </c>
      <c r="BQ148" s="103" t="s">
        <v>704</v>
      </c>
      <c r="BR148" s="103" t="s">
        <v>95</v>
      </c>
      <c r="BS148" s="103" t="s">
        <v>95</v>
      </c>
      <c r="BT148" s="103" t="s">
        <v>95</v>
      </c>
      <c r="BU148" s="103" t="s">
        <v>95</v>
      </c>
      <c r="BV148" s="103" t="s">
        <v>95</v>
      </c>
      <c r="BW148" s="103" t="s">
        <v>95</v>
      </c>
      <c r="BX148" s="103" t="s">
        <v>95</v>
      </c>
      <c r="BY148" s="103" t="s">
        <v>95</v>
      </c>
      <c r="BZ148" s="103" t="s">
        <v>95</v>
      </c>
      <c r="CA148" s="103" t="s">
        <v>95</v>
      </c>
      <c r="CB148" s="103" t="s">
        <v>95</v>
      </c>
      <c r="CC148" s="103" t="s">
        <v>95</v>
      </c>
      <c r="CD148" s="103">
        <v>2808</v>
      </c>
      <c r="CE148" s="118">
        <v>0.32400000000000001</v>
      </c>
    </row>
    <row r="149" spans="1:83" s="103" customFormat="1" x14ac:dyDescent="0.25">
      <c r="A149" s="103" t="s">
        <v>679</v>
      </c>
      <c r="B149" s="103">
        <v>146</v>
      </c>
      <c r="C149" s="103" t="s">
        <v>95</v>
      </c>
      <c r="D149" s="103" t="s">
        <v>102</v>
      </c>
      <c r="E149" s="103" t="s">
        <v>705</v>
      </c>
      <c r="F149" s="103" t="s">
        <v>706</v>
      </c>
      <c r="G149" s="103" t="s">
        <v>707</v>
      </c>
      <c r="H149" s="103" t="s">
        <v>94</v>
      </c>
      <c r="I149" s="103">
        <v>2</v>
      </c>
      <c r="J149" s="103">
        <v>0</v>
      </c>
      <c r="K149" s="103">
        <v>1</v>
      </c>
      <c r="L149" s="103">
        <v>30</v>
      </c>
      <c r="M149" s="103">
        <v>1</v>
      </c>
      <c r="N149" s="103">
        <v>27</v>
      </c>
      <c r="O149" s="103" t="s">
        <v>95</v>
      </c>
      <c r="P149" s="103" t="s">
        <v>95</v>
      </c>
      <c r="Q149" s="103" t="s">
        <v>95</v>
      </c>
      <c r="R149" s="103" t="s">
        <v>95</v>
      </c>
      <c r="S149" s="103" t="s">
        <v>95</v>
      </c>
      <c r="T149" s="103" t="s">
        <v>95</v>
      </c>
      <c r="U149" s="103" t="s">
        <v>95</v>
      </c>
      <c r="W149" s="103" t="s">
        <v>95</v>
      </c>
      <c r="X149" s="103" t="s">
        <v>95</v>
      </c>
      <c r="Y149" s="103" t="s">
        <v>95</v>
      </c>
      <c r="Z149" s="103" t="s">
        <v>95</v>
      </c>
      <c r="AA149" s="103" t="s">
        <v>95</v>
      </c>
      <c r="AB149" s="103" t="s">
        <v>95</v>
      </c>
      <c r="AC149" s="117"/>
      <c r="AD149" s="103" t="s">
        <v>95</v>
      </c>
      <c r="AF149" s="103">
        <v>3.1E-2</v>
      </c>
      <c r="AH149" s="103" t="s">
        <v>95</v>
      </c>
      <c r="AI149" s="103" t="s">
        <v>95</v>
      </c>
      <c r="AJ149" s="103" t="s">
        <v>95</v>
      </c>
      <c r="AK149" s="103">
        <v>6.3</v>
      </c>
      <c r="AL149" s="103" t="s">
        <v>95</v>
      </c>
      <c r="AN149" s="103" t="s">
        <v>95</v>
      </c>
      <c r="AO149" s="103" t="s">
        <v>95</v>
      </c>
      <c r="AP149" s="103" t="s">
        <v>95</v>
      </c>
      <c r="AQ149" s="103" t="s">
        <v>95</v>
      </c>
      <c r="AR149" s="103" t="s">
        <v>95</v>
      </c>
      <c r="AS149" s="103" t="s">
        <v>95</v>
      </c>
      <c r="AT149" s="103" t="s">
        <v>95</v>
      </c>
      <c r="AU149" s="103" t="s">
        <v>95</v>
      </c>
      <c r="AV149" s="103" t="s">
        <v>95</v>
      </c>
      <c r="AW149" s="103" t="s">
        <v>95</v>
      </c>
      <c r="AX149" s="103" t="s">
        <v>95</v>
      </c>
      <c r="AY149" s="103" t="s">
        <v>95</v>
      </c>
      <c r="AZ149" s="103" t="s">
        <v>95</v>
      </c>
      <c r="BA149" s="103" t="s">
        <v>95</v>
      </c>
      <c r="BB149" s="103" t="s">
        <v>95</v>
      </c>
      <c r="BC149" s="103" t="s">
        <v>95</v>
      </c>
      <c r="BD149" s="103" t="s">
        <v>95</v>
      </c>
      <c r="BE149" s="103" t="s">
        <v>95</v>
      </c>
      <c r="BF149" s="103" t="s">
        <v>95</v>
      </c>
      <c r="BG149" s="103" t="s">
        <v>95</v>
      </c>
      <c r="BH149" s="103" t="s">
        <v>95</v>
      </c>
      <c r="BI149" s="103" t="s">
        <v>95</v>
      </c>
      <c r="BJ149" s="103" t="s">
        <v>95</v>
      </c>
      <c r="BK149" s="103" t="s">
        <v>95</v>
      </c>
      <c r="BL149" s="103" t="s">
        <v>95</v>
      </c>
      <c r="BM149" s="103" t="s">
        <v>95</v>
      </c>
      <c r="BN149" s="103" t="s">
        <v>95</v>
      </c>
      <c r="BO149" s="103" t="s">
        <v>95</v>
      </c>
      <c r="BP149" s="103" t="s">
        <v>93</v>
      </c>
      <c r="BQ149" s="103" t="s">
        <v>708</v>
      </c>
      <c r="BR149" s="103" t="s">
        <v>95</v>
      </c>
      <c r="BS149" s="103" t="s">
        <v>95</v>
      </c>
      <c r="BT149" s="103" t="s">
        <v>95</v>
      </c>
      <c r="BU149" s="103" t="s">
        <v>95</v>
      </c>
      <c r="BV149" s="103" t="s">
        <v>95</v>
      </c>
      <c r="BW149" s="103" t="s">
        <v>95</v>
      </c>
      <c r="BX149" s="103" t="s">
        <v>95</v>
      </c>
      <c r="BY149" s="103" t="s">
        <v>95</v>
      </c>
      <c r="BZ149" s="103" t="s">
        <v>95</v>
      </c>
      <c r="CA149" s="103" t="s">
        <v>95</v>
      </c>
      <c r="CB149" s="103" t="s">
        <v>95</v>
      </c>
      <c r="CC149" s="103">
        <v>42598</v>
      </c>
      <c r="CD149" s="103">
        <v>2732</v>
      </c>
      <c r="CE149" s="118">
        <v>0.32300000000000001</v>
      </c>
    </row>
    <row r="150" spans="1:83" s="103" customFormat="1" x14ac:dyDescent="0.25">
      <c r="A150" s="103" t="s">
        <v>680</v>
      </c>
      <c r="B150" s="103">
        <v>146</v>
      </c>
      <c r="C150" s="103" t="s">
        <v>95</v>
      </c>
      <c r="D150" s="103" t="s">
        <v>102</v>
      </c>
      <c r="E150" s="103" t="s">
        <v>709</v>
      </c>
      <c r="F150" s="103" t="s">
        <v>710</v>
      </c>
      <c r="G150" s="103" t="s">
        <v>711</v>
      </c>
      <c r="H150" s="103" t="s">
        <v>94</v>
      </c>
      <c r="I150" s="103">
        <v>2</v>
      </c>
      <c r="J150" s="103">
        <v>0</v>
      </c>
      <c r="K150" s="103">
        <v>1</v>
      </c>
      <c r="L150" s="103">
        <v>30</v>
      </c>
      <c r="M150" s="103">
        <v>20</v>
      </c>
      <c r="N150" s="103" t="s">
        <v>95</v>
      </c>
      <c r="O150" s="103" t="s">
        <v>95</v>
      </c>
      <c r="P150" s="103">
        <v>150</v>
      </c>
      <c r="Q150" s="103">
        <v>2.5</v>
      </c>
      <c r="R150" s="103">
        <v>135</v>
      </c>
      <c r="S150" s="103" t="s">
        <v>95</v>
      </c>
      <c r="T150" s="103">
        <v>1.3</v>
      </c>
      <c r="U150" s="103">
        <v>2.2999999999999998</v>
      </c>
      <c r="W150" s="103" t="s">
        <v>95</v>
      </c>
      <c r="X150" s="103" t="s">
        <v>95</v>
      </c>
      <c r="Y150" s="103" t="s">
        <v>95</v>
      </c>
      <c r="Z150" s="103" t="s">
        <v>95</v>
      </c>
      <c r="AA150" s="103">
        <v>48</v>
      </c>
      <c r="AB150" s="103" t="s">
        <v>95</v>
      </c>
      <c r="AC150" s="117"/>
      <c r="AD150" s="103" t="s">
        <v>95</v>
      </c>
      <c r="AF150" s="103">
        <v>1.0999999999999999E-2</v>
      </c>
      <c r="AH150" s="103" t="s">
        <v>95</v>
      </c>
      <c r="AI150" s="103">
        <v>7.7999999999999996E-3</v>
      </c>
      <c r="AJ150" s="103" t="s">
        <v>95</v>
      </c>
      <c r="AK150" s="103">
        <v>15</v>
      </c>
      <c r="AL150" s="103" t="s">
        <v>95</v>
      </c>
      <c r="AN150" s="103" t="s">
        <v>95</v>
      </c>
      <c r="AO150" s="103" t="s">
        <v>95</v>
      </c>
      <c r="AP150" s="103" t="s">
        <v>95</v>
      </c>
      <c r="AQ150" s="103">
        <v>2110</v>
      </c>
      <c r="AR150" s="103" t="s">
        <v>95</v>
      </c>
      <c r="AS150" s="103" t="s">
        <v>95</v>
      </c>
      <c r="AT150" s="103">
        <v>246</v>
      </c>
      <c r="AU150" s="103" t="s">
        <v>95</v>
      </c>
      <c r="AV150" s="103" t="s">
        <v>95</v>
      </c>
      <c r="AW150" s="103">
        <v>198</v>
      </c>
      <c r="AX150" s="103" t="s">
        <v>95</v>
      </c>
      <c r="AY150" s="103" t="s">
        <v>95</v>
      </c>
      <c r="AZ150" s="103" t="s">
        <v>95</v>
      </c>
      <c r="BA150" s="103" t="s">
        <v>95</v>
      </c>
      <c r="BB150" s="103" t="s">
        <v>95</v>
      </c>
      <c r="BC150" s="103" t="s">
        <v>95</v>
      </c>
      <c r="BD150" s="103" t="s">
        <v>95</v>
      </c>
      <c r="BE150" s="103" t="s">
        <v>95</v>
      </c>
      <c r="BF150" s="103" t="s">
        <v>95</v>
      </c>
      <c r="BG150" s="103" t="s">
        <v>95</v>
      </c>
      <c r="BH150" s="103" t="s">
        <v>95</v>
      </c>
      <c r="BI150" s="103" t="s">
        <v>95</v>
      </c>
      <c r="BJ150" s="103" t="s">
        <v>95</v>
      </c>
      <c r="BK150" s="103" t="s">
        <v>95</v>
      </c>
      <c r="BL150" s="103" t="s">
        <v>95</v>
      </c>
      <c r="BM150" s="103" t="s">
        <v>95</v>
      </c>
      <c r="BN150" s="103" t="s">
        <v>95</v>
      </c>
      <c r="BO150" s="103" t="s">
        <v>95</v>
      </c>
      <c r="BP150" s="103" t="s">
        <v>93</v>
      </c>
      <c r="BQ150" s="103" t="s">
        <v>712</v>
      </c>
      <c r="BR150" s="103" t="s">
        <v>95</v>
      </c>
      <c r="BS150" s="103" t="s">
        <v>95</v>
      </c>
      <c r="BT150" s="103" t="s">
        <v>95</v>
      </c>
      <c r="BU150" s="103" t="s">
        <v>95</v>
      </c>
      <c r="BV150" s="103">
        <v>6</v>
      </c>
      <c r="BW150" s="103">
        <v>5</v>
      </c>
      <c r="BX150" s="103" t="s">
        <v>95</v>
      </c>
      <c r="BY150" s="103" t="s">
        <v>95</v>
      </c>
      <c r="BZ150" s="103" t="s">
        <v>95</v>
      </c>
      <c r="CA150" s="103" t="s">
        <v>95</v>
      </c>
      <c r="CB150" s="103">
        <v>42130</v>
      </c>
      <c r="CC150" s="103" t="s">
        <v>95</v>
      </c>
      <c r="CD150" s="103">
        <v>3160</v>
      </c>
      <c r="CE150" s="118">
        <v>0.29499999999999998</v>
      </c>
    </row>
    <row r="151" spans="1:83" s="103" customFormat="1" x14ac:dyDescent="0.25">
      <c r="A151" s="103" t="s">
        <v>681</v>
      </c>
      <c r="B151" s="103">
        <v>146</v>
      </c>
      <c r="C151" s="103" t="s">
        <v>93</v>
      </c>
      <c r="D151" s="103" t="s">
        <v>102</v>
      </c>
      <c r="E151" s="103" t="s">
        <v>691</v>
      </c>
      <c r="F151" s="103" t="s">
        <v>692</v>
      </c>
      <c r="G151" s="103" t="s">
        <v>713</v>
      </c>
      <c r="H151" s="103" t="s">
        <v>94</v>
      </c>
      <c r="I151" s="103">
        <v>2</v>
      </c>
      <c r="J151" s="103">
        <v>0</v>
      </c>
      <c r="K151" s="103">
        <v>1</v>
      </c>
      <c r="L151" s="103">
        <v>30</v>
      </c>
      <c r="M151" s="103">
        <v>20</v>
      </c>
      <c r="N151" s="103">
        <v>5</v>
      </c>
      <c r="O151" s="103">
        <v>23</v>
      </c>
      <c r="P151" s="103">
        <v>150</v>
      </c>
      <c r="Q151" s="103">
        <v>2.2999999999999998</v>
      </c>
      <c r="R151" s="103">
        <v>70</v>
      </c>
      <c r="S151" s="103" t="s">
        <v>95</v>
      </c>
      <c r="T151" s="103">
        <v>1.2</v>
      </c>
      <c r="U151" s="103">
        <v>2</v>
      </c>
      <c r="W151" s="103">
        <v>1</v>
      </c>
      <c r="X151" s="103">
        <v>6.4</v>
      </c>
      <c r="Y151" s="103">
        <v>4</v>
      </c>
      <c r="Z151" s="103">
        <v>300</v>
      </c>
      <c r="AA151" s="103">
        <v>75</v>
      </c>
      <c r="AB151" s="103">
        <v>6.9</v>
      </c>
      <c r="AC151" s="117"/>
      <c r="AD151" s="103" t="s">
        <v>95</v>
      </c>
      <c r="AF151" s="103">
        <v>4.2000000000000003E-2</v>
      </c>
      <c r="AH151" s="103" t="s">
        <v>95</v>
      </c>
      <c r="AI151" s="103">
        <v>3.2399999999999998E-2</v>
      </c>
      <c r="AJ151" s="103">
        <v>0.61</v>
      </c>
      <c r="AK151" s="103">
        <v>2.2000000000000002</v>
      </c>
      <c r="AL151" s="103" t="s">
        <v>95</v>
      </c>
      <c r="AN151" s="103" t="s">
        <v>95</v>
      </c>
      <c r="AO151" s="103">
        <v>0.34</v>
      </c>
      <c r="AP151" s="103">
        <v>0.28499999999999998</v>
      </c>
      <c r="AQ151" s="103">
        <v>0.36</v>
      </c>
      <c r="AR151" s="103">
        <v>0.16500000000000001</v>
      </c>
      <c r="AS151" s="103">
        <v>4.4999999999999998E-2</v>
      </c>
      <c r="AT151" s="103">
        <v>0.33</v>
      </c>
      <c r="AU151" s="103">
        <v>0.06</v>
      </c>
      <c r="AV151" s="103">
        <v>0.03</v>
      </c>
      <c r="AW151" s="103">
        <v>9.2999999999999999E-2</v>
      </c>
      <c r="AX151" s="103">
        <v>15</v>
      </c>
      <c r="AY151" s="103">
        <v>10</v>
      </c>
      <c r="AZ151" s="103">
        <v>0.1</v>
      </c>
      <c r="BA151" s="103">
        <v>1.9</v>
      </c>
      <c r="BB151" s="103">
        <v>0.55000000000000004</v>
      </c>
      <c r="BC151" s="103">
        <v>10</v>
      </c>
      <c r="BD151" s="103">
        <v>9</v>
      </c>
      <c r="BE151" s="103">
        <v>1</v>
      </c>
      <c r="BF151" s="103">
        <v>30</v>
      </c>
      <c r="BG151" s="103">
        <v>0.17</v>
      </c>
      <c r="BH151" s="103">
        <v>30</v>
      </c>
      <c r="BI151" s="103">
        <v>0.01</v>
      </c>
      <c r="BJ151" s="103" t="s">
        <v>95</v>
      </c>
      <c r="BK151" s="103" t="s">
        <v>94</v>
      </c>
      <c r="BL151" s="103">
        <v>0.85</v>
      </c>
      <c r="BM151" s="103" t="s">
        <v>95</v>
      </c>
      <c r="BN151" s="103" t="s">
        <v>95</v>
      </c>
      <c r="BO151" s="103">
        <v>0.26700000000000002</v>
      </c>
      <c r="BP151" s="103" t="s">
        <v>93</v>
      </c>
      <c r="BQ151" s="103" t="s">
        <v>714</v>
      </c>
      <c r="BR151" s="103" t="s">
        <v>95</v>
      </c>
      <c r="BS151" s="103" t="s">
        <v>95</v>
      </c>
      <c r="BT151" s="103" t="s">
        <v>95</v>
      </c>
      <c r="BU151" s="103">
        <v>4</v>
      </c>
      <c r="BV151" s="103">
        <v>0.5</v>
      </c>
      <c r="BW151" s="103">
        <v>1</v>
      </c>
      <c r="BX151" s="103" t="s">
        <v>95</v>
      </c>
      <c r="BY151" s="103" t="s">
        <v>101</v>
      </c>
      <c r="BZ151" s="103" t="s">
        <v>94</v>
      </c>
      <c r="CA151" s="103" t="s">
        <v>95</v>
      </c>
      <c r="CB151" s="103">
        <v>42374</v>
      </c>
      <c r="CC151" s="103" t="s">
        <v>95</v>
      </c>
      <c r="CD151" s="103">
        <v>2110</v>
      </c>
      <c r="CE151" s="118">
        <v>0.156</v>
      </c>
    </row>
    <row r="152" spans="1:83" s="103" customFormat="1" x14ac:dyDescent="0.25">
      <c r="A152" s="103" t="s">
        <v>682</v>
      </c>
      <c r="B152" s="103">
        <v>146</v>
      </c>
      <c r="C152" s="103" t="s">
        <v>95</v>
      </c>
      <c r="D152" s="103" t="s">
        <v>102</v>
      </c>
      <c r="E152" s="103" t="s">
        <v>715</v>
      </c>
      <c r="F152" s="103" t="s">
        <v>716</v>
      </c>
      <c r="G152" s="103" t="s">
        <v>717</v>
      </c>
      <c r="H152" s="103" t="s">
        <v>94</v>
      </c>
      <c r="I152" s="103">
        <v>2</v>
      </c>
      <c r="J152" s="103">
        <v>0</v>
      </c>
      <c r="K152" s="103">
        <v>1</v>
      </c>
      <c r="L152" s="103">
        <v>30</v>
      </c>
      <c r="M152" s="103">
        <v>20</v>
      </c>
      <c r="N152" s="103">
        <v>5</v>
      </c>
      <c r="O152" s="103" t="s">
        <v>95</v>
      </c>
      <c r="P152" s="103" t="s">
        <v>95</v>
      </c>
      <c r="Q152" s="103" t="s">
        <v>95</v>
      </c>
      <c r="R152" s="103" t="s">
        <v>95</v>
      </c>
      <c r="S152" s="103" t="s">
        <v>95</v>
      </c>
      <c r="T152" s="103" t="s">
        <v>95</v>
      </c>
      <c r="U152" s="103" t="s">
        <v>95</v>
      </c>
      <c r="W152" s="103" t="s">
        <v>95</v>
      </c>
      <c r="X152" s="103" t="s">
        <v>95</v>
      </c>
      <c r="Y152" s="103" t="s">
        <v>95</v>
      </c>
      <c r="Z152" s="103" t="s">
        <v>95</v>
      </c>
      <c r="AA152" s="103" t="s">
        <v>95</v>
      </c>
      <c r="AB152" s="103" t="s">
        <v>95</v>
      </c>
      <c r="AC152" s="117"/>
      <c r="AD152" s="103" t="s">
        <v>95</v>
      </c>
      <c r="AF152" s="103">
        <v>1.7999999999999999E-2</v>
      </c>
      <c r="AH152" s="103" t="s">
        <v>95</v>
      </c>
      <c r="AI152" s="103" t="s">
        <v>95</v>
      </c>
      <c r="AJ152" s="103" t="s">
        <v>95</v>
      </c>
      <c r="AK152" s="103" t="s">
        <v>95</v>
      </c>
      <c r="AL152" s="103" t="s">
        <v>95</v>
      </c>
      <c r="AN152" s="103" t="s">
        <v>95</v>
      </c>
      <c r="AO152" s="103" t="s">
        <v>95</v>
      </c>
      <c r="AP152" s="103" t="s">
        <v>95</v>
      </c>
      <c r="AQ152" s="103" t="s">
        <v>95</v>
      </c>
      <c r="AR152" s="103" t="s">
        <v>95</v>
      </c>
      <c r="AS152" s="103" t="s">
        <v>95</v>
      </c>
      <c r="AT152" s="103" t="s">
        <v>95</v>
      </c>
      <c r="AU152" s="103" t="s">
        <v>95</v>
      </c>
      <c r="AV152" s="103" t="s">
        <v>95</v>
      </c>
      <c r="AW152" s="103" t="s">
        <v>95</v>
      </c>
      <c r="AX152" s="103" t="s">
        <v>95</v>
      </c>
      <c r="AY152" s="103" t="s">
        <v>95</v>
      </c>
      <c r="AZ152" s="103" t="s">
        <v>95</v>
      </c>
      <c r="BA152" s="103" t="s">
        <v>95</v>
      </c>
      <c r="BB152" s="103" t="s">
        <v>95</v>
      </c>
      <c r="BC152" s="103" t="s">
        <v>95</v>
      </c>
      <c r="BD152" s="103" t="s">
        <v>95</v>
      </c>
      <c r="BE152" s="103" t="s">
        <v>95</v>
      </c>
      <c r="BF152" s="103" t="s">
        <v>95</v>
      </c>
      <c r="BG152" s="103" t="s">
        <v>95</v>
      </c>
      <c r="BH152" s="103" t="s">
        <v>95</v>
      </c>
      <c r="BI152" s="103" t="s">
        <v>95</v>
      </c>
      <c r="BJ152" s="103" t="s">
        <v>95</v>
      </c>
      <c r="BK152" s="103" t="s">
        <v>95</v>
      </c>
      <c r="BL152" s="103" t="s">
        <v>95</v>
      </c>
      <c r="BM152" s="103" t="s">
        <v>95</v>
      </c>
      <c r="BN152" s="103" t="s">
        <v>95</v>
      </c>
      <c r="BO152" s="103" t="s">
        <v>95</v>
      </c>
      <c r="BP152" s="103" t="s">
        <v>93</v>
      </c>
      <c r="BQ152" s="103" t="s">
        <v>718</v>
      </c>
      <c r="BR152" s="103" t="s">
        <v>95</v>
      </c>
      <c r="BS152" s="103" t="s">
        <v>95</v>
      </c>
      <c r="BT152" s="103" t="s">
        <v>95</v>
      </c>
      <c r="BU152" s="103" t="s">
        <v>95</v>
      </c>
      <c r="BV152" s="103" t="s">
        <v>95</v>
      </c>
      <c r="BW152" s="103" t="s">
        <v>95</v>
      </c>
      <c r="BX152" s="103" t="s">
        <v>95</v>
      </c>
      <c r="BY152" s="103" t="s">
        <v>95</v>
      </c>
      <c r="BZ152" s="103" t="s">
        <v>94</v>
      </c>
      <c r="CA152" s="103" t="s">
        <v>95</v>
      </c>
      <c r="CB152" s="103">
        <v>42624</v>
      </c>
      <c r="CC152" s="103" t="s">
        <v>95</v>
      </c>
      <c r="CD152" s="103">
        <v>2637</v>
      </c>
      <c r="CE152" s="118">
        <v>0.28499999999999998</v>
      </c>
    </row>
    <row r="153" spans="1:83" s="103" customFormat="1" x14ac:dyDescent="0.25">
      <c r="A153" s="103" t="s">
        <v>683</v>
      </c>
      <c r="B153" s="103">
        <v>146</v>
      </c>
      <c r="C153" s="103" t="s">
        <v>95</v>
      </c>
      <c r="D153" s="103" t="s">
        <v>102</v>
      </c>
      <c r="E153" s="103" t="s">
        <v>719</v>
      </c>
      <c r="F153" s="103" t="s">
        <v>720</v>
      </c>
      <c r="G153" s="103" t="s">
        <v>479</v>
      </c>
      <c r="H153" s="103" t="s">
        <v>94</v>
      </c>
      <c r="I153" s="103">
        <v>2</v>
      </c>
      <c r="J153" s="103">
        <v>0</v>
      </c>
      <c r="K153" s="103">
        <v>1</v>
      </c>
      <c r="L153" s="103">
        <v>60</v>
      </c>
      <c r="M153" s="103">
        <v>20</v>
      </c>
      <c r="N153" s="103">
        <v>15</v>
      </c>
      <c r="O153" s="103">
        <v>108</v>
      </c>
      <c r="P153" s="103">
        <v>150</v>
      </c>
      <c r="Q153" s="103">
        <v>2.1</v>
      </c>
      <c r="R153" s="103">
        <v>75</v>
      </c>
      <c r="S153" s="103" t="s">
        <v>95</v>
      </c>
      <c r="T153" s="103">
        <v>2.6</v>
      </c>
      <c r="U153" s="103">
        <v>3.6</v>
      </c>
      <c r="W153" s="103" t="s">
        <v>95</v>
      </c>
      <c r="X153" s="103">
        <v>30</v>
      </c>
      <c r="Y153" s="103" t="s">
        <v>95</v>
      </c>
      <c r="Z153" s="103" t="s">
        <v>95</v>
      </c>
      <c r="AA153" s="103">
        <v>42</v>
      </c>
      <c r="AB153" s="103" t="s">
        <v>95</v>
      </c>
      <c r="AC153" s="117"/>
      <c r="AD153" s="103" t="s">
        <v>95</v>
      </c>
      <c r="AF153" s="103" t="s">
        <v>95</v>
      </c>
      <c r="AH153" s="103" t="s">
        <v>95</v>
      </c>
      <c r="AI153" s="103">
        <v>1.4999999999999999E-2</v>
      </c>
      <c r="AJ153" s="103" t="s">
        <v>95</v>
      </c>
      <c r="AK153" s="103">
        <v>14</v>
      </c>
      <c r="AL153" s="103" t="s">
        <v>95</v>
      </c>
      <c r="AN153" s="103" t="s">
        <v>95</v>
      </c>
      <c r="AO153" s="103" t="s">
        <v>95</v>
      </c>
      <c r="AP153" s="103" t="s">
        <v>95</v>
      </c>
      <c r="AQ153" s="103">
        <v>1400</v>
      </c>
      <c r="AR153" s="103" t="s">
        <v>95</v>
      </c>
      <c r="AS153" s="103" t="s">
        <v>95</v>
      </c>
      <c r="AT153" s="103">
        <v>173</v>
      </c>
      <c r="AU153" s="103" t="s">
        <v>95</v>
      </c>
      <c r="AV153" s="103" t="s">
        <v>95</v>
      </c>
      <c r="AW153" s="103">
        <v>5.2</v>
      </c>
      <c r="AX153" s="103" t="s">
        <v>95</v>
      </c>
      <c r="AY153" s="103" t="s">
        <v>95</v>
      </c>
      <c r="AZ153" s="103" t="s">
        <v>95</v>
      </c>
      <c r="BA153" s="103" t="s">
        <v>95</v>
      </c>
      <c r="BB153" s="103" t="s">
        <v>95</v>
      </c>
      <c r="BC153" s="103" t="s">
        <v>95</v>
      </c>
      <c r="BD153" s="103" t="s">
        <v>95</v>
      </c>
      <c r="BE153" s="103" t="s">
        <v>95</v>
      </c>
      <c r="BF153" s="103" t="s">
        <v>95</v>
      </c>
      <c r="BG153" s="103" t="s">
        <v>95</v>
      </c>
      <c r="BH153" s="103" t="s">
        <v>95</v>
      </c>
      <c r="BI153" s="103" t="s">
        <v>95</v>
      </c>
      <c r="BJ153" s="103" t="s">
        <v>95</v>
      </c>
      <c r="BK153" s="103" t="s">
        <v>95</v>
      </c>
      <c r="BL153" s="103" t="s">
        <v>95</v>
      </c>
      <c r="BM153" s="103" t="s">
        <v>95</v>
      </c>
      <c r="BN153" s="103" t="s">
        <v>95</v>
      </c>
      <c r="BO153" s="103" t="s">
        <v>95</v>
      </c>
      <c r="BP153" s="103" t="s">
        <v>93</v>
      </c>
      <c r="BQ153" s="103" t="s">
        <v>721</v>
      </c>
      <c r="BR153" s="103" t="s">
        <v>95</v>
      </c>
      <c r="BS153" s="103" t="s">
        <v>95</v>
      </c>
      <c r="BT153" s="103" t="s">
        <v>95</v>
      </c>
      <c r="BU153" s="103">
        <v>50</v>
      </c>
      <c r="BV153" s="103">
        <v>2.2999999999999998</v>
      </c>
      <c r="BW153" s="103">
        <v>4.5999999999999996</v>
      </c>
      <c r="BX153" s="103" t="s">
        <v>95</v>
      </c>
      <c r="BY153" s="103" t="s">
        <v>95</v>
      </c>
      <c r="BZ153" s="103" t="s">
        <v>94</v>
      </c>
      <c r="CA153" s="103" t="s">
        <v>95</v>
      </c>
      <c r="CB153" s="103">
        <v>42213</v>
      </c>
      <c r="CC153" s="103" t="s">
        <v>95</v>
      </c>
      <c r="CD153" s="103">
        <v>3162</v>
      </c>
      <c r="CE153" s="118">
        <v>0.377</v>
      </c>
    </row>
    <row r="154" spans="1:83" s="103" customFormat="1" x14ac:dyDescent="0.25">
      <c r="A154" s="103" t="s">
        <v>684</v>
      </c>
      <c r="B154" s="103">
        <v>146</v>
      </c>
      <c r="C154" s="103" t="s">
        <v>95</v>
      </c>
      <c r="D154" s="103" t="s">
        <v>102</v>
      </c>
      <c r="E154" s="103" t="s">
        <v>719</v>
      </c>
      <c r="F154" s="103" t="s">
        <v>720</v>
      </c>
      <c r="G154" s="103" t="s">
        <v>722</v>
      </c>
      <c r="H154" s="103" t="s">
        <v>94</v>
      </c>
      <c r="I154" s="103">
        <v>2</v>
      </c>
      <c r="J154" s="103">
        <v>0</v>
      </c>
      <c r="K154" s="103">
        <v>1</v>
      </c>
      <c r="L154" s="103">
        <v>60</v>
      </c>
      <c r="M154" s="103">
        <v>20</v>
      </c>
      <c r="N154" s="103">
        <v>6.3</v>
      </c>
      <c r="O154" s="103" t="s">
        <v>95</v>
      </c>
      <c r="P154" s="103" t="s">
        <v>95</v>
      </c>
      <c r="Q154" s="103" t="s">
        <v>95</v>
      </c>
      <c r="R154" s="103" t="s">
        <v>95</v>
      </c>
      <c r="S154" s="103" t="s">
        <v>95</v>
      </c>
      <c r="T154" s="103">
        <v>2.6</v>
      </c>
      <c r="U154" s="103">
        <v>3.6</v>
      </c>
      <c r="W154" s="103" t="s">
        <v>95</v>
      </c>
      <c r="X154" s="103" t="s">
        <v>95</v>
      </c>
      <c r="Y154" s="103" t="s">
        <v>95</v>
      </c>
      <c r="Z154" s="103" t="s">
        <v>95</v>
      </c>
      <c r="AA154" s="103" t="s">
        <v>95</v>
      </c>
      <c r="AB154" s="103" t="s">
        <v>95</v>
      </c>
      <c r="AC154" s="117"/>
      <c r="AD154" s="103" t="s">
        <v>95</v>
      </c>
      <c r="AF154" s="103" t="s">
        <v>95</v>
      </c>
      <c r="AH154" s="103" t="s">
        <v>95</v>
      </c>
      <c r="AI154" s="103" t="s">
        <v>95</v>
      </c>
      <c r="AJ154" s="103" t="s">
        <v>95</v>
      </c>
      <c r="AK154" s="103">
        <v>7.2</v>
      </c>
      <c r="AL154" s="103" t="s">
        <v>95</v>
      </c>
      <c r="AN154" s="103" t="s">
        <v>95</v>
      </c>
      <c r="AO154" s="103" t="s">
        <v>95</v>
      </c>
      <c r="AP154" s="103" t="s">
        <v>95</v>
      </c>
      <c r="AQ154" s="103" t="s">
        <v>95</v>
      </c>
      <c r="AR154" s="103" t="s">
        <v>95</v>
      </c>
      <c r="AS154" s="103" t="s">
        <v>95</v>
      </c>
      <c r="AT154" s="103" t="s">
        <v>95</v>
      </c>
      <c r="AU154" s="103" t="s">
        <v>95</v>
      </c>
      <c r="AV154" s="103" t="s">
        <v>95</v>
      </c>
      <c r="AW154" s="103" t="s">
        <v>95</v>
      </c>
      <c r="AX154" s="103" t="s">
        <v>95</v>
      </c>
      <c r="AY154" s="103" t="s">
        <v>95</v>
      </c>
      <c r="AZ154" s="103" t="s">
        <v>95</v>
      </c>
      <c r="BA154" s="103" t="s">
        <v>95</v>
      </c>
      <c r="BB154" s="103" t="s">
        <v>95</v>
      </c>
      <c r="BC154" s="103" t="s">
        <v>95</v>
      </c>
      <c r="BD154" s="103" t="s">
        <v>95</v>
      </c>
      <c r="BE154" s="103" t="s">
        <v>95</v>
      </c>
      <c r="BF154" s="103" t="s">
        <v>95</v>
      </c>
      <c r="BG154" s="103" t="s">
        <v>95</v>
      </c>
      <c r="BH154" s="103" t="s">
        <v>95</v>
      </c>
      <c r="BI154" s="103" t="s">
        <v>95</v>
      </c>
      <c r="BJ154" s="103" t="s">
        <v>95</v>
      </c>
      <c r="BK154" s="103" t="s">
        <v>95</v>
      </c>
      <c r="BL154" s="103" t="s">
        <v>95</v>
      </c>
      <c r="BM154" s="103" t="s">
        <v>95</v>
      </c>
      <c r="BN154" s="103" t="s">
        <v>95</v>
      </c>
      <c r="BO154" s="103" t="s">
        <v>95</v>
      </c>
      <c r="BP154" s="103" t="s">
        <v>93</v>
      </c>
      <c r="BQ154" s="103" t="s">
        <v>723</v>
      </c>
      <c r="BR154" s="103" t="s">
        <v>95</v>
      </c>
      <c r="BS154" s="103" t="s">
        <v>95</v>
      </c>
      <c r="BT154" s="103" t="s">
        <v>95</v>
      </c>
      <c r="BU154" s="103" t="s">
        <v>95</v>
      </c>
      <c r="BV154" s="103" t="s">
        <v>95</v>
      </c>
      <c r="BW154" s="103" t="s">
        <v>95</v>
      </c>
      <c r="BX154" s="103" t="s">
        <v>95</v>
      </c>
      <c r="BY154" s="103" t="s">
        <v>95</v>
      </c>
      <c r="BZ154" s="103" t="s">
        <v>94</v>
      </c>
      <c r="CA154" s="103" t="s">
        <v>95</v>
      </c>
      <c r="CB154" s="103" t="s">
        <v>95</v>
      </c>
      <c r="CC154" s="103">
        <v>42104</v>
      </c>
      <c r="CD154" s="103">
        <v>2837</v>
      </c>
      <c r="CE154" s="118">
        <v>0.22700000000000001</v>
      </c>
    </row>
    <row r="155" spans="1:83" x14ac:dyDescent="0.25">
      <c r="A155" s="102"/>
      <c r="B155" s="102"/>
      <c r="C155" s="102"/>
      <c r="D155" s="102"/>
      <c r="E155" s="102"/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</row>
    <row r="156" spans="1:83" x14ac:dyDescent="0.25">
      <c r="A156" s="102"/>
      <c r="B156" s="102"/>
      <c r="C156" s="102"/>
      <c r="D156" s="102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</row>
    <row r="157" spans="1:83" x14ac:dyDescent="0.25">
      <c r="A157" s="102"/>
      <c r="B157" s="102"/>
      <c r="C157" s="102"/>
      <c r="D157" s="102"/>
      <c r="E157" s="102"/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</row>
    <row r="158" spans="1:83" x14ac:dyDescent="0.25">
      <c r="A158" s="102"/>
      <c r="B158" s="102"/>
      <c r="C158" s="102"/>
      <c r="D158" s="102"/>
      <c r="E158" s="102"/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</row>
    <row r="159" spans="1:83" x14ac:dyDescent="0.25">
      <c r="A159" s="102"/>
      <c r="B159" s="102"/>
      <c r="C159" s="102"/>
      <c r="D159" s="102"/>
      <c r="E159" s="102"/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</row>
    <row r="160" spans="1:83" x14ac:dyDescent="0.25">
      <c r="A160" s="102"/>
      <c r="B160" s="102"/>
      <c r="C160" s="102"/>
      <c r="D160" s="102"/>
      <c r="E160" s="102"/>
      <c r="F160" s="10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  <c r="BJ160" s="102"/>
      <c r="BK160" s="102"/>
      <c r="BL160" s="102"/>
      <c r="BM160" s="102"/>
      <c r="BN160" s="102"/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</row>
    <row r="161" spans="1:83" x14ac:dyDescent="0.25">
      <c r="A161" s="102"/>
      <c r="B161" s="102"/>
      <c r="C161" s="102"/>
      <c r="D161" s="102"/>
      <c r="E161" s="102"/>
      <c r="F161" s="10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  <c r="BJ161" s="102"/>
      <c r="BK161" s="102"/>
      <c r="BL161" s="102"/>
      <c r="BM161" s="102"/>
      <c r="BN161" s="102"/>
      <c r="BO161" s="102"/>
      <c r="BP161" s="102"/>
      <c r="BQ161" s="102"/>
      <c r="BR161" s="102"/>
      <c r="BS161" s="102"/>
      <c r="BT161" s="102"/>
      <c r="BU161" s="102"/>
      <c r="BV161" s="102"/>
      <c r="BW161" s="102"/>
      <c r="BX161" s="102"/>
      <c r="BY161" s="102"/>
      <c r="BZ161" s="102"/>
      <c r="CA161" s="102"/>
      <c r="CB161" s="102"/>
      <c r="CC161" s="102"/>
      <c r="CD161" s="102"/>
      <c r="CE161" s="102"/>
    </row>
    <row r="162" spans="1:83" x14ac:dyDescent="0.25">
      <c r="A162" s="102"/>
      <c r="B162" s="102"/>
      <c r="C162" s="102"/>
      <c r="D162" s="102"/>
      <c r="E162" s="102"/>
      <c r="F162" s="10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  <c r="BJ162" s="102"/>
      <c r="BK162" s="102"/>
      <c r="BL162" s="102"/>
      <c r="BM162" s="102"/>
      <c r="BN162" s="102"/>
      <c r="BO162" s="102"/>
      <c r="BP162" s="102"/>
      <c r="BQ162" s="102"/>
      <c r="BR162" s="102"/>
      <c r="BS162" s="102"/>
      <c r="BT162" s="102"/>
      <c r="BU162" s="102"/>
      <c r="BV162" s="102"/>
      <c r="BW162" s="102"/>
      <c r="BX162" s="102"/>
      <c r="BY162" s="102"/>
      <c r="BZ162" s="102"/>
      <c r="CA162" s="102"/>
      <c r="CB162" s="102"/>
      <c r="CC162" s="102"/>
      <c r="CD162" s="102"/>
      <c r="CE162" s="102"/>
    </row>
    <row r="163" spans="1:83" x14ac:dyDescent="0.25">
      <c r="A163" s="102"/>
      <c r="B163" s="102"/>
      <c r="C163" s="102"/>
      <c r="D163" s="102"/>
      <c r="E163" s="102"/>
      <c r="F163" s="102"/>
      <c r="G163" s="102"/>
      <c r="H163" s="102"/>
      <c r="I163" s="102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  <c r="AB163" s="102"/>
      <c r="AC163" s="102"/>
      <c r="AD163" s="102"/>
      <c r="AE163" s="102"/>
      <c r="AF163" s="102"/>
      <c r="AG163" s="102"/>
      <c r="AH163" s="102"/>
      <c r="AI163" s="102"/>
      <c r="AJ163" s="102"/>
      <c r="AK163" s="102"/>
      <c r="AL163" s="102"/>
      <c r="AM163" s="102"/>
      <c r="AN163" s="102"/>
      <c r="AO163" s="102"/>
      <c r="AP163" s="102"/>
      <c r="AQ163" s="102"/>
      <c r="AR163" s="102"/>
      <c r="AS163" s="102"/>
      <c r="AT163" s="102"/>
      <c r="AU163" s="102"/>
      <c r="AV163" s="102"/>
      <c r="AW163" s="102"/>
      <c r="AX163" s="102"/>
      <c r="AY163" s="102"/>
      <c r="AZ163" s="102"/>
      <c r="BA163" s="102"/>
      <c r="BB163" s="102"/>
      <c r="BC163" s="102"/>
      <c r="BD163" s="102"/>
      <c r="BE163" s="102"/>
      <c r="BF163" s="102"/>
      <c r="BG163" s="102"/>
      <c r="BH163" s="102"/>
      <c r="BI163" s="102"/>
      <c r="BJ163" s="102"/>
      <c r="BK163" s="102"/>
      <c r="BL163" s="102"/>
      <c r="BM163" s="102"/>
      <c r="BN163" s="102"/>
      <c r="BO163" s="102"/>
      <c r="BP163" s="102"/>
      <c r="BQ163" s="102"/>
      <c r="BR163" s="102"/>
      <c r="BS163" s="102"/>
      <c r="BT163" s="102"/>
      <c r="BU163" s="102"/>
      <c r="BV163" s="102"/>
      <c r="BW163" s="102"/>
      <c r="BX163" s="102"/>
      <c r="BY163" s="102"/>
      <c r="BZ163" s="102"/>
      <c r="CA163" s="102"/>
      <c r="CB163" s="102"/>
      <c r="CC163" s="102"/>
      <c r="CD163" s="102"/>
      <c r="CE163" s="102"/>
    </row>
    <row r="164" spans="1:83" x14ac:dyDescent="0.25">
      <c r="A164" s="102"/>
      <c r="B164" s="102"/>
      <c r="C164" s="102"/>
      <c r="D164" s="102"/>
      <c r="E164" s="102"/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  <c r="BJ164" s="102"/>
      <c r="BK164" s="102"/>
      <c r="BL164" s="102"/>
      <c r="BM164" s="102"/>
      <c r="BN164" s="102"/>
      <c r="BO164" s="102"/>
      <c r="BP164" s="102"/>
      <c r="BQ164" s="102"/>
      <c r="BR164" s="102"/>
      <c r="BS164" s="102"/>
      <c r="BT164" s="102"/>
      <c r="BU164" s="102"/>
      <c r="BV164" s="102"/>
      <c r="BW164" s="102"/>
      <c r="BX164" s="102"/>
      <c r="BY164" s="102"/>
      <c r="BZ164" s="102"/>
      <c r="CA164" s="102"/>
      <c r="CB164" s="102"/>
      <c r="CC164" s="102"/>
      <c r="CD164" s="102"/>
      <c r="CE164" s="102"/>
    </row>
    <row r="165" spans="1:83" x14ac:dyDescent="0.25">
      <c r="A165" s="102"/>
      <c r="B165" s="102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  <c r="BJ165" s="102"/>
      <c r="BK165" s="102"/>
      <c r="BL165" s="102"/>
      <c r="BM165" s="102"/>
      <c r="BN165" s="102"/>
      <c r="BO165" s="102"/>
      <c r="BP165" s="102"/>
      <c r="BQ165" s="102"/>
      <c r="BR165" s="102"/>
      <c r="BS165" s="102"/>
      <c r="BT165" s="102"/>
      <c r="BU165" s="102"/>
      <c r="BV165" s="102"/>
      <c r="BW165" s="102"/>
      <c r="BX165" s="102"/>
      <c r="BY165" s="102"/>
      <c r="BZ165" s="102"/>
      <c r="CA165" s="102"/>
      <c r="CB165" s="102"/>
      <c r="CC165" s="102"/>
      <c r="CD165" s="102"/>
      <c r="CE165" s="102"/>
    </row>
    <row r="166" spans="1:83" x14ac:dyDescent="0.25">
      <c r="A166" s="102"/>
      <c r="B166" s="102"/>
      <c r="C166" s="102"/>
      <c r="D166" s="102"/>
      <c r="E166" s="102"/>
      <c r="F166" s="10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  <c r="BJ166" s="102"/>
      <c r="BK166" s="102"/>
      <c r="BL166" s="102"/>
      <c r="BM166" s="102"/>
      <c r="BN166" s="102"/>
      <c r="BO166" s="102"/>
      <c r="BP166" s="102"/>
      <c r="BQ166" s="102"/>
      <c r="BR166" s="102"/>
      <c r="BS166" s="102"/>
      <c r="BT166" s="102"/>
      <c r="BU166" s="102"/>
      <c r="BV166" s="102"/>
      <c r="BW166" s="102"/>
      <c r="BX166" s="102"/>
      <c r="BY166" s="102"/>
      <c r="BZ166" s="102"/>
      <c r="CA166" s="102"/>
      <c r="CB166" s="102"/>
      <c r="CC166" s="102"/>
      <c r="CD166" s="102"/>
      <c r="CE166" s="102"/>
    </row>
  </sheetData>
  <sheetProtection algorithmName="SHA-512" hashValue="WoS/77m0qsoogm2AK7B3AlkSWf8iYVK/KkhpJ6LPL8LKiOPJwdcdXtYD6Q27F80vH8Vj1q4EX8uCgOh9e4TWPQ==" saltValue="/8BBN3k9csHNT+km52C4qQ==" spinCount="100000" sheet="1" objects="1" scenarios="1"/>
  <hyperlinks>
    <hyperlink ref="BQ49" r:id="rId1" xr:uid="{00000000-0004-0000-0400-000000000000}"/>
    <hyperlink ref="BQ83" r:id="rId2" xr:uid="{00000000-0004-0000-0400-000001000000}"/>
    <hyperlink ref="BQ93" r:id="rId3" xr:uid="{00000000-0004-0000-0400-000002000000}"/>
    <hyperlink ref="BQ94" r:id="rId4" xr:uid="{00000000-0004-0000-0400-000003000000}"/>
    <hyperlink ref="BQ95" r:id="rId5" xr:uid="{00000000-0004-0000-0400-000004000000}"/>
    <hyperlink ref="BQ96" r:id="rId6" xr:uid="{00000000-0004-0000-0400-000005000000}"/>
    <hyperlink ref="BQ97" r:id="rId7" xr:uid="{00000000-0004-0000-0400-000006000000}"/>
    <hyperlink ref="BQ120" r:id="rId8" xr:uid="{00000000-0004-0000-0400-000007000000}"/>
    <hyperlink ref="BQ84" r:id="rId9" xr:uid="{00000000-0004-0000-0400-000008000000}"/>
    <hyperlink ref="BQ56" r:id="rId10" xr:uid="{00000000-0004-0000-0400-000009000000}"/>
    <hyperlink ref="BQ57" r:id="rId11" xr:uid="{00000000-0004-0000-0400-00000A000000}"/>
    <hyperlink ref="BQ58" r:id="rId12" xr:uid="{00000000-0004-0000-0400-00000B000000}"/>
    <hyperlink ref="BQ59" r:id="rId13" xr:uid="{00000000-0004-0000-0400-00000C000000}"/>
    <hyperlink ref="BQ60" r:id="rId14" xr:uid="{00000000-0004-0000-0400-00000D000000}"/>
    <hyperlink ref="BQ61" r:id="rId15" xr:uid="{00000000-0004-0000-0400-00000E000000}"/>
    <hyperlink ref="BQ62" r:id="rId16" xr:uid="{00000000-0004-0000-0400-00000F000000}"/>
    <hyperlink ref="BQ63" r:id="rId17" xr:uid="{00000000-0004-0000-0400-000010000000}"/>
    <hyperlink ref="BQ64" r:id="rId18" xr:uid="{00000000-0004-0000-0400-000011000000}"/>
    <hyperlink ref="BQ65" r:id="rId19" xr:uid="{00000000-0004-0000-0400-000012000000}"/>
    <hyperlink ref="BQ66" r:id="rId20" xr:uid="{00000000-0004-0000-0400-000013000000}"/>
    <hyperlink ref="BQ67" r:id="rId21" xr:uid="{00000000-0004-0000-0400-000014000000}"/>
    <hyperlink ref="BQ68" r:id="rId22" xr:uid="{00000000-0004-0000-0400-000015000000}"/>
    <hyperlink ref="BQ144" r:id="rId23" xr:uid="{6996CB58-2BCB-42DC-AFDF-B9C410D3D29E}"/>
  </hyperlinks>
  <pageMargins left="0.7" right="0.7" top="0.75" bottom="0.75" header="0.3" footer="0.3"/>
  <pageSetup orientation="portrait" horizontalDpi="90" verticalDpi="90" r:id="rId24"/>
  <tableParts count="1">
    <tablePart r:id="rId2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B26"/>
  <sheetViews>
    <sheetView workbookViewId="0">
      <pane xSplit="1" topLeftCell="BN1" activePane="topRight" state="frozen"/>
      <selection pane="topRight" activeCell="BX28" sqref="BX28"/>
    </sheetView>
  </sheetViews>
  <sheetFormatPr defaultColWidth="8.85546875" defaultRowHeight="15" x14ac:dyDescent="0.25"/>
  <cols>
    <col min="1" max="1" width="15.7109375" style="97" customWidth="1"/>
    <col min="2" max="2" width="9.5703125" style="97" customWidth="1"/>
    <col min="3" max="3" width="19.42578125" style="97" customWidth="1"/>
    <col min="4" max="4" width="12.7109375" style="97" customWidth="1"/>
    <col min="5" max="5" width="30.140625" style="97" customWidth="1"/>
    <col min="6" max="6" width="18.140625" style="97" bestFit="1" customWidth="1"/>
    <col min="7" max="7" width="28" style="97" customWidth="1"/>
    <col min="8" max="8" width="9.85546875" style="97" customWidth="1"/>
    <col min="9" max="9" width="10.28515625" style="97" customWidth="1"/>
    <col min="10" max="10" width="8.5703125" style="97" customWidth="1"/>
    <col min="11" max="11" width="10.28515625" style="97" customWidth="1"/>
    <col min="12" max="12" width="11" style="97" customWidth="1"/>
    <col min="13" max="13" width="11.140625" style="97" customWidth="1"/>
    <col min="14" max="14" width="10.28515625" style="97" customWidth="1"/>
    <col min="15" max="15" width="11.140625" style="97" customWidth="1"/>
    <col min="16" max="16" width="9.140625" style="97" customWidth="1"/>
    <col min="17" max="17" width="9.85546875" style="97" customWidth="1"/>
    <col min="18" max="18" width="8.5703125" style="97" customWidth="1"/>
    <col min="19" max="19" width="8.28515625" style="97" customWidth="1"/>
    <col min="20" max="20" width="10.5703125" style="97" customWidth="1"/>
    <col min="21" max="21" width="11" style="97" customWidth="1"/>
    <col min="22" max="23" width="9.7109375" style="97" customWidth="1"/>
    <col min="24" max="24" width="8" style="97" customWidth="1"/>
    <col min="25" max="25" width="9.140625" style="97" customWidth="1"/>
    <col min="26" max="26" width="9.85546875" style="97" customWidth="1"/>
    <col min="27" max="27" width="9.5703125" style="97" customWidth="1"/>
    <col min="28" max="31" width="11.5703125" style="97" bestFit="1" customWidth="1"/>
    <col min="32" max="32" width="10.5703125" style="97" bestFit="1" customWidth="1"/>
    <col min="33" max="33" width="11.5703125" style="97" bestFit="1" customWidth="1"/>
    <col min="34" max="34" width="12" style="97" customWidth="1"/>
    <col min="35" max="35" width="9.85546875" style="97" bestFit="1" customWidth="1"/>
    <col min="36" max="36" width="12.28515625" style="97" customWidth="1"/>
    <col min="37" max="37" width="11.28515625" style="97" customWidth="1"/>
    <col min="38" max="38" width="13.42578125" style="97" customWidth="1"/>
    <col min="39" max="39" width="19" style="97" customWidth="1"/>
    <col min="40" max="40" width="11.28515625" style="97" bestFit="1" customWidth="1"/>
    <col min="41" max="41" width="17" style="97" bestFit="1" customWidth="1"/>
    <col min="42" max="42" width="19.85546875" style="97" customWidth="1"/>
    <col min="43" max="43" width="12.140625" style="97" bestFit="1" customWidth="1"/>
    <col min="44" max="44" width="18" style="97" bestFit="1" customWidth="1"/>
    <col min="45" max="45" width="19.5703125" style="97" customWidth="1"/>
    <col min="46" max="46" width="11.85546875" style="97" bestFit="1" customWidth="1"/>
    <col min="47" max="47" width="17.7109375" style="97" bestFit="1" customWidth="1"/>
    <col min="48" max="48" width="15.140625" style="97" customWidth="1"/>
    <col min="49" max="49" width="13.140625" style="97" customWidth="1"/>
    <col min="50" max="50" width="13.140625" style="97" bestFit="1" customWidth="1"/>
    <col min="51" max="51" width="15.7109375" style="97" customWidth="1"/>
    <col min="52" max="52" width="14" style="97" customWidth="1"/>
    <col min="53" max="53" width="16.42578125" style="97" customWidth="1"/>
    <col min="54" max="54" width="14.7109375" style="97" customWidth="1"/>
    <col min="55" max="55" width="16.140625" style="97" customWidth="1"/>
    <col min="56" max="56" width="14.42578125" style="97" customWidth="1"/>
    <col min="57" max="57" width="14.140625" style="97" bestFit="1" customWidth="1"/>
    <col min="58" max="58" width="12.28515625" style="97" bestFit="1" customWidth="1"/>
    <col min="59" max="59" width="9.28515625" style="97" bestFit="1" customWidth="1"/>
    <col min="60" max="60" width="15.5703125" style="97" customWidth="1"/>
    <col min="61" max="61" width="9.7109375" style="97" customWidth="1"/>
    <col min="62" max="62" width="16.140625" style="97" customWidth="1"/>
    <col min="63" max="63" width="11.5703125" style="97" customWidth="1"/>
    <col min="64" max="64" width="14.140625" style="97" bestFit="1" customWidth="1"/>
    <col min="65" max="65" width="8" style="97" customWidth="1"/>
    <col min="66" max="66" width="17.7109375" style="97" customWidth="1"/>
    <col min="67" max="67" width="7.85546875" style="97" customWidth="1"/>
    <col min="68" max="68" width="15.7109375" style="97" bestFit="1" customWidth="1"/>
    <col min="69" max="69" width="16.85546875" style="97" customWidth="1"/>
    <col min="70" max="70" width="8.42578125" style="97" bestFit="1" customWidth="1"/>
    <col min="71" max="71" width="14.85546875" style="97" bestFit="1" customWidth="1"/>
    <col min="72" max="72" width="7" style="97" customWidth="1"/>
    <col min="73" max="73" width="18.42578125" style="97" customWidth="1"/>
    <col min="74" max="74" width="17.5703125" style="97" customWidth="1"/>
    <col min="75" max="75" width="16.42578125" style="97" bestFit="1" customWidth="1"/>
    <col min="76" max="76" width="15.5703125" style="97" bestFit="1" customWidth="1"/>
    <col min="77" max="77" width="14.85546875" style="97" bestFit="1" customWidth="1"/>
    <col min="78" max="78" width="16.7109375" style="97" customWidth="1"/>
    <col min="79" max="79" width="11.7109375" style="97" bestFit="1" customWidth="1"/>
    <col min="80" max="80" width="14.7109375" style="97" bestFit="1" customWidth="1"/>
    <col min="81" max="81" width="2.85546875" style="97" bestFit="1" customWidth="1"/>
    <col min="82" max="82" width="8.140625" style="97" bestFit="1" customWidth="1"/>
    <col min="83" max="16384" width="8.85546875" style="97"/>
  </cols>
  <sheetData>
    <row r="1" spans="1:80" ht="15.75" thickBot="1" x14ac:dyDescent="0.3">
      <c r="A1" s="120" t="s">
        <v>16</v>
      </c>
      <c r="B1" s="121" t="s">
        <v>17</v>
      </c>
      <c r="C1" s="121" t="s">
        <v>18</v>
      </c>
      <c r="D1" s="121" t="s">
        <v>19</v>
      </c>
      <c r="E1" s="121" t="s">
        <v>20</v>
      </c>
      <c r="F1" s="121" t="s">
        <v>21</v>
      </c>
      <c r="G1" s="121" t="s">
        <v>22</v>
      </c>
      <c r="H1" s="121" t="s">
        <v>23</v>
      </c>
      <c r="I1" s="121" t="s">
        <v>24</v>
      </c>
      <c r="J1" s="121" t="s">
        <v>25</v>
      </c>
      <c r="K1" s="121" t="s">
        <v>26</v>
      </c>
      <c r="L1" s="121" t="s">
        <v>27</v>
      </c>
      <c r="M1" s="121" t="s">
        <v>28</v>
      </c>
      <c r="N1" s="121" t="s">
        <v>29</v>
      </c>
      <c r="O1" s="121" t="s">
        <v>30</v>
      </c>
      <c r="P1" s="121" t="s">
        <v>31</v>
      </c>
      <c r="Q1" s="121" t="s">
        <v>32</v>
      </c>
      <c r="R1" s="121" t="s">
        <v>33</v>
      </c>
      <c r="S1" s="121" t="s">
        <v>34</v>
      </c>
      <c r="T1" s="121" t="s">
        <v>35</v>
      </c>
      <c r="U1" s="121" t="s">
        <v>36</v>
      </c>
      <c r="V1" s="121" t="s">
        <v>37</v>
      </c>
      <c r="W1" s="121" t="s">
        <v>38</v>
      </c>
      <c r="X1" s="121" t="s">
        <v>39</v>
      </c>
      <c r="Y1" s="121" t="s">
        <v>40</v>
      </c>
      <c r="Z1" s="121" t="s">
        <v>41</v>
      </c>
      <c r="AA1" s="121" t="s">
        <v>42</v>
      </c>
      <c r="AB1" s="121" t="s">
        <v>606</v>
      </c>
      <c r="AC1" s="121" t="s">
        <v>520</v>
      </c>
      <c r="AD1" s="121" t="s">
        <v>43</v>
      </c>
      <c r="AE1" s="121" t="s">
        <v>44</v>
      </c>
      <c r="AF1" s="121" t="s">
        <v>45</v>
      </c>
      <c r="AG1" s="121" t="s">
        <v>46</v>
      </c>
      <c r="AH1" s="121" t="s">
        <v>47</v>
      </c>
      <c r="AI1" s="121" t="s">
        <v>48</v>
      </c>
      <c r="AJ1" s="121" t="s">
        <v>49</v>
      </c>
      <c r="AK1" s="121" t="s">
        <v>50</v>
      </c>
      <c r="AL1" s="121" t="s">
        <v>51</v>
      </c>
      <c r="AM1" s="121" t="s">
        <v>52</v>
      </c>
      <c r="AN1" s="121" t="s">
        <v>53</v>
      </c>
      <c r="AO1" s="121" t="s">
        <v>54</v>
      </c>
      <c r="AP1" s="121" t="s">
        <v>55</v>
      </c>
      <c r="AQ1" s="121" t="s">
        <v>56</v>
      </c>
      <c r="AR1" s="121" t="s">
        <v>57</v>
      </c>
      <c r="AS1" s="121" t="s">
        <v>58</v>
      </c>
      <c r="AT1" s="121" t="s">
        <v>59</v>
      </c>
      <c r="AU1" s="121" t="s">
        <v>60</v>
      </c>
      <c r="AV1" s="121" t="s">
        <v>61</v>
      </c>
      <c r="AW1" s="121" t="s">
        <v>62</v>
      </c>
      <c r="AX1" s="121" t="s">
        <v>63</v>
      </c>
      <c r="AY1" s="121" t="s">
        <v>64</v>
      </c>
      <c r="AZ1" s="121" t="s">
        <v>65</v>
      </c>
      <c r="BA1" s="121" t="s">
        <v>66</v>
      </c>
      <c r="BB1" s="121" t="s">
        <v>67</v>
      </c>
      <c r="BC1" s="121" t="s">
        <v>68</v>
      </c>
      <c r="BD1" s="121" t="s">
        <v>69</v>
      </c>
      <c r="BE1" s="121" t="s">
        <v>70</v>
      </c>
      <c r="BF1" s="121" t="s">
        <v>71</v>
      </c>
      <c r="BG1" s="121" t="s">
        <v>72</v>
      </c>
      <c r="BH1" s="121" t="s">
        <v>73</v>
      </c>
      <c r="BI1" s="121" t="s">
        <v>74</v>
      </c>
      <c r="BJ1" s="121" t="s">
        <v>75</v>
      </c>
      <c r="BK1" s="121" t="s">
        <v>76</v>
      </c>
      <c r="BL1" s="121" t="s">
        <v>77</v>
      </c>
      <c r="BM1" s="121" t="s">
        <v>78</v>
      </c>
      <c r="BN1" s="121" t="s">
        <v>79</v>
      </c>
      <c r="BO1" s="121" t="s">
        <v>80</v>
      </c>
      <c r="BP1" s="121" t="s">
        <v>81</v>
      </c>
      <c r="BQ1" s="121" t="s">
        <v>82</v>
      </c>
      <c r="BR1" s="121" t="s">
        <v>83</v>
      </c>
      <c r="BS1" s="121" t="s">
        <v>84</v>
      </c>
      <c r="BT1" s="121" t="s">
        <v>85</v>
      </c>
      <c r="BU1" s="121" t="s">
        <v>86</v>
      </c>
      <c r="BV1" s="121" t="s">
        <v>87</v>
      </c>
      <c r="BW1" s="121" t="s">
        <v>88</v>
      </c>
      <c r="BX1" s="121" t="s">
        <v>89</v>
      </c>
      <c r="BY1" s="121" t="s">
        <v>90</v>
      </c>
      <c r="BZ1" s="121" t="s">
        <v>91</v>
      </c>
      <c r="CA1" s="121" t="s">
        <v>92</v>
      </c>
      <c r="CB1" s="122" t="s">
        <v>394</v>
      </c>
    </row>
    <row r="2" spans="1:80" ht="15.75" thickTop="1" x14ac:dyDescent="0.25">
      <c r="A2" s="123" t="s">
        <v>543</v>
      </c>
      <c r="B2" s="123">
        <v>146</v>
      </c>
      <c r="C2" s="123" t="s">
        <v>93</v>
      </c>
      <c r="D2" s="123" t="s">
        <v>94</v>
      </c>
      <c r="E2" s="123" t="s">
        <v>95</v>
      </c>
      <c r="F2" s="123" t="s">
        <v>95</v>
      </c>
      <c r="G2" s="123" t="s">
        <v>208</v>
      </c>
      <c r="H2" s="123" t="s">
        <v>472</v>
      </c>
      <c r="I2" s="123">
        <v>1</v>
      </c>
      <c r="J2" s="123">
        <v>0</v>
      </c>
      <c r="K2" s="123" t="s">
        <v>95</v>
      </c>
      <c r="L2" s="123">
        <v>-8</v>
      </c>
      <c r="M2" s="123">
        <v>-6</v>
      </c>
      <c r="N2" s="123">
        <v>-10</v>
      </c>
      <c r="O2" s="123" t="s">
        <v>95</v>
      </c>
      <c r="P2" s="123">
        <v>150</v>
      </c>
      <c r="Q2" s="123">
        <v>1.5</v>
      </c>
      <c r="R2" s="123">
        <v>90</v>
      </c>
      <c r="S2" s="123" t="s">
        <v>95</v>
      </c>
      <c r="T2" s="123">
        <v>-0.6</v>
      </c>
      <c r="U2" s="123">
        <v>-1.1000000000000001</v>
      </c>
      <c r="V2" s="123">
        <v>-1</v>
      </c>
      <c r="W2" s="123">
        <v>19</v>
      </c>
      <c r="X2" s="123">
        <v>-2</v>
      </c>
      <c r="Y2" s="123">
        <v>200</v>
      </c>
      <c r="Z2" s="123">
        <v>15.3</v>
      </c>
      <c r="AA2" s="123">
        <v>28</v>
      </c>
      <c r="AB2" s="123" t="s">
        <v>95</v>
      </c>
      <c r="AC2" s="123" t="s">
        <v>95</v>
      </c>
      <c r="AD2" s="123">
        <v>1.7399999999999999E-2</v>
      </c>
      <c r="AE2" s="123">
        <v>1.2200000000000001E-2</v>
      </c>
      <c r="AF2" s="123" t="s">
        <v>95</v>
      </c>
      <c r="AG2" s="123" t="s">
        <v>95</v>
      </c>
      <c r="AH2" s="123">
        <v>0.3</v>
      </c>
      <c r="AI2" s="123">
        <v>6.5</v>
      </c>
      <c r="AJ2" s="123">
        <v>3.7</v>
      </c>
      <c r="AK2" s="123" t="s">
        <v>95</v>
      </c>
      <c r="AL2" s="123">
        <v>1.1499999999999999</v>
      </c>
      <c r="AM2" s="123">
        <v>1.06</v>
      </c>
      <c r="AN2" s="123">
        <v>1.17</v>
      </c>
      <c r="AO2" s="123">
        <v>0.746</v>
      </c>
      <c r="AP2" s="123">
        <v>0.58799999999999997</v>
      </c>
      <c r="AQ2" s="123">
        <v>0.876</v>
      </c>
      <c r="AR2" s="123">
        <v>0.22</v>
      </c>
      <c r="AS2" s="123">
        <v>0.192</v>
      </c>
      <c r="AT2" s="123">
        <v>0.245</v>
      </c>
      <c r="AU2" s="123">
        <v>-4</v>
      </c>
      <c r="AV2" s="123">
        <v>10</v>
      </c>
      <c r="AW2" s="123">
        <v>-0.01</v>
      </c>
      <c r="AX2" s="123">
        <v>-0.7</v>
      </c>
      <c r="AY2" s="123">
        <v>-0.5</v>
      </c>
      <c r="AZ2" s="123">
        <v>-35</v>
      </c>
      <c r="BA2" s="123">
        <v>-8</v>
      </c>
      <c r="BB2" s="123">
        <v>-2</v>
      </c>
      <c r="BC2" s="123">
        <v>-8</v>
      </c>
      <c r="BD2" s="123">
        <v>-0.01</v>
      </c>
      <c r="BE2" s="123">
        <v>-8</v>
      </c>
      <c r="BF2" s="123">
        <v>-0.01</v>
      </c>
      <c r="BG2" s="123">
        <v>0.6</v>
      </c>
      <c r="BH2" s="123" t="s">
        <v>94</v>
      </c>
      <c r="BI2" s="123">
        <v>-0.75</v>
      </c>
      <c r="BJ2" s="123" t="s">
        <v>95</v>
      </c>
      <c r="BK2" s="123" t="s">
        <v>95</v>
      </c>
      <c r="BL2" s="123" t="s">
        <v>95</v>
      </c>
      <c r="BM2" s="123" t="s">
        <v>93</v>
      </c>
      <c r="BN2" s="123" t="s">
        <v>544</v>
      </c>
      <c r="BO2" s="123" t="s">
        <v>95</v>
      </c>
      <c r="BP2" s="123">
        <v>28</v>
      </c>
      <c r="BQ2" s="123">
        <v>-1.7</v>
      </c>
      <c r="BR2" s="123">
        <v>22</v>
      </c>
      <c r="BS2" s="123">
        <v>1</v>
      </c>
      <c r="BT2" s="123">
        <v>1.6</v>
      </c>
      <c r="BU2" s="123" t="s">
        <v>95</v>
      </c>
      <c r="BV2" s="123" t="s">
        <v>545</v>
      </c>
      <c r="BW2" s="123" t="s">
        <v>95</v>
      </c>
      <c r="BX2" s="123" t="s">
        <v>95</v>
      </c>
      <c r="BY2" s="123">
        <v>42577</v>
      </c>
      <c r="BZ2" s="123">
        <v>42577</v>
      </c>
      <c r="CA2" s="123">
        <v>2561</v>
      </c>
      <c r="CB2" s="97">
        <v>0.187</v>
      </c>
    </row>
    <row r="3" spans="1:80" x14ac:dyDescent="0.25">
      <c r="A3" s="123" t="s">
        <v>546</v>
      </c>
      <c r="B3" s="123">
        <v>146</v>
      </c>
      <c r="C3" s="123" t="s">
        <v>93</v>
      </c>
      <c r="D3" s="123" t="s">
        <v>94</v>
      </c>
      <c r="E3" s="123" t="s">
        <v>95</v>
      </c>
      <c r="F3" s="123" t="s">
        <v>95</v>
      </c>
      <c r="G3" s="123" t="s">
        <v>103</v>
      </c>
      <c r="H3" s="123" t="s">
        <v>472</v>
      </c>
      <c r="I3" s="123">
        <v>1</v>
      </c>
      <c r="J3" s="123">
        <v>0</v>
      </c>
      <c r="K3" s="123" t="s">
        <v>95</v>
      </c>
      <c r="L3" s="123">
        <v>-8</v>
      </c>
      <c r="M3" s="123">
        <v>-6</v>
      </c>
      <c r="N3" s="123">
        <v>-5</v>
      </c>
      <c r="O3" s="123" t="s">
        <v>95</v>
      </c>
      <c r="P3" s="123">
        <v>150</v>
      </c>
      <c r="Q3" s="123">
        <v>1.7</v>
      </c>
      <c r="R3" s="123">
        <v>90</v>
      </c>
      <c r="S3" s="123" t="s">
        <v>95</v>
      </c>
      <c r="T3" s="123">
        <v>-0.45</v>
      </c>
      <c r="U3" s="123">
        <v>-0.95</v>
      </c>
      <c r="V3" s="123">
        <v>-1</v>
      </c>
      <c r="W3" s="123" t="s">
        <v>95</v>
      </c>
      <c r="X3" s="123" t="s">
        <v>95</v>
      </c>
      <c r="Y3" s="123" t="s">
        <v>95</v>
      </c>
      <c r="Z3" s="123">
        <v>18</v>
      </c>
      <c r="AA3" s="123">
        <v>300</v>
      </c>
      <c r="AB3" s="123" t="s">
        <v>95</v>
      </c>
      <c r="AC3" s="123" t="s">
        <v>95</v>
      </c>
      <c r="AD3" s="123">
        <v>1.4E-2</v>
      </c>
      <c r="AE3" s="123">
        <v>9.9000000000000008E-3</v>
      </c>
      <c r="AF3" s="123" t="s">
        <v>95</v>
      </c>
      <c r="AG3" s="123" t="s">
        <v>95</v>
      </c>
      <c r="AH3" s="123">
        <v>0.27</v>
      </c>
      <c r="AI3" s="123">
        <v>18.899999999999999</v>
      </c>
      <c r="AJ3" s="123">
        <v>10.8</v>
      </c>
      <c r="AK3" s="123" t="s">
        <v>95</v>
      </c>
      <c r="AL3" s="123">
        <v>0.92500000000000004</v>
      </c>
      <c r="AM3" s="123">
        <v>0.87</v>
      </c>
      <c r="AN3" s="123">
        <v>1.3</v>
      </c>
      <c r="AO3" s="123">
        <v>0.69</v>
      </c>
      <c r="AP3" s="123">
        <v>0.44500000000000001</v>
      </c>
      <c r="AQ3" s="123">
        <v>1.3</v>
      </c>
      <c r="AR3" s="123">
        <v>0.33</v>
      </c>
      <c r="AS3" s="123">
        <v>0.20399999999999999</v>
      </c>
      <c r="AT3" s="123">
        <v>0.55000000000000004</v>
      </c>
      <c r="AU3" s="123">
        <v>-4</v>
      </c>
      <c r="AV3" s="123">
        <v>10</v>
      </c>
      <c r="AW3" s="123">
        <v>-0.1</v>
      </c>
      <c r="AX3" s="123">
        <v>-7.7</v>
      </c>
      <c r="AY3" s="123">
        <v>-0.49</v>
      </c>
      <c r="AZ3" s="123">
        <v>-37</v>
      </c>
      <c r="BA3" s="123">
        <v>-1.1000000000000001</v>
      </c>
      <c r="BB3" s="123">
        <v>-37</v>
      </c>
      <c r="BC3" s="123">
        <v>-8</v>
      </c>
      <c r="BD3" s="123">
        <v>-2.2000000000000002</v>
      </c>
      <c r="BE3" s="123">
        <v>-8</v>
      </c>
      <c r="BF3" s="123">
        <v>-0.1</v>
      </c>
      <c r="BG3" s="123">
        <v>0.25</v>
      </c>
      <c r="BH3" s="123" t="s">
        <v>94</v>
      </c>
      <c r="BI3" s="123">
        <v>-0.7</v>
      </c>
      <c r="BJ3" s="123" t="s">
        <v>95</v>
      </c>
      <c r="BK3" s="123" t="s">
        <v>95</v>
      </c>
      <c r="BL3" s="123" t="s">
        <v>95</v>
      </c>
      <c r="BM3" s="123" t="s">
        <v>93</v>
      </c>
      <c r="BN3" s="123" t="s">
        <v>547</v>
      </c>
      <c r="BO3" s="123" t="s">
        <v>95</v>
      </c>
      <c r="BP3" s="123">
        <v>300</v>
      </c>
      <c r="BQ3" s="123">
        <v>-1.4</v>
      </c>
      <c r="BR3" s="123" t="s">
        <v>95</v>
      </c>
      <c r="BS3" s="123">
        <v>4.2</v>
      </c>
      <c r="BT3" s="123">
        <v>3.2</v>
      </c>
      <c r="BU3" s="123" t="s">
        <v>95</v>
      </c>
      <c r="BV3" s="123" t="s">
        <v>545</v>
      </c>
      <c r="BW3" s="123" t="s">
        <v>95</v>
      </c>
      <c r="BX3" s="123" t="s">
        <v>95</v>
      </c>
      <c r="BY3" s="123">
        <v>42577</v>
      </c>
      <c r="BZ3" s="123" t="s">
        <v>95</v>
      </c>
      <c r="CA3" s="123">
        <v>2598</v>
      </c>
      <c r="CB3" s="97">
        <v>0.155</v>
      </c>
    </row>
    <row r="4" spans="1:80" x14ac:dyDescent="0.25">
      <c r="A4" s="98" t="s">
        <v>548</v>
      </c>
      <c r="B4" s="124">
        <v>146</v>
      </c>
      <c r="C4" s="124" t="s">
        <v>95</v>
      </c>
      <c r="D4" s="124" t="s">
        <v>102</v>
      </c>
      <c r="E4" s="124" t="s">
        <v>95</v>
      </c>
      <c r="F4" s="124" t="s">
        <v>95</v>
      </c>
      <c r="G4" s="124" t="s">
        <v>400</v>
      </c>
      <c r="H4" s="124" t="s">
        <v>472</v>
      </c>
      <c r="I4" s="124">
        <v>1</v>
      </c>
      <c r="J4" s="124">
        <v>0</v>
      </c>
      <c r="K4" s="124" t="s">
        <v>95</v>
      </c>
      <c r="L4" s="124">
        <v>-8</v>
      </c>
      <c r="M4" s="124">
        <v>-6</v>
      </c>
      <c r="N4" s="124">
        <v>-7.4</v>
      </c>
      <c r="O4" s="124">
        <v>-71</v>
      </c>
      <c r="P4" s="124">
        <v>150</v>
      </c>
      <c r="Q4" s="124">
        <v>0.6</v>
      </c>
      <c r="R4" s="124">
        <v>90</v>
      </c>
      <c r="S4" s="124" t="s">
        <v>95</v>
      </c>
      <c r="T4" s="124">
        <v>-0.4</v>
      </c>
      <c r="U4" s="124">
        <v>-1.05</v>
      </c>
      <c r="V4" s="124">
        <v>-1</v>
      </c>
      <c r="W4" s="124" t="s">
        <v>95</v>
      </c>
      <c r="X4" s="124" t="s">
        <v>95</v>
      </c>
      <c r="Y4" s="124" t="s">
        <v>95</v>
      </c>
      <c r="Z4" s="124">
        <v>10.4</v>
      </c>
      <c r="AA4" s="124">
        <v>6.5</v>
      </c>
      <c r="AB4" s="124">
        <v>0.05</v>
      </c>
      <c r="AC4" s="124">
        <v>0.04</v>
      </c>
      <c r="AD4" s="124">
        <v>1.4999999999999999E-2</v>
      </c>
      <c r="AE4" s="124">
        <v>9.9000000000000008E-3</v>
      </c>
      <c r="AF4" s="124" t="s">
        <v>95</v>
      </c>
      <c r="AG4" s="124" t="s">
        <v>95</v>
      </c>
      <c r="AH4" s="124">
        <v>0.27</v>
      </c>
      <c r="AI4" s="124">
        <v>6.5</v>
      </c>
      <c r="AJ4" s="124">
        <v>3.8</v>
      </c>
      <c r="AK4" s="124" t="s">
        <v>95</v>
      </c>
      <c r="AL4" s="124">
        <v>1.1000000000000001</v>
      </c>
      <c r="AM4" s="124">
        <v>1.07</v>
      </c>
      <c r="AN4" s="124">
        <v>1.1599999999999999</v>
      </c>
      <c r="AO4" s="124">
        <v>0.68500000000000005</v>
      </c>
      <c r="AP4" s="124">
        <v>0.56000000000000005</v>
      </c>
      <c r="AQ4" s="124">
        <v>1.03</v>
      </c>
      <c r="AR4" s="124">
        <v>0.21099999999999999</v>
      </c>
      <c r="AS4" s="124">
        <v>0.19</v>
      </c>
      <c r="AT4" s="124">
        <v>0.26300000000000001</v>
      </c>
      <c r="AU4" s="124">
        <v>-4</v>
      </c>
      <c r="AV4" s="124" t="s">
        <v>95</v>
      </c>
      <c r="AW4" s="124" t="s">
        <v>95</v>
      </c>
      <c r="AX4" s="124" t="s">
        <v>95</v>
      </c>
      <c r="AY4" s="124" t="s">
        <v>95</v>
      </c>
      <c r="AZ4" s="124" t="s">
        <v>95</v>
      </c>
      <c r="BA4" s="124" t="s">
        <v>95</v>
      </c>
      <c r="BB4" s="124" t="s">
        <v>95</v>
      </c>
      <c r="BC4" s="124" t="s">
        <v>95</v>
      </c>
      <c r="BD4" s="124" t="s">
        <v>95</v>
      </c>
      <c r="BE4" s="124" t="s">
        <v>95</v>
      </c>
      <c r="BF4" s="124" t="s">
        <v>95</v>
      </c>
      <c r="BG4" s="124" t="s">
        <v>95</v>
      </c>
      <c r="BH4" s="124" t="s">
        <v>95</v>
      </c>
      <c r="BI4" s="124">
        <v>-0.68</v>
      </c>
      <c r="BJ4" s="124" t="s">
        <v>95</v>
      </c>
      <c r="BK4" s="124" t="s">
        <v>95</v>
      </c>
      <c r="BL4" s="124" t="s">
        <v>95</v>
      </c>
      <c r="BM4" s="124" t="s">
        <v>93</v>
      </c>
      <c r="BN4" s="125" t="s">
        <v>549</v>
      </c>
      <c r="BO4" s="124" t="s">
        <v>95</v>
      </c>
      <c r="BP4" s="124">
        <v>8.5</v>
      </c>
      <c r="BQ4" s="124">
        <v>1.4</v>
      </c>
      <c r="BR4" s="124">
        <v>16</v>
      </c>
      <c r="BS4" s="124">
        <v>1</v>
      </c>
      <c r="BT4" s="124">
        <v>1.2</v>
      </c>
      <c r="BU4" s="124" t="s">
        <v>95</v>
      </c>
      <c r="BV4" s="124" t="s">
        <v>550</v>
      </c>
      <c r="BW4" s="124" t="s">
        <v>95</v>
      </c>
      <c r="BX4" s="124" t="s">
        <v>95</v>
      </c>
      <c r="BY4" s="124">
        <v>43781</v>
      </c>
      <c r="BZ4" s="124" t="s">
        <v>95</v>
      </c>
      <c r="CA4" s="124" t="s">
        <v>95</v>
      </c>
      <c r="CB4" s="98">
        <v>0.11700000000000001</v>
      </c>
    </row>
    <row r="5" spans="1:80" x14ac:dyDescent="0.25">
      <c r="A5" s="98" t="s">
        <v>551</v>
      </c>
      <c r="B5" s="124">
        <v>146</v>
      </c>
      <c r="C5" s="124" t="s">
        <v>95</v>
      </c>
      <c r="D5" s="124" t="s">
        <v>102</v>
      </c>
      <c r="E5" s="124" t="s">
        <v>95</v>
      </c>
      <c r="F5" s="124" t="s">
        <v>95</v>
      </c>
      <c r="G5" s="124" t="s">
        <v>400</v>
      </c>
      <c r="H5" s="124" t="s">
        <v>472</v>
      </c>
      <c r="I5" s="124">
        <v>1</v>
      </c>
      <c r="J5" s="124">
        <v>0</v>
      </c>
      <c r="K5" s="124" t="s">
        <v>95</v>
      </c>
      <c r="L5" s="124">
        <v>-8</v>
      </c>
      <c r="M5" s="124">
        <v>-6</v>
      </c>
      <c r="N5" s="124">
        <v>-5</v>
      </c>
      <c r="O5" s="124">
        <v>-108</v>
      </c>
      <c r="P5" s="124">
        <v>150</v>
      </c>
      <c r="Q5" s="124">
        <v>1.7</v>
      </c>
      <c r="R5" s="124">
        <v>75</v>
      </c>
      <c r="S5" s="124" t="s">
        <v>95</v>
      </c>
      <c r="T5" s="124">
        <v>-0.4</v>
      </c>
      <c r="U5" s="124">
        <v>-1.05</v>
      </c>
      <c r="V5" s="124">
        <v>-1</v>
      </c>
      <c r="W5" s="124" t="s">
        <v>95</v>
      </c>
      <c r="X5" s="124" t="s">
        <v>95</v>
      </c>
      <c r="Y5" s="124" t="s">
        <v>95</v>
      </c>
      <c r="Z5" s="124">
        <v>20</v>
      </c>
      <c r="AA5" s="124">
        <v>30</v>
      </c>
      <c r="AB5" s="124" t="s">
        <v>95</v>
      </c>
      <c r="AC5" s="124" t="s">
        <v>95</v>
      </c>
      <c r="AD5" s="124">
        <v>9.1000000000000004E-3</v>
      </c>
      <c r="AE5" s="124">
        <v>5.7000000000000002E-3</v>
      </c>
      <c r="AF5" s="124" t="s">
        <v>95</v>
      </c>
      <c r="AG5" s="124" t="s">
        <v>95</v>
      </c>
      <c r="AH5" s="124">
        <v>0.28999999999999998</v>
      </c>
      <c r="AI5" s="124">
        <v>11.2</v>
      </c>
      <c r="AJ5" s="124">
        <v>6.9</v>
      </c>
      <c r="AK5" s="124" t="s">
        <v>95</v>
      </c>
      <c r="AL5" s="124">
        <v>1.86</v>
      </c>
      <c r="AM5" s="124">
        <v>1.75</v>
      </c>
      <c r="AN5" s="124">
        <v>1.97</v>
      </c>
      <c r="AO5" s="124">
        <v>1.18</v>
      </c>
      <c r="AP5" s="124">
        <v>0.96</v>
      </c>
      <c r="AQ5" s="124">
        <v>1.67</v>
      </c>
      <c r="AR5" s="124">
        <v>0.375</v>
      </c>
      <c r="AS5" s="124">
        <v>0.34</v>
      </c>
      <c r="AT5" s="124">
        <v>0.47099999999999997</v>
      </c>
      <c r="AU5" s="124">
        <v>-4</v>
      </c>
      <c r="AV5" s="124" t="s">
        <v>95</v>
      </c>
      <c r="AW5" s="124" t="s">
        <v>95</v>
      </c>
      <c r="AX5" s="124" t="s">
        <v>95</v>
      </c>
      <c r="AY5" s="124" t="s">
        <v>95</v>
      </c>
      <c r="AZ5" s="124" t="s">
        <v>95</v>
      </c>
      <c r="BA5" s="124" t="s">
        <v>95</v>
      </c>
      <c r="BB5" s="124" t="s">
        <v>95</v>
      </c>
      <c r="BC5" s="124" t="s">
        <v>95</v>
      </c>
      <c r="BD5" s="124" t="s">
        <v>95</v>
      </c>
      <c r="BE5" s="124" t="s">
        <v>95</v>
      </c>
      <c r="BF5" s="124" t="s">
        <v>95</v>
      </c>
      <c r="BG5" s="124" t="s">
        <v>95</v>
      </c>
      <c r="BH5" s="124" t="s">
        <v>95</v>
      </c>
      <c r="BI5" s="124">
        <v>-0.69</v>
      </c>
      <c r="BJ5" s="124" t="s">
        <v>95</v>
      </c>
      <c r="BK5" s="124" t="s">
        <v>95</v>
      </c>
      <c r="BL5" s="124" t="s">
        <v>95</v>
      </c>
      <c r="BM5" s="124" t="s">
        <v>93</v>
      </c>
      <c r="BN5" s="125" t="s">
        <v>552</v>
      </c>
      <c r="BO5" s="124" t="s">
        <v>95</v>
      </c>
      <c r="BP5" s="124">
        <v>30</v>
      </c>
      <c r="BQ5" s="124">
        <v>1.3</v>
      </c>
      <c r="BR5" s="124">
        <v>24</v>
      </c>
      <c r="BS5" s="124">
        <v>1.8</v>
      </c>
      <c r="BT5" s="124">
        <v>2.1</v>
      </c>
      <c r="BU5" s="124" t="s">
        <v>95</v>
      </c>
      <c r="BV5" s="124" t="s">
        <v>545</v>
      </c>
      <c r="BW5" s="124" t="s">
        <v>95</v>
      </c>
      <c r="BX5" s="124" t="s">
        <v>95</v>
      </c>
      <c r="BY5" s="124">
        <v>43781</v>
      </c>
      <c r="BZ5" s="124" t="s">
        <v>95</v>
      </c>
      <c r="CA5" s="124" t="s">
        <v>95</v>
      </c>
      <c r="CB5" s="98">
        <v>0.19600000000000001</v>
      </c>
    </row>
    <row r="6" spans="1:80" x14ac:dyDescent="0.25">
      <c r="A6" s="123" t="s">
        <v>553</v>
      </c>
      <c r="B6" s="123">
        <v>146</v>
      </c>
      <c r="C6" s="123" t="s">
        <v>93</v>
      </c>
      <c r="D6" s="123" t="s">
        <v>94</v>
      </c>
      <c r="E6" s="123" t="s">
        <v>95</v>
      </c>
      <c r="F6" s="123" t="s">
        <v>95</v>
      </c>
      <c r="G6" s="123" t="s">
        <v>208</v>
      </c>
      <c r="H6" s="123" t="s">
        <v>472</v>
      </c>
      <c r="I6" s="123">
        <v>1</v>
      </c>
      <c r="J6" s="123">
        <v>0</v>
      </c>
      <c r="K6" s="123" t="s">
        <v>95</v>
      </c>
      <c r="L6" s="123">
        <v>-12</v>
      </c>
      <c r="M6" s="123">
        <v>-6</v>
      </c>
      <c r="N6" s="123">
        <v>-2.2000000000000002</v>
      </c>
      <c r="O6" s="123">
        <v>-25</v>
      </c>
      <c r="P6" s="123">
        <v>150</v>
      </c>
      <c r="Q6" s="123">
        <v>1</v>
      </c>
      <c r="R6" s="123">
        <v>90</v>
      </c>
      <c r="S6" s="123" t="s">
        <v>95</v>
      </c>
      <c r="T6" s="123">
        <v>-0.4</v>
      </c>
      <c r="U6" s="123">
        <v>-0.9</v>
      </c>
      <c r="V6" s="123">
        <v>-1</v>
      </c>
      <c r="W6" s="123">
        <v>12</v>
      </c>
      <c r="X6" s="123">
        <v>-0.5</v>
      </c>
      <c r="Y6" s="123">
        <v>100</v>
      </c>
      <c r="Z6" s="123">
        <v>5.6</v>
      </c>
      <c r="AA6" s="123">
        <v>56</v>
      </c>
      <c r="AB6" s="123">
        <v>0.123</v>
      </c>
      <c r="AC6" s="123">
        <v>9.1999999999999998E-2</v>
      </c>
      <c r="AD6" s="123">
        <v>6.6000000000000003E-2</v>
      </c>
      <c r="AE6" s="123">
        <v>5.2999999999999999E-2</v>
      </c>
      <c r="AF6" s="123" t="s">
        <v>95</v>
      </c>
      <c r="AG6" s="123" t="s">
        <v>95</v>
      </c>
      <c r="AH6" s="123">
        <v>0.31</v>
      </c>
      <c r="AI6" s="123">
        <v>2.9</v>
      </c>
      <c r="AJ6" s="123">
        <v>1.66</v>
      </c>
      <c r="AK6" s="123" t="s">
        <v>95</v>
      </c>
      <c r="AL6" s="123">
        <v>0.41099999999999998</v>
      </c>
      <c r="AM6" s="123">
        <v>0.39400000000000002</v>
      </c>
      <c r="AN6" s="123">
        <v>0.432</v>
      </c>
      <c r="AO6" s="123">
        <v>0.312</v>
      </c>
      <c r="AP6" s="123">
        <v>0.23799999999999999</v>
      </c>
      <c r="AQ6" s="123">
        <v>0.34899999999999998</v>
      </c>
      <c r="AR6" s="123">
        <v>4.7500000000000001E-2</v>
      </c>
      <c r="AS6" s="123">
        <v>2.9000000000000001E-2</v>
      </c>
      <c r="AT6" s="123">
        <v>5.9900000000000002E-2</v>
      </c>
      <c r="AU6" s="123">
        <v>-6</v>
      </c>
      <c r="AV6" s="123">
        <v>10</v>
      </c>
      <c r="AW6" s="123">
        <v>-0.1</v>
      </c>
      <c r="AX6" s="123">
        <v>-1.4</v>
      </c>
      <c r="AY6" s="123">
        <v>-1.48</v>
      </c>
      <c r="AZ6" s="123">
        <v>-20.6</v>
      </c>
      <c r="BA6" s="123">
        <v>-3.04</v>
      </c>
      <c r="BB6" s="123">
        <v>-10</v>
      </c>
      <c r="BC6" s="123">
        <v>-12</v>
      </c>
      <c r="BD6" s="123">
        <v>-2.0699999999999998</v>
      </c>
      <c r="BE6" s="123">
        <v>-12</v>
      </c>
      <c r="BF6" s="123">
        <v>-0.1</v>
      </c>
      <c r="BG6" s="123">
        <v>1.45</v>
      </c>
      <c r="BH6" s="123" t="s">
        <v>94</v>
      </c>
      <c r="BI6" s="123">
        <v>-0.66</v>
      </c>
      <c r="BJ6" s="123" t="s">
        <v>95</v>
      </c>
      <c r="BK6" s="123" t="s">
        <v>95</v>
      </c>
      <c r="BL6" s="123" t="s">
        <v>95</v>
      </c>
      <c r="BM6" s="123" t="s">
        <v>93</v>
      </c>
      <c r="BN6" s="123" t="s">
        <v>554</v>
      </c>
      <c r="BO6" s="123" t="s">
        <v>95</v>
      </c>
      <c r="BP6" s="123">
        <v>0</v>
      </c>
      <c r="BQ6" s="123">
        <v>-1</v>
      </c>
      <c r="BR6" s="123">
        <v>3.7</v>
      </c>
      <c r="BS6" s="123">
        <v>0.28000000000000003</v>
      </c>
      <c r="BT6" s="123">
        <v>0.55000000000000004</v>
      </c>
      <c r="BU6" s="123" t="s">
        <v>95</v>
      </c>
      <c r="BV6" s="123" t="s">
        <v>506</v>
      </c>
      <c r="BW6" s="123" t="s">
        <v>95</v>
      </c>
      <c r="BX6" s="123" t="s">
        <v>95</v>
      </c>
      <c r="BY6" s="123">
        <v>42577</v>
      </c>
      <c r="BZ6" s="123">
        <v>42577</v>
      </c>
      <c r="CA6" s="123">
        <v>2563</v>
      </c>
      <c r="CB6" s="97">
        <v>0.09</v>
      </c>
    </row>
    <row r="7" spans="1:80" x14ac:dyDescent="0.25">
      <c r="A7" s="123" t="s">
        <v>555</v>
      </c>
      <c r="B7" s="123">
        <v>146</v>
      </c>
      <c r="C7" s="123" t="s">
        <v>93</v>
      </c>
      <c r="D7" s="123" t="s">
        <v>94</v>
      </c>
      <c r="E7" s="123" t="s">
        <v>95</v>
      </c>
      <c r="F7" s="123" t="s">
        <v>95</v>
      </c>
      <c r="G7" s="123" t="s">
        <v>103</v>
      </c>
      <c r="H7" s="123" t="s">
        <v>472</v>
      </c>
      <c r="I7" s="123">
        <v>1</v>
      </c>
      <c r="J7" s="123">
        <v>0</v>
      </c>
      <c r="K7" s="123" t="s">
        <v>95</v>
      </c>
      <c r="L7" s="123">
        <v>-8</v>
      </c>
      <c r="M7" s="123">
        <v>-6</v>
      </c>
      <c r="N7" s="123">
        <v>-3</v>
      </c>
      <c r="O7" s="123">
        <v>-54</v>
      </c>
      <c r="P7" s="123">
        <v>150</v>
      </c>
      <c r="Q7" s="123">
        <v>0.75</v>
      </c>
      <c r="R7" s="123">
        <v>90</v>
      </c>
      <c r="S7" s="123" t="s">
        <v>95</v>
      </c>
      <c r="T7" s="123">
        <v>-0.6</v>
      </c>
      <c r="U7" s="123">
        <v>-1.1000000000000001</v>
      </c>
      <c r="V7" s="123">
        <v>-1</v>
      </c>
      <c r="W7" s="123">
        <v>21</v>
      </c>
      <c r="X7" s="123">
        <v>-1.5</v>
      </c>
      <c r="Y7" s="123">
        <v>100</v>
      </c>
      <c r="Z7" s="123">
        <v>14</v>
      </c>
      <c r="AA7" s="123">
        <v>10</v>
      </c>
      <c r="AB7" s="123" t="s">
        <v>95</v>
      </c>
      <c r="AC7" s="123">
        <v>5.2999999999999999E-2</v>
      </c>
      <c r="AD7" s="123">
        <v>2.6499999999999999E-2</v>
      </c>
      <c r="AE7" s="123">
        <v>1.9400000000000001E-2</v>
      </c>
      <c r="AF7" s="123" t="s">
        <v>95</v>
      </c>
      <c r="AG7" s="123" t="s">
        <v>95</v>
      </c>
      <c r="AH7" s="123">
        <v>0.28000000000000003</v>
      </c>
      <c r="AI7" s="123">
        <v>4.9000000000000004</v>
      </c>
      <c r="AJ7" s="123">
        <v>2.8</v>
      </c>
      <c r="AK7" s="123" t="s">
        <v>95</v>
      </c>
      <c r="AL7" s="123">
        <v>0.73599999999999999</v>
      </c>
      <c r="AM7" s="123">
        <v>0.70299999999999996</v>
      </c>
      <c r="AN7" s="123">
        <v>0.76100000000000001</v>
      </c>
      <c r="AO7" s="123">
        <v>0.48</v>
      </c>
      <c r="AP7" s="123">
        <v>0.39100000000000001</v>
      </c>
      <c r="AQ7" s="123">
        <v>0.54200000000000004</v>
      </c>
      <c r="AR7" s="123">
        <v>0.14699999999999999</v>
      </c>
      <c r="AS7" s="123">
        <v>0.13300000000000001</v>
      </c>
      <c r="AT7" s="123">
        <v>0.16300000000000001</v>
      </c>
      <c r="AU7" s="123">
        <v>-4</v>
      </c>
      <c r="AV7" s="123">
        <v>10</v>
      </c>
      <c r="AW7" s="123">
        <v>-0.1</v>
      </c>
      <c r="AX7" s="123">
        <v>-4.0199999999999996</v>
      </c>
      <c r="AY7" s="123">
        <v>-0.61</v>
      </c>
      <c r="AZ7" s="123">
        <v>-24.6</v>
      </c>
      <c r="BA7" s="123">
        <v>-1.3</v>
      </c>
      <c r="BB7" s="123">
        <v>-24.6</v>
      </c>
      <c r="BC7" s="123">
        <v>-8</v>
      </c>
      <c r="BD7" s="123">
        <v>-3.3</v>
      </c>
      <c r="BE7" s="123">
        <v>-8</v>
      </c>
      <c r="BF7" s="123">
        <v>-0.1</v>
      </c>
      <c r="BG7" s="123">
        <v>0.91</v>
      </c>
      <c r="BH7" s="123" t="s">
        <v>94</v>
      </c>
      <c r="BI7" s="123">
        <v>-0.75</v>
      </c>
      <c r="BJ7" s="123" t="s">
        <v>95</v>
      </c>
      <c r="BK7" s="123" t="s">
        <v>95</v>
      </c>
      <c r="BL7" s="123" t="s">
        <v>95</v>
      </c>
      <c r="BM7" s="123" t="s">
        <v>93</v>
      </c>
      <c r="BN7" s="123" t="s">
        <v>556</v>
      </c>
      <c r="BO7" s="123" t="s">
        <v>95</v>
      </c>
      <c r="BP7" s="123">
        <v>10</v>
      </c>
      <c r="BQ7" s="123">
        <v>-1.4</v>
      </c>
      <c r="BR7" s="123">
        <v>6.1</v>
      </c>
      <c r="BS7" s="123">
        <v>0.6</v>
      </c>
      <c r="BT7" s="123">
        <v>1.3</v>
      </c>
      <c r="BU7" s="123" t="s">
        <v>95</v>
      </c>
      <c r="BV7" s="123" t="s">
        <v>514</v>
      </c>
      <c r="BW7" s="123" t="s">
        <v>95</v>
      </c>
      <c r="BX7" s="123" t="s">
        <v>95</v>
      </c>
      <c r="BY7" s="123">
        <v>42577</v>
      </c>
      <c r="BZ7" s="123" t="s">
        <v>95</v>
      </c>
      <c r="CA7" s="123">
        <v>2599</v>
      </c>
      <c r="CB7" s="97">
        <v>0.11700000000000001</v>
      </c>
    </row>
    <row r="8" spans="1:80" x14ac:dyDescent="0.25">
      <c r="A8" s="123" t="s">
        <v>557</v>
      </c>
      <c r="B8" s="123">
        <v>146</v>
      </c>
      <c r="C8" s="123" t="s">
        <v>95</v>
      </c>
      <c r="D8" s="123" t="s">
        <v>102</v>
      </c>
      <c r="E8" s="123" t="s">
        <v>558</v>
      </c>
      <c r="F8" s="123" t="s">
        <v>483</v>
      </c>
      <c r="G8" s="123" t="s">
        <v>559</v>
      </c>
      <c r="H8" s="123" t="s">
        <v>472</v>
      </c>
      <c r="I8" s="123">
        <v>1</v>
      </c>
      <c r="J8" s="123">
        <v>0</v>
      </c>
      <c r="K8" s="123">
        <v>1</v>
      </c>
      <c r="L8" s="123">
        <v>-12</v>
      </c>
      <c r="M8" s="123">
        <v>-6</v>
      </c>
      <c r="N8" s="123">
        <v>1.8</v>
      </c>
      <c r="O8" s="123">
        <v>11.4</v>
      </c>
      <c r="P8" s="123">
        <v>150</v>
      </c>
      <c r="Q8" s="123">
        <v>0.5</v>
      </c>
      <c r="R8" s="123">
        <v>90</v>
      </c>
      <c r="S8" s="123" t="s">
        <v>95</v>
      </c>
      <c r="T8" s="123">
        <v>-0.4</v>
      </c>
      <c r="U8" s="123">
        <v>-0.95</v>
      </c>
      <c r="V8" s="123" t="s">
        <v>95</v>
      </c>
      <c r="W8" s="123" t="s">
        <v>95</v>
      </c>
      <c r="X8" s="123" t="s">
        <v>95</v>
      </c>
      <c r="Y8" s="123" t="s">
        <v>95</v>
      </c>
      <c r="Z8" s="123">
        <v>3</v>
      </c>
      <c r="AA8" s="123">
        <v>9</v>
      </c>
      <c r="AB8" s="123">
        <v>0.39900000000000002</v>
      </c>
      <c r="AC8" s="123">
        <v>0.25</v>
      </c>
      <c r="AD8" s="123">
        <v>0.16500000000000001</v>
      </c>
      <c r="AE8" s="123">
        <v>0.11600000000000001</v>
      </c>
      <c r="AF8" s="123" t="s">
        <v>95</v>
      </c>
      <c r="AG8" s="123" t="s">
        <v>95</v>
      </c>
      <c r="AH8" s="123">
        <v>0.31</v>
      </c>
      <c r="AI8" s="123">
        <v>0.95</v>
      </c>
      <c r="AJ8" s="123" t="s">
        <v>95</v>
      </c>
      <c r="AK8" s="123" t="s">
        <v>95</v>
      </c>
      <c r="AL8" s="123" t="s">
        <v>95</v>
      </c>
      <c r="AM8" s="123" t="s">
        <v>95</v>
      </c>
      <c r="AN8" s="123">
        <v>234</v>
      </c>
      <c r="AO8" s="123" t="s">
        <v>95</v>
      </c>
      <c r="AP8" s="123" t="s">
        <v>95</v>
      </c>
      <c r="AQ8" s="123">
        <v>95</v>
      </c>
      <c r="AR8" s="123" t="s">
        <v>95</v>
      </c>
      <c r="AS8" s="123" t="s">
        <v>95</v>
      </c>
      <c r="AT8" s="123">
        <v>11.1</v>
      </c>
      <c r="AU8" s="123" t="s">
        <v>95</v>
      </c>
      <c r="AV8" s="123" t="s">
        <v>95</v>
      </c>
      <c r="AW8" s="123" t="s">
        <v>95</v>
      </c>
      <c r="AX8" s="123" t="s">
        <v>95</v>
      </c>
      <c r="AY8" s="123" t="s">
        <v>95</v>
      </c>
      <c r="AZ8" s="123" t="s">
        <v>95</v>
      </c>
      <c r="BA8" s="123" t="s">
        <v>95</v>
      </c>
      <c r="BB8" s="123" t="s">
        <v>95</v>
      </c>
      <c r="BC8" s="123" t="s">
        <v>95</v>
      </c>
      <c r="BD8" s="123" t="s">
        <v>95</v>
      </c>
      <c r="BE8" s="123" t="s">
        <v>95</v>
      </c>
      <c r="BF8" s="123" t="s">
        <v>95</v>
      </c>
      <c r="BG8" s="123" t="s">
        <v>95</v>
      </c>
      <c r="BH8" s="123" t="s">
        <v>95</v>
      </c>
      <c r="BI8" s="123" t="s">
        <v>95</v>
      </c>
      <c r="BJ8" s="123" t="s">
        <v>95</v>
      </c>
      <c r="BK8" s="123" t="s">
        <v>95</v>
      </c>
      <c r="BL8" s="123" t="s">
        <v>95</v>
      </c>
      <c r="BM8" s="123" t="s">
        <v>93</v>
      </c>
      <c r="BN8" s="123" t="s">
        <v>560</v>
      </c>
      <c r="BO8" s="123" t="s">
        <v>95</v>
      </c>
      <c r="BP8" s="123" t="s">
        <v>95</v>
      </c>
      <c r="BQ8" s="123" t="s">
        <v>95</v>
      </c>
      <c r="BR8" s="123" t="s">
        <v>95</v>
      </c>
      <c r="BS8" s="123">
        <v>6.8000000000000005E-2</v>
      </c>
      <c r="BT8" s="123">
        <v>0.3</v>
      </c>
      <c r="BU8" s="123" t="s">
        <v>95</v>
      </c>
      <c r="BV8" s="123" t="s">
        <v>486</v>
      </c>
      <c r="BW8" s="123" t="s">
        <v>94</v>
      </c>
      <c r="BX8" s="123" t="s">
        <v>95</v>
      </c>
      <c r="BY8" s="123">
        <v>42478</v>
      </c>
      <c r="BZ8" s="123" t="s">
        <v>95</v>
      </c>
      <c r="CA8" s="123">
        <v>2239</v>
      </c>
      <c r="CB8" s="97">
        <v>0.04</v>
      </c>
    </row>
    <row r="9" spans="1:80" x14ac:dyDescent="0.25">
      <c r="A9" s="98" t="s">
        <v>561</v>
      </c>
      <c r="B9" s="124">
        <v>146</v>
      </c>
      <c r="C9" s="124" t="s">
        <v>95</v>
      </c>
      <c r="D9" s="124" t="s">
        <v>102</v>
      </c>
      <c r="E9" s="124" t="s">
        <v>95</v>
      </c>
      <c r="F9" s="124" t="s">
        <v>95</v>
      </c>
      <c r="G9" s="124" t="s">
        <v>400</v>
      </c>
      <c r="H9" s="124" t="s">
        <v>472</v>
      </c>
      <c r="I9" s="124">
        <v>1</v>
      </c>
      <c r="J9" s="124">
        <v>0</v>
      </c>
      <c r="K9" s="124" t="s">
        <v>95</v>
      </c>
      <c r="L9" s="124">
        <v>-12</v>
      </c>
      <c r="M9" s="124">
        <v>-6</v>
      </c>
      <c r="N9" s="124">
        <v>-5.4</v>
      </c>
      <c r="O9" s="124">
        <v>-31</v>
      </c>
      <c r="P9" s="124">
        <v>150</v>
      </c>
      <c r="Q9" s="124">
        <v>1.4</v>
      </c>
      <c r="R9" s="124">
        <v>90</v>
      </c>
      <c r="S9" s="124" t="s">
        <v>95</v>
      </c>
      <c r="T9" s="124">
        <v>-0.4</v>
      </c>
      <c r="U9" s="124">
        <v>-0.95</v>
      </c>
      <c r="V9" s="124">
        <v>-1</v>
      </c>
      <c r="W9" s="124" t="s">
        <v>95</v>
      </c>
      <c r="X9" s="124" t="s">
        <v>95</v>
      </c>
      <c r="Y9" s="124" t="s">
        <v>95</v>
      </c>
      <c r="Z9" s="124">
        <v>8.9</v>
      </c>
      <c r="AA9" s="124">
        <v>17</v>
      </c>
      <c r="AB9" s="124">
        <v>0.13</v>
      </c>
      <c r="AC9" s="124">
        <v>0.08</v>
      </c>
      <c r="AD9" s="124">
        <v>4.7E-2</v>
      </c>
      <c r="AE9" s="124">
        <v>3.5000000000000003E-2</v>
      </c>
      <c r="AF9" s="124" t="s">
        <v>95</v>
      </c>
      <c r="AG9" s="124" t="s">
        <v>95</v>
      </c>
      <c r="AH9" s="124">
        <v>0.35</v>
      </c>
      <c r="AI9" s="124">
        <v>3.2</v>
      </c>
      <c r="AJ9" s="124">
        <v>1.8</v>
      </c>
      <c r="AK9" s="124" t="s">
        <v>95</v>
      </c>
      <c r="AL9" s="124">
        <v>0.50700000000000001</v>
      </c>
      <c r="AM9" s="124">
        <v>0.48299999999999998</v>
      </c>
      <c r="AN9" s="124">
        <v>0.53400000000000003</v>
      </c>
      <c r="AO9" s="124">
        <v>0.41699999999999998</v>
      </c>
      <c r="AP9" s="124">
        <v>0.30499999999999999</v>
      </c>
      <c r="AQ9" s="124">
        <v>0.72499999999999998</v>
      </c>
      <c r="AR9" s="124">
        <v>6.0499999999999998E-2</v>
      </c>
      <c r="AS9" s="124">
        <v>3.6999999999999998E-2</v>
      </c>
      <c r="AT9" s="124">
        <v>8.8400000000000006E-2</v>
      </c>
      <c r="AU9" s="124">
        <v>-6</v>
      </c>
      <c r="AV9" s="124" t="s">
        <v>95</v>
      </c>
      <c r="AW9" s="124" t="s">
        <v>95</v>
      </c>
      <c r="AX9" s="124" t="s">
        <v>95</v>
      </c>
      <c r="AY9" s="124" t="s">
        <v>95</v>
      </c>
      <c r="AZ9" s="124" t="s">
        <v>95</v>
      </c>
      <c r="BA9" s="124" t="s">
        <v>95</v>
      </c>
      <c r="BB9" s="124" t="s">
        <v>95</v>
      </c>
      <c r="BC9" s="124" t="s">
        <v>95</v>
      </c>
      <c r="BD9" s="124" t="s">
        <v>95</v>
      </c>
      <c r="BE9" s="124" t="s">
        <v>95</v>
      </c>
      <c r="BF9" s="124" t="s">
        <v>95</v>
      </c>
      <c r="BG9" s="124" t="s">
        <v>95</v>
      </c>
      <c r="BH9" s="124" t="s">
        <v>95</v>
      </c>
      <c r="BI9" s="124">
        <v>-0.73</v>
      </c>
      <c r="BJ9" s="124" t="s">
        <v>95</v>
      </c>
      <c r="BK9" s="124" t="s">
        <v>95</v>
      </c>
      <c r="BL9" s="124" t="s">
        <v>95</v>
      </c>
      <c r="BM9" s="124" t="s">
        <v>93</v>
      </c>
      <c r="BN9" s="125" t="s">
        <v>562</v>
      </c>
      <c r="BO9" s="124" t="s">
        <v>95</v>
      </c>
      <c r="BP9" s="124">
        <v>17</v>
      </c>
      <c r="BQ9" s="124">
        <v>1.3</v>
      </c>
      <c r="BR9" s="124" t="s">
        <v>95</v>
      </c>
      <c r="BS9" s="124">
        <v>0.48</v>
      </c>
      <c r="BT9" s="124">
        <v>0.66</v>
      </c>
      <c r="BU9" s="124" t="s">
        <v>95</v>
      </c>
      <c r="BV9" s="124" t="s">
        <v>563</v>
      </c>
      <c r="BW9" s="124" t="s">
        <v>95</v>
      </c>
      <c r="BX9" s="124" t="s">
        <v>95</v>
      </c>
      <c r="BY9" s="124">
        <v>43781</v>
      </c>
      <c r="BZ9" s="124" t="s">
        <v>95</v>
      </c>
      <c r="CA9" s="124" t="s">
        <v>95</v>
      </c>
      <c r="CB9" s="98">
        <v>8.6999999999999994E-2</v>
      </c>
    </row>
    <row r="10" spans="1:80" x14ac:dyDescent="0.25">
      <c r="A10" s="123" t="s">
        <v>564</v>
      </c>
      <c r="B10" s="123">
        <v>146</v>
      </c>
      <c r="C10" s="123" t="s">
        <v>93</v>
      </c>
      <c r="D10" s="123" t="s">
        <v>94</v>
      </c>
      <c r="E10" s="123" t="s">
        <v>95</v>
      </c>
      <c r="F10" s="123" t="s">
        <v>95</v>
      </c>
      <c r="G10" s="123" t="s">
        <v>208</v>
      </c>
      <c r="H10" s="123" t="s">
        <v>472</v>
      </c>
      <c r="I10" s="123">
        <v>1</v>
      </c>
      <c r="J10" s="123">
        <v>0</v>
      </c>
      <c r="K10" s="123" t="s">
        <v>95</v>
      </c>
      <c r="L10" s="123">
        <v>-12</v>
      </c>
      <c r="M10" s="123">
        <v>-8</v>
      </c>
      <c r="N10" s="123">
        <v>-2.2999999999999998</v>
      </c>
      <c r="O10" s="123">
        <v>-9</v>
      </c>
      <c r="P10" s="123">
        <v>150</v>
      </c>
      <c r="Q10" s="123">
        <v>0.5</v>
      </c>
      <c r="R10" s="123">
        <v>110</v>
      </c>
      <c r="S10" s="123" t="s">
        <v>95</v>
      </c>
      <c r="T10" s="123">
        <v>-1.7</v>
      </c>
      <c r="U10" s="123">
        <v>-1.2</v>
      </c>
      <c r="V10" s="123">
        <v>-1</v>
      </c>
      <c r="W10" s="123">
        <v>7.9</v>
      </c>
      <c r="X10" s="123">
        <v>-0.5</v>
      </c>
      <c r="Y10" s="123">
        <v>100</v>
      </c>
      <c r="Z10" s="123">
        <v>2</v>
      </c>
      <c r="AA10" s="123">
        <v>20</v>
      </c>
      <c r="AB10" s="123" t="s">
        <v>95</v>
      </c>
      <c r="AC10" s="123">
        <v>0.97</v>
      </c>
      <c r="AD10" s="123">
        <v>0.3</v>
      </c>
      <c r="AE10" s="123">
        <v>0.17499999999999999</v>
      </c>
      <c r="AF10" s="123" t="s">
        <v>95</v>
      </c>
      <c r="AG10" s="123" t="s">
        <v>95</v>
      </c>
      <c r="AH10" s="123">
        <v>0.34</v>
      </c>
      <c r="AI10" s="123">
        <v>1.1399999999999999</v>
      </c>
      <c r="AJ10" s="123">
        <v>0.6</v>
      </c>
      <c r="AK10" s="123" t="s">
        <v>95</v>
      </c>
      <c r="AL10" s="123">
        <v>0.23899999999999999</v>
      </c>
      <c r="AM10" s="123">
        <v>0.23599999999999999</v>
      </c>
      <c r="AN10" s="123">
        <v>0.24</v>
      </c>
      <c r="AO10" s="123">
        <v>0.16500000000000001</v>
      </c>
      <c r="AP10" s="123">
        <v>9.8000000000000004E-2</v>
      </c>
      <c r="AQ10" s="123">
        <v>0.19500000000000001</v>
      </c>
      <c r="AR10" s="123">
        <v>0.02</v>
      </c>
      <c r="AS10" s="123">
        <v>6.8999999999999999E-3</v>
      </c>
      <c r="AT10" s="123">
        <v>0.03</v>
      </c>
      <c r="AU10" s="123">
        <v>-6</v>
      </c>
      <c r="AV10" s="123">
        <v>10</v>
      </c>
      <c r="AW10" s="123">
        <v>-0.01</v>
      </c>
      <c r="AX10" s="123">
        <v>-0.04</v>
      </c>
      <c r="AY10" s="123">
        <v>-1.4</v>
      </c>
      <c r="AZ10" s="123">
        <v>-6</v>
      </c>
      <c r="BA10" s="123">
        <v>-12</v>
      </c>
      <c r="BB10" s="123">
        <v>-0.6</v>
      </c>
      <c r="BC10" s="123">
        <v>-12</v>
      </c>
      <c r="BD10" s="123">
        <v>-0.01</v>
      </c>
      <c r="BE10" s="123">
        <v>-12</v>
      </c>
      <c r="BF10" s="123">
        <v>-0.01</v>
      </c>
      <c r="BG10" s="123">
        <v>4</v>
      </c>
      <c r="BH10" s="123" t="s">
        <v>94</v>
      </c>
      <c r="BI10" s="123">
        <v>-0.75</v>
      </c>
      <c r="BJ10" s="123" t="s">
        <v>95</v>
      </c>
      <c r="BK10" s="123" t="s">
        <v>95</v>
      </c>
      <c r="BL10" s="123" t="s">
        <v>95</v>
      </c>
      <c r="BM10" s="123" t="s">
        <v>93</v>
      </c>
      <c r="BN10" s="123" t="s">
        <v>565</v>
      </c>
      <c r="BO10" s="123" t="s">
        <v>95</v>
      </c>
      <c r="BP10" s="123">
        <v>20</v>
      </c>
      <c r="BQ10" s="123">
        <v>-1.8</v>
      </c>
      <c r="BR10" s="123">
        <v>1.26</v>
      </c>
      <c r="BS10" s="123">
        <v>0.19</v>
      </c>
      <c r="BT10" s="123">
        <v>0.3</v>
      </c>
      <c r="BU10" s="123" t="s">
        <v>95</v>
      </c>
      <c r="BV10" s="123" t="s">
        <v>475</v>
      </c>
      <c r="BW10" s="123" t="s">
        <v>95</v>
      </c>
      <c r="BX10" s="123" t="s">
        <v>95</v>
      </c>
      <c r="BY10" s="123">
        <v>42577</v>
      </c>
      <c r="BZ10" s="123">
        <v>42577</v>
      </c>
      <c r="CA10" s="123">
        <v>2564</v>
      </c>
      <c r="CB10" s="97">
        <v>0.04</v>
      </c>
    </row>
    <row r="11" spans="1:80" x14ac:dyDescent="0.25">
      <c r="A11" s="123" t="s">
        <v>566</v>
      </c>
      <c r="B11" s="123">
        <v>146</v>
      </c>
      <c r="C11" s="123" t="s">
        <v>93</v>
      </c>
      <c r="D11" s="123" t="s">
        <v>102</v>
      </c>
      <c r="E11" s="123" t="s">
        <v>567</v>
      </c>
      <c r="F11" s="123" t="s">
        <v>478</v>
      </c>
      <c r="G11" s="123" t="s">
        <v>568</v>
      </c>
      <c r="H11" s="123" t="s">
        <v>472</v>
      </c>
      <c r="I11" s="123">
        <v>1</v>
      </c>
      <c r="J11" s="123">
        <v>0</v>
      </c>
      <c r="K11" s="123">
        <v>1</v>
      </c>
      <c r="L11" s="123">
        <v>-12</v>
      </c>
      <c r="M11" s="123">
        <v>8</v>
      </c>
      <c r="N11" s="123">
        <v>-3.5</v>
      </c>
      <c r="O11" s="123">
        <v>-22</v>
      </c>
      <c r="P11" s="123">
        <v>150</v>
      </c>
      <c r="Q11" s="123">
        <v>0.5</v>
      </c>
      <c r="R11" s="123">
        <v>85</v>
      </c>
      <c r="S11" s="123" t="s">
        <v>95</v>
      </c>
      <c r="T11" s="123">
        <v>-0.5</v>
      </c>
      <c r="U11" s="123">
        <v>-1.1000000000000001</v>
      </c>
      <c r="V11" s="123">
        <v>-1</v>
      </c>
      <c r="W11" s="123">
        <v>8.4</v>
      </c>
      <c r="X11" s="123">
        <v>-0.5</v>
      </c>
      <c r="Y11" s="123">
        <v>200</v>
      </c>
      <c r="Z11" s="123">
        <v>3.4</v>
      </c>
      <c r="AA11" s="123">
        <v>350</v>
      </c>
      <c r="AB11" s="123" t="s">
        <v>95</v>
      </c>
      <c r="AC11" s="123">
        <v>0.19900000000000001</v>
      </c>
      <c r="AD11" s="123">
        <v>0.105</v>
      </c>
      <c r="AE11" s="123">
        <v>7.5999999999999998E-2</v>
      </c>
      <c r="AF11" s="123" t="s">
        <v>95</v>
      </c>
      <c r="AG11" s="123" t="s">
        <v>95</v>
      </c>
      <c r="AH11" s="123">
        <v>0.3</v>
      </c>
      <c r="AI11" s="123">
        <v>1.04</v>
      </c>
      <c r="AJ11" s="123">
        <v>0.49</v>
      </c>
      <c r="AK11" s="123" t="s">
        <v>95</v>
      </c>
      <c r="AL11" s="123">
        <v>0.20599999999999999</v>
      </c>
      <c r="AM11" s="123">
        <v>0.18</v>
      </c>
      <c r="AN11" s="123">
        <v>0.20599999999999999</v>
      </c>
      <c r="AO11" s="123">
        <v>0.157</v>
      </c>
      <c r="AP11" s="123">
        <v>0.11799999999999999</v>
      </c>
      <c r="AQ11" s="123">
        <v>0.17799999999999999</v>
      </c>
      <c r="AR11" s="123">
        <v>2.0299999999999999E-2</v>
      </c>
      <c r="AS11" s="123">
        <v>1.2800000000000001E-2</v>
      </c>
      <c r="AT11" s="123">
        <v>2.5399999999999999E-2</v>
      </c>
      <c r="AU11" s="123">
        <v>-6</v>
      </c>
      <c r="AV11" s="123">
        <v>10</v>
      </c>
      <c r="AW11" s="123">
        <v>-0.1</v>
      </c>
      <c r="AX11" s="123">
        <v>-0.93</v>
      </c>
      <c r="AY11" s="123">
        <v>-1.4</v>
      </c>
      <c r="AZ11" s="123">
        <v>-12</v>
      </c>
      <c r="BA11" s="123">
        <v>-2.1</v>
      </c>
      <c r="BB11" s="123">
        <v>-8</v>
      </c>
      <c r="BC11" s="123">
        <v>-12</v>
      </c>
      <c r="BD11" s="123">
        <v>-1.1100000000000001</v>
      </c>
      <c r="BE11" s="123">
        <v>-12</v>
      </c>
      <c r="BF11" s="123">
        <v>-0.1</v>
      </c>
      <c r="BG11" s="123">
        <v>3.26</v>
      </c>
      <c r="BH11" s="123" t="s">
        <v>94</v>
      </c>
      <c r="BI11" s="123">
        <v>-0.75</v>
      </c>
      <c r="BJ11" s="123" t="s">
        <v>95</v>
      </c>
      <c r="BK11" s="123" t="s">
        <v>95</v>
      </c>
      <c r="BL11" s="123" t="s">
        <v>95</v>
      </c>
      <c r="BM11" s="123" t="s">
        <v>93</v>
      </c>
      <c r="BN11" s="123" t="s">
        <v>569</v>
      </c>
      <c r="BO11" s="123" t="s">
        <v>95</v>
      </c>
      <c r="BP11" s="123">
        <v>350</v>
      </c>
      <c r="BQ11" s="123">
        <v>-1.5</v>
      </c>
      <c r="BR11" s="123">
        <v>1.8</v>
      </c>
      <c r="BS11" s="123">
        <v>0.15</v>
      </c>
      <c r="BT11" s="123">
        <v>0.5</v>
      </c>
      <c r="BU11" s="123" t="s">
        <v>95</v>
      </c>
      <c r="BV11" s="123" t="s">
        <v>475</v>
      </c>
      <c r="BW11" s="123" t="s">
        <v>94</v>
      </c>
      <c r="BX11" s="123" t="s">
        <v>95</v>
      </c>
      <c r="BY11" s="123">
        <v>42577</v>
      </c>
      <c r="BZ11" s="123">
        <v>42721</v>
      </c>
      <c r="CA11" s="123">
        <v>2565</v>
      </c>
      <c r="CB11" s="97">
        <v>5.7000000000000002E-2</v>
      </c>
    </row>
    <row r="12" spans="1:80" x14ac:dyDescent="0.25">
      <c r="A12" s="123" t="s">
        <v>570</v>
      </c>
      <c r="B12" s="123">
        <v>146</v>
      </c>
      <c r="C12" s="123" t="s">
        <v>93</v>
      </c>
      <c r="D12" s="123" t="s">
        <v>94</v>
      </c>
      <c r="E12" s="123" t="s">
        <v>95</v>
      </c>
      <c r="F12" s="123" t="s">
        <v>571</v>
      </c>
      <c r="G12" s="123" t="s">
        <v>208</v>
      </c>
      <c r="H12" s="123" t="s">
        <v>472</v>
      </c>
      <c r="I12" s="123">
        <v>1</v>
      </c>
      <c r="J12" s="123">
        <v>0</v>
      </c>
      <c r="K12" s="123" t="s">
        <v>95</v>
      </c>
      <c r="L12" s="123">
        <v>-20</v>
      </c>
      <c r="M12" s="123">
        <v>-6</v>
      </c>
      <c r="N12" s="123">
        <v>-4</v>
      </c>
      <c r="O12" s="123" t="s">
        <v>95</v>
      </c>
      <c r="P12" s="123">
        <v>150</v>
      </c>
      <c r="Q12" s="123">
        <v>0.5</v>
      </c>
      <c r="R12" s="123">
        <v>90</v>
      </c>
      <c r="S12" s="123" t="s">
        <v>95</v>
      </c>
      <c r="T12" s="123">
        <v>-0.45</v>
      </c>
      <c r="U12" s="123">
        <v>-1.05</v>
      </c>
      <c r="V12" s="123">
        <v>-1</v>
      </c>
      <c r="W12" s="123">
        <v>26</v>
      </c>
      <c r="X12" s="123">
        <v>-2</v>
      </c>
      <c r="Y12" s="123">
        <v>200</v>
      </c>
      <c r="Z12" s="123">
        <v>16</v>
      </c>
      <c r="AA12" s="123">
        <v>31</v>
      </c>
      <c r="AB12" s="123" t="s">
        <v>95</v>
      </c>
      <c r="AC12" s="123">
        <v>5.1999999999999998E-2</v>
      </c>
      <c r="AD12" s="123">
        <v>3.2000000000000001E-2</v>
      </c>
      <c r="AE12" s="123">
        <v>2.5999999999999999E-2</v>
      </c>
      <c r="AF12" s="123" t="s">
        <v>95</v>
      </c>
      <c r="AG12" s="123" t="s">
        <v>95</v>
      </c>
      <c r="AH12" s="123">
        <v>0.35</v>
      </c>
      <c r="AI12" s="123">
        <v>5.8</v>
      </c>
      <c r="AJ12" s="123">
        <v>3</v>
      </c>
      <c r="AK12" s="123" t="s">
        <v>95</v>
      </c>
      <c r="AL12" s="123">
        <v>0.80600000000000005</v>
      </c>
      <c r="AM12" s="123">
        <v>0.77800000000000002</v>
      </c>
      <c r="AN12" s="123">
        <v>0.83299999999999996</v>
      </c>
      <c r="AO12" s="123">
        <v>0.70799999999999996</v>
      </c>
      <c r="AP12" s="123">
        <v>0.4</v>
      </c>
      <c r="AQ12" s="123">
        <v>0.80500000000000005</v>
      </c>
      <c r="AR12" s="123">
        <v>8.7300000000000003E-2</v>
      </c>
      <c r="AS12" s="123">
        <v>2.1000000000000001E-2</v>
      </c>
      <c r="AT12" s="123">
        <v>0.111</v>
      </c>
      <c r="AU12" s="123">
        <v>-10</v>
      </c>
      <c r="AV12" s="123">
        <v>10</v>
      </c>
      <c r="AW12" s="123">
        <v>-0.1</v>
      </c>
      <c r="AX12" s="123">
        <v>-2.79</v>
      </c>
      <c r="AY12" s="123">
        <v>-0.84</v>
      </c>
      <c r="AZ12" s="123">
        <v>-23.5</v>
      </c>
      <c r="BA12" s="123">
        <v>-2.61</v>
      </c>
      <c r="BB12" s="123">
        <v>-23.5</v>
      </c>
      <c r="BC12" s="123">
        <v>-20</v>
      </c>
      <c r="BD12" s="123">
        <v>-2.98</v>
      </c>
      <c r="BE12" s="123">
        <v>-20</v>
      </c>
      <c r="BF12" s="123">
        <v>-0.1</v>
      </c>
      <c r="BG12" s="123">
        <v>0.61</v>
      </c>
      <c r="BH12" s="123" t="s">
        <v>94</v>
      </c>
      <c r="BI12" s="123">
        <v>-0.75</v>
      </c>
      <c r="BJ12" s="123" t="s">
        <v>95</v>
      </c>
      <c r="BK12" s="123" t="s">
        <v>95</v>
      </c>
      <c r="BL12" s="123" t="s">
        <v>95</v>
      </c>
      <c r="BM12" s="123" t="s">
        <v>93</v>
      </c>
      <c r="BN12" s="123" t="s">
        <v>572</v>
      </c>
      <c r="BO12" s="123" t="s">
        <v>95</v>
      </c>
      <c r="BP12" s="123">
        <v>31</v>
      </c>
      <c r="BQ12" s="123">
        <v>-1.5</v>
      </c>
      <c r="BR12" s="123">
        <v>19</v>
      </c>
      <c r="BS12" s="123">
        <v>0.8</v>
      </c>
      <c r="BT12" s="123">
        <v>1.1000000000000001</v>
      </c>
      <c r="BU12" s="123" t="s">
        <v>95</v>
      </c>
      <c r="BV12" s="123" t="s">
        <v>545</v>
      </c>
      <c r="BW12" s="123" t="s">
        <v>95</v>
      </c>
      <c r="BX12" s="123" t="s">
        <v>95</v>
      </c>
      <c r="BY12" s="123">
        <v>42577</v>
      </c>
      <c r="BZ12" s="123">
        <v>42577</v>
      </c>
      <c r="CA12" s="123">
        <v>2567</v>
      </c>
      <c r="CB12" s="97">
        <v>0.16800000000000001</v>
      </c>
    </row>
    <row r="13" spans="1:80" x14ac:dyDescent="0.25">
      <c r="A13" s="123" t="s">
        <v>573</v>
      </c>
      <c r="B13" s="123">
        <v>146</v>
      </c>
      <c r="C13" s="123" t="s">
        <v>93</v>
      </c>
      <c r="D13" s="123" t="s">
        <v>94</v>
      </c>
      <c r="E13" s="123" t="s">
        <v>574</v>
      </c>
      <c r="F13" s="123" t="s">
        <v>575</v>
      </c>
      <c r="G13" s="123" t="s">
        <v>117</v>
      </c>
      <c r="H13" s="123" t="s">
        <v>472</v>
      </c>
      <c r="I13" s="123">
        <v>1</v>
      </c>
      <c r="J13" s="123">
        <v>0</v>
      </c>
      <c r="K13" s="123">
        <v>1</v>
      </c>
      <c r="L13" s="123">
        <v>-20</v>
      </c>
      <c r="M13" s="123">
        <v>-6</v>
      </c>
      <c r="N13" s="123">
        <v>-3.2</v>
      </c>
      <c r="O13" s="123">
        <v>-9.5</v>
      </c>
      <c r="P13" s="123">
        <v>150</v>
      </c>
      <c r="Q13" s="123">
        <v>1</v>
      </c>
      <c r="R13" s="123">
        <v>90</v>
      </c>
      <c r="S13" s="123" t="s">
        <v>95</v>
      </c>
      <c r="T13" s="123">
        <v>-0.5</v>
      </c>
      <c r="U13" s="123">
        <v>-1.1000000000000001</v>
      </c>
      <c r="V13" s="123">
        <v>-1</v>
      </c>
      <c r="W13" s="123">
        <v>11.6</v>
      </c>
      <c r="X13" s="123">
        <v>-1.5</v>
      </c>
      <c r="Y13" s="123">
        <v>200</v>
      </c>
      <c r="Z13" s="123">
        <v>12</v>
      </c>
      <c r="AA13" s="123">
        <v>4</v>
      </c>
      <c r="AB13" s="123" t="s">
        <v>95</v>
      </c>
      <c r="AC13" s="123" t="s">
        <v>95</v>
      </c>
      <c r="AD13" s="123">
        <v>4.3999999999999997E-2</v>
      </c>
      <c r="AE13" s="123">
        <v>3.3000000000000002E-2</v>
      </c>
      <c r="AF13" s="123" t="s">
        <v>95</v>
      </c>
      <c r="AG13" s="123" t="s">
        <v>95</v>
      </c>
      <c r="AH13" s="123">
        <v>0.33</v>
      </c>
      <c r="AI13" s="123">
        <v>3.4</v>
      </c>
      <c r="AJ13" s="123">
        <v>2.0699999999999998</v>
      </c>
      <c r="AK13" s="123" t="s">
        <v>95</v>
      </c>
      <c r="AL13" s="123">
        <v>0.49099999999999999</v>
      </c>
      <c r="AM13" s="123">
        <v>0.47499999999999998</v>
      </c>
      <c r="AN13" s="123">
        <v>0.501</v>
      </c>
      <c r="AO13" s="123">
        <v>0.43</v>
      </c>
      <c r="AP13" s="123">
        <v>0.23400000000000001</v>
      </c>
      <c r="AQ13" s="123">
        <v>0.50900000000000001</v>
      </c>
      <c r="AR13" s="123">
        <v>4.3400000000000001E-2</v>
      </c>
      <c r="AS13" s="123">
        <v>1.0500000000000001E-2</v>
      </c>
      <c r="AT13" s="123">
        <v>5.5800000000000002E-2</v>
      </c>
      <c r="AU13" s="123">
        <v>-10</v>
      </c>
      <c r="AV13" s="123">
        <v>10</v>
      </c>
      <c r="AW13" s="123">
        <v>-0.01</v>
      </c>
      <c r="AX13" s="123">
        <v>-0.3</v>
      </c>
      <c r="AY13" s="123">
        <v>-0.3</v>
      </c>
      <c r="AZ13" s="123">
        <v>-10</v>
      </c>
      <c r="BA13" s="123">
        <v>-1</v>
      </c>
      <c r="BB13" s="123">
        <v>-10</v>
      </c>
      <c r="BC13" s="123">
        <v>-20</v>
      </c>
      <c r="BD13" s="123">
        <v>-0.45</v>
      </c>
      <c r="BE13" s="123">
        <v>-20</v>
      </c>
      <c r="BF13" s="123">
        <v>-0.02</v>
      </c>
      <c r="BG13" s="123">
        <v>1.1499999999999999</v>
      </c>
      <c r="BH13" s="123" t="s">
        <v>94</v>
      </c>
      <c r="BI13" s="123">
        <v>-0.8</v>
      </c>
      <c r="BJ13" s="123" t="s">
        <v>95</v>
      </c>
      <c r="BK13" s="123">
        <v>1368</v>
      </c>
      <c r="BL13" s="123">
        <v>0.44</v>
      </c>
      <c r="BM13" s="123" t="s">
        <v>93</v>
      </c>
      <c r="BN13" s="123" t="s">
        <v>576</v>
      </c>
      <c r="BO13" s="123" t="s">
        <v>95</v>
      </c>
      <c r="BP13" s="123">
        <v>4</v>
      </c>
      <c r="BQ13" s="123">
        <v>-1.5</v>
      </c>
      <c r="BR13" s="123">
        <v>6.9</v>
      </c>
      <c r="BS13" s="123">
        <v>0.2</v>
      </c>
      <c r="BT13" s="123">
        <v>1.1000000000000001</v>
      </c>
      <c r="BU13" s="123" t="s">
        <v>95</v>
      </c>
      <c r="BV13" s="123" t="s">
        <v>514</v>
      </c>
      <c r="BW13" s="123" t="s">
        <v>95</v>
      </c>
      <c r="BX13" s="123" t="s">
        <v>95</v>
      </c>
      <c r="BY13" s="123">
        <v>41578</v>
      </c>
      <c r="BZ13" s="123">
        <v>42577</v>
      </c>
      <c r="CA13" s="123">
        <v>2568</v>
      </c>
      <c r="CB13" s="97">
        <v>0.14299999999999999</v>
      </c>
    </row>
    <row r="14" spans="1:80" x14ac:dyDescent="0.25">
      <c r="A14" s="123" t="s">
        <v>577</v>
      </c>
      <c r="B14" s="123">
        <v>146</v>
      </c>
      <c r="C14" s="123" t="s">
        <v>93</v>
      </c>
      <c r="D14" s="123" t="s">
        <v>94</v>
      </c>
      <c r="E14" s="123" t="s">
        <v>578</v>
      </c>
      <c r="F14" s="123" t="s">
        <v>571</v>
      </c>
      <c r="G14" s="123" t="s">
        <v>117</v>
      </c>
      <c r="H14" s="123" t="s">
        <v>472</v>
      </c>
      <c r="I14" s="123">
        <v>1</v>
      </c>
      <c r="J14" s="123">
        <v>0</v>
      </c>
      <c r="K14" s="123">
        <v>1</v>
      </c>
      <c r="L14" s="123">
        <v>-20</v>
      </c>
      <c r="M14" s="123">
        <v>-6</v>
      </c>
      <c r="N14" s="123">
        <v>-1.6</v>
      </c>
      <c r="O14" s="123">
        <v>-16</v>
      </c>
      <c r="P14" s="123">
        <v>150</v>
      </c>
      <c r="Q14" s="123">
        <v>1</v>
      </c>
      <c r="R14" s="123">
        <v>90</v>
      </c>
      <c r="S14" s="123" t="s">
        <v>95</v>
      </c>
      <c r="T14" s="123">
        <v>-0.6</v>
      </c>
      <c r="U14" s="123">
        <v>-1.1000000000000001</v>
      </c>
      <c r="V14" s="123">
        <v>-1</v>
      </c>
      <c r="W14" s="123">
        <v>11</v>
      </c>
      <c r="X14" s="123">
        <v>-1</v>
      </c>
      <c r="Y14" s="123">
        <v>200</v>
      </c>
      <c r="Z14" s="123">
        <v>6.2</v>
      </c>
      <c r="AA14" s="123">
        <v>20</v>
      </c>
      <c r="AB14" s="123" t="s">
        <v>95</v>
      </c>
      <c r="AC14" s="123" t="s">
        <v>95</v>
      </c>
      <c r="AD14" s="123">
        <v>6.7000000000000004E-2</v>
      </c>
      <c r="AE14" s="123">
        <v>4.7E-2</v>
      </c>
      <c r="AF14" s="123" t="s">
        <v>95</v>
      </c>
      <c r="AG14" s="123" t="s">
        <v>95</v>
      </c>
      <c r="AH14" s="123">
        <v>0.3</v>
      </c>
      <c r="AI14" s="123">
        <v>2.2000000000000002</v>
      </c>
      <c r="AJ14" s="123">
        <v>1.1499999999999999</v>
      </c>
      <c r="AK14" s="123" t="s">
        <v>95</v>
      </c>
      <c r="AL14" s="123">
        <v>0.38600000000000001</v>
      </c>
      <c r="AM14" s="123">
        <v>0.36799999999999999</v>
      </c>
      <c r="AN14" s="123">
        <v>0.40100000000000002</v>
      </c>
      <c r="AO14" s="123">
        <v>0.28599999999999998</v>
      </c>
      <c r="AP14" s="123">
        <v>0.14799999999999999</v>
      </c>
      <c r="AQ14" s="123">
        <v>0.33900000000000002</v>
      </c>
      <c r="AR14" s="123">
        <v>3.09E-2</v>
      </c>
      <c r="AS14" s="123">
        <v>7.7999999999999996E-3</v>
      </c>
      <c r="AT14" s="123">
        <v>4.0899999999999999E-2</v>
      </c>
      <c r="AU14" s="123">
        <v>-10</v>
      </c>
      <c r="AV14" s="123">
        <v>10</v>
      </c>
      <c r="AW14" s="123">
        <v>-0.01</v>
      </c>
      <c r="AX14" s="123">
        <v>-0.09</v>
      </c>
      <c r="AY14" s="123">
        <v>-0.7</v>
      </c>
      <c r="AZ14" s="123">
        <v>-10</v>
      </c>
      <c r="BA14" s="123">
        <v>-20</v>
      </c>
      <c r="BB14" s="123">
        <v>-0.4</v>
      </c>
      <c r="BC14" s="123">
        <v>-20</v>
      </c>
      <c r="BD14" s="123">
        <v>-0.01</v>
      </c>
      <c r="BE14" s="123">
        <v>-20</v>
      </c>
      <c r="BF14" s="123">
        <v>-0.01</v>
      </c>
      <c r="BG14" s="123">
        <v>2.94</v>
      </c>
      <c r="BH14" s="123" t="s">
        <v>94</v>
      </c>
      <c r="BI14" s="123">
        <v>-0.77</v>
      </c>
      <c r="BJ14" s="123" t="s">
        <v>95</v>
      </c>
      <c r="BK14" s="123">
        <v>1367</v>
      </c>
      <c r="BL14" s="123">
        <v>355</v>
      </c>
      <c r="BM14" s="123" t="s">
        <v>93</v>
      </c>
      <c r="BN14" s="123" t="s">
        <v>579</v>
      </c>
      <c r="BO14" s="123" t="s">
        <v>95</v>
      </c>
      <c r="BP14" s="123">
        <v>20</v>
      </c>
      <c r="BQ14" s="123">
        <v>-1.9</v>
      </c>
      <c r="BR14" s="123">
        <v>4</v>
      </c>
      <c r="BS14" s="123">
        <v>0.14000000000000001</v>
      </c>
      <c r="BT14" s="123">
        <v>0.74</v>
      </c>
      <c r="BU14" s="123" t="s">
        <v>95</v>
      </c>
      <c r="BV14" s="123" t="s">
        <v>506</v>
      </c>
      <c r="BW14" s="123" t="s">
        <v>95</v>
      </c>
      <c r="BX14" s="123" t="s">
        <v>95</v>
      </c>
      <c r="BY14" s="123">
        <v>41577</v>
      </c>
      <c r="BZ14" s="123">
        <v>42577</v>
      </c>
      <c r="CA14" s="123">
        <v>2569</v>
      </c>
      <c r="CB14" s="97">
        <v>7.6999999999999999E-2</v>
      </c>
    </row>
    <row r="15" spans="1:80" x14ac:dyDescent="0.25">
      <c r="A15" s="123" t="s">
        <v>580</v>
      </c>
      <c r="B15" s="123">
        <v>146</v>
      </c>
      <c r="C15" s="123" t="s">
        <v>93</v>
      </c>
      <c r="D15" s="123" t="s">
        <v>94</v>
      </c>
      <c r="E15" s="123" t="s">
        <v>95</v>
      </c>
      <c r="F15" s="123" t="s">
        <v>581</v>
      </c>
      <c r="G15" s="123" t="s">
        <v>208</v>
      </c>
      <c r="H15" s="123" t="s">
        <v>472</v>
      </c>
      <c r="I15" s="123">
        <v>1</v>
      </c>
      <c r="J15" s="123">
        <v>0</v>
      </c>
      <c r="K15" s="123" t="s">
        <v>95</v>
      </c>
      <c r="L15" s="123">
        <v>-20</v>
      </c>
      <c r="M15" s="123">
        <v>-8</v>
      </c>
      <c r="N15" s="123">
        <v>-3</v>
      </c>
      <c r="O15" s="123">
        <v>-41</v>
      </c>
      <c r="P15" s="123">
        <v>150</v>
      </c>
      <c r="Q15" s="123">
        <v>0.75</v>
      </c>
      <c r="R15" s="123">
        <v>90</v>
      </c>
      <c r="S15" s="123" t="s">
        <v>95</v>
      </c>
      <c r="T15" s="123">
        <v>-0.55000000000000004</v>
      </c>
      <c r="U15" s="123">
        <v>-1.1499999999999999</v>
      </c>
      <c r="V15" s="123">
        <v>-1</v>
      </c>
      <c r="W15" s="123">
        <v>11.6</v>
      </c>
      <c r="X15" s="123">
        <v>-1.5</v>
      </c>
      <c r="Y15" s="123">
        <v>200</v>
      </c>
      <c r="Z15" s="123">
        <v>12</v>
      </c>
      <c r="AA15" s="123">
        <v>20</v>
      </c>
      <c r="AB15" s="123" t="s">
        <v>95</v>
      </c>
      <c r="AC15" s="123">
        <v>9.1999999999999998E-2</v>
      </c>
      <c r="AD15" s="123">
        <v>4.5499999999999999E-2</v>
      </c>
      <c r="AE15" s="123">
        <v>3.2500000000000001E-2</v>
      </c>
      <c r="AF15" s="123" t="s">
        <v>95</v>
      </c>
      <c r="AG15" s="123" t="s">
        <v>95</v>
      </c>
      <c r="AH15" s="123">
        <v>0.35</v>
      </c>
      <c r="AI15" s="123">
        <v>3.3</v>
      </c>
      <c r="AJ15" s="123">
        <v>1.84</v>
      </c>
      <c r="AK15" s="123" t="s">
        <v>95</v>
      </c>
      <c r="AL15" s="123">
        <v>0.496</v>
      </c>
      <c r="AM15" s="123">
        <v>0.45800000000000002</v>
      </c>
      <c r="AN15" s="123">
        <v>0.51400000000000001</v>
      </c>
      <c r="AO15" s="123">
        <v>0.41899999999999998</v>
      </c>
      <c r="AP15" s="123">
        <v>0.23100000000000001</v>
      </c>
      <c r="AQ15" s="123">
        <v>0.47599999999999998</v>
      </c>
      <c r="AR15" s="123">
        <v>5.4899999999999997E-2</v>
      </c>
      <c r="AS15" s="123">
        <v>1.2E-2</v>
      </c>
      <c r="AT15" s="123">
        <v>7.1300000000000002E-2</v>
      </c>
      <c r="AU15" s="123">
        <v>-10</v>
      </c>
      <c r="AV15" s="123">
        <v>10</v>
      </c>
      <c r="AW15" s="123">
        <v>-0.1</v>
      </c>
      <c r="AX15" s="123">
        <v>-2.21</v>
      </c>
      <c r="AY15" s="123">
        <v>-1.35</v>
      </c>
      <c r="AZ15" s="123">
        <v>-25</v>
      </c>
      <c r="BA15" s="123">
        <v>-20</v>
      </c>
      <c r="BB15" s="123">
        <v>-1.39</v>
      </c>
      <c r="BC15" s="123">
        <v>-20</v>
      </c>
      <c r="BD15" s="123">
        <v>-0.1</v>
      </c>
      <c r="BE15" s="123">
        <v>-20</v>
      </c>
      <c r="BF15" s="123">
        <v>-0.1</v>
      </c>
      <c r="BG15" s="123">
        <v>1.36</v>
      </c>
      <c r="BH15" s="123" t="s">
        <v>94</v>
      </c>
      <c r="BI15" s="123">
        <v>-0.75</v>
      </c>
      <c r="BJ15" s="123" t="s">
        <v>95</v>
      </c>
      <c r="BK15" s="123" t="s">
        <v>95</v>
      </c>
      <c r="BL15" s="123" t="s">
        <v>95</v>
      </c>
      <c r="BM15" s="123" t="s">
        <v>93</v>
      </c>
      <c r="BN15" s="123" t="s">
        <v>582</v>
      </c>
      <c r="BO15" s="123" t="s">
        <v>95</v>
      </c>
      <c r="BP15" s="123">
        <v>20</v>
      </c>
      <c r="BQ15" s="123">
        <v>-1.6</v>
      </c>
      <c r="BR15" s="123">
        <v>7.2</v>
      </c>
      <c r="BS15" s="123">
        <v>0.5</v>
      </c>
      <c r="BT15" s="123">
        <v>0.7</v>
      </c>
      <c r="BU15" s="123" t="s">
        <v>95</v>
      </c>
      <c r="BV15" s="123" t="s">
        <v>514</v>
      </c>
      <c r="BW15" s="123" t="s">
        <v>95</v>
      </c>
      <c r="BX15" s="123" t="s">
        <v>95</v>
      </c>
      <c r="BY15" s="123">
        <v>42577</v>
      </c>
      <c r="BZ15" s="123">
        <v>42577</v>
      </c>
      <c r="CA15" s="123">
        <v>2573</v>
      </c>
      <c r="CB15" s="97">
        <v>0.121</v>
      </c>
    </row>
    <row r="16" spans="1:80" x14ac:dyDescent="0.25">
      <c r="A16" s="123" t="s">
        <v>583</v>
      </c>
      <c r="B16" s="123">
        <v>146</v>
      </c>
      <c r="C16" s="123" t="s">
        <v>93</v>
      </c>
      <c r="D16" s="123" t="s">
        <v>93</v>
      </c>
      <c r="E16" s="123" t="s">
        <v>584</v>
      </c>
      <c r="F16" s="123" t="s">
        <v>581</v>
      </c>
      <c r="G16" s="123" t="s">
        <v>211</v>
      </c>
      <c r="H16" s="123" t="s">
        <v>472</v>
      </c>
      <c r="I16" s="123">
        <v>1</v>
      </c>
      <c r="J16" s="123">
        <v>0</v>
      </c>
      <c r="K16" s="123">
        <v>1</v>
      </c>
      <c r="L16" s="123">
        <v>-20</v>
      </c>
      <c r="M16" s="123">
        <v>-8</v>
      </c>
      <c r="N16" s="123">
        <v>-20</v>
      </c>
      <c r="O16" s="123">
        <v>-48</v>
      </c>
      <c r="P16" s="123">
        <v>150</v>
      </c>
      <c r="Q16" s="123">
        <v>2.9</v>
      </c>
      <c r="R16" s="123">
        <v>55</v>
      </c>
      <c r="S16" s="123">
        <v>4.5</v>
      </c>
      <c r="T16" s="123">
        <v>-0.55000000000000004</v>
      </c>
      <c r="U16" s="123">
        <v>-1.1000000000000001</v>
      </c>
      <c r="V16" s="123">
        <v>-1</v>
      </c>
      <c r="W16" s="123">
        <v>13</v>
      </c>
      <c r="X16" s="123">
        <v>-5</v>
      </c>
      <c r="Y16" s="123">
        <v>200</v>
      </c>
      <c r="Z16" s="123">
        <v>34</v>
      </c>
      <c r="AA16" s="123">
        <v>1.9</v>
      </c>
      <c r="AB16" s="123" t="s">
        <v>95</v>
      </c>
      <c r="AC16" s="123">
        <v>8.8999999999999996E-2</v>
      </c>
      <c r="AD16" s="123">
        <v>3.2500000000000001E-2</v>
      </c>
      <c r="AE16" s="123">
        <v>2.3900000000000001E-2</v>
      </c>
      <c r="AF16" s="123" t="s">
        <v>95</v>
      </c>
      <c r="AG16" s="123" t="s">
        <v>95</v>
      </c>
      <c r="AH16" s="123">
        <v>0.43</v>
      </c>
      <c r="AI16" s="123">
        <v>3.6</v>
      </c>
      <c r="AJ16" s="123">
        <v>2.4</v>
      </c>
      <c r="AK16" s="123" t="s">
        <v>95</v>
      </c>
      <c r="AL16" s="123">
        <v>580</v>
      </c>
      <c r="AM16" s="123">
        <v>500</v>
      </c>
      <c r="AN16" s="123">
        <v>600</v>
      </c>
      <c r="AO16" s="123">
        <v>480</v>
      </c>
      <c r="AP16" s="123">
        <v>280</v>
      </c>
      <c r="AQ16" s="123">
        <v>550</v>
      </c>
      <c r="AR16" s="123">
        <v>65</v>
      </c>
      <c r="AS16" s="123">
        <v>16.5</v>
      </c>
      <c r="AT16" s="123">
        <v>83</v>
      </c>
      <c r="AU16" s="123">
        <v>-10</v>
      </c>
      <c r="AV16" s="123">
        <v>10</v>
      </c>
      <c r="AW16" s="123">
        <v>-0.01</v>
      </c>
      <c r="AX16" s="123">
        <v>-0.4</v>
      </c>
      <c r="AY16" s="123">
        <v>-0.7</v>
      </c>
      <c r="AZ16" s="123">
        <v>-30</v>
      </c>
      <c r="BA16" s="123">
        <v>-4</v>
      </c>
      <c r="BB16" s="123">
        <v>-4.5</v>
      </c>
      <c r="BC16" s="123">
        <v>-7</v>
      </c>
      <c r="BD16" s="123">
        <v>-2.8</v>
      </c>
      <c r="BE16" s="123">
        <v>-20</v>
      </c>
      <c r="BF16" s="123">
        <v>-0.01</v>
      </c>
      <c r="BG16" s="123">
        <v>0.75</v>
      </c>
      <c r="BH16" s="123" t="s">
        <v>94</v>
      </c>
      <c r="BI16" s="123">
        <v>-0.8</v>
      </c>
      <c r="BJ16" s="123" t="s">
        <v>94</v>
      </c>
      <c r="BK16" s="123">
        <v>1156</v>
      </c>
      <c r="BL16" s="123">
        <v>517</v>
      </c>
      <c r="BM16" s="123" t="s">
        <v>93</v>
      </c>
      <c r="BN16" s="123" t="s">
        <v>585</v>
      </c>
      <c r="BO16" s="123" t="s">
        <v>95</v>
      </c>
      <c r="BP16" s="123">
        <v>1.9</v>
      </c>
      <c r="BQ16" s="123">
        <v>-1.7</v>
      </c>
      <c r="BR16" s="123">
        <v>9.1999999999999993</v>
      </c>
      <c r="BS16" s="123">
        <v>0.5</v>
      </c>
      <c r="BT16" s="123">
        <v>1.1000000000000001</v>
      </c>
      <c r="BU16" s="123" t="s">
        <v>95</v>
      </c>
      <c r="BV16" s="123" t="s">
        <v>101</v>
      </c>
      <c r="BW16" s="123" t="s">
        <v>94</v>
      </c>
      <c r="BX16" s="123">
        <v>0</v>
      </c>
      <c r="BY16" s="123">
        <v>42212</v>
      </c>
      <c r="BZ16" s="123">
        <v>42577</v>
      </c>
      <c r="CA16" s="123">
        <v>2574</v>
      </c>
      <c r="CB16" s="97">
        <v>0.13500000000000001</v>
      </c>
    </row>
    <row r="17" spans="1:80" x14ac:dyDescent="0.25">
      <c r="A17" s="123" t="s">
        <v>586</v>
      </c>
      <c r="B17" s="123">
        <v>146</v>
      </c>
      <c r="C17" s="123" t="s">
        <v>93</v>
      </c>
      <c r="D17" s="123" t="s">
        <v>93</v>
      </c>
      <c r="E17" s="123" t="s">
        <v>587</v>
      </c>
      <c r="F17" s="123" t="s">
        <v>209</v>
      </c>
      <c r="G17" s="123" t="s">
        <v>588</v>
      </c>
      <c r="H17" s="123" t="s">
        <v>472</v>
      </c>
      <c r="I17" s="123">
        <v>1</v>
      </c>
      <c r="J17" s="123">
        <v>0</v>
      </c>
      <c r="K17" s="123">
        <v>1</v>
      </c>
      <c r="L17" s="123">
        <v>-20</v>
      </c>
      <c r="M17" s="123">
        <v>-12</v>
      </c>
      <c r="N17" s="123">
        <v>-75</v>
      </c>
      <c r="O17" s="123">
        <v>-148</v>
      </c>
      <c r="P17" s="123">
        <v>150</v>
      </c>
      <c r="Q17" s="123">
        <v>2.7776999999999998</v>
      </c>
      <c r="R17" s="123">
        <v>55</v>
      </c>
      <c r="S17" s="123">
        <v>2.2999999999999998</v>
      </c>
      <c r="T17" s="123">
        <v>-0.65</v>
      </c>
      <c r="U17" s="123">
        <v>-1.1499999999999999</v>
      </c>
      <c r="V17" s="123">
        <v>-1</v>
      </c>
      <c r="W17" s="123">
        <v>21</v>
      </c>
      <c r="X17" s="123">
        <v>-10</v>
      </c>
      <c r="Y17" s="123">
        <v>200</v>
      </c>
      <c r="Z17" s="123">
        <v>59</v>
      </c>
      <c r="AA17" s="123">
        <v>3.7</v>
      </c>
      <c r="AB17" s="123" t="s">
        <v>95</v>
      </c>
      <c r="AC17" s="123">
        <v>0.3</v>
      </c>
      <c r="AD17" s="123">
        <v>1.5900000000000001E-2</v>
      </c>
      <c r="AE17" s="123">
        <v>8.8999999999999999E-3</v>
      </c>
      <c r="AF17" s="123" t="s">
        <v>95</v>
      </c>
      <c r="AG17" s="123" t="s">
        <v>95</v>
      </c>
      <c r="AH17" s="123">
        <v>0.46</v>
      </c>
      <c r="AI17" s="123">
        <v>7.5</v>
      </c>
      <c r="AJ17" s="123">
        <v>4.3</v>
      </c>
      <c r="AK17" s="123">
        <v>17</v>
      </c>
      <c r="AL17" s="123">
        <v>1.48</v>
      </c>
      <c r="AM17" s="123">
        <v>1.38</v>
      </c>
      <c r="AN17" s="123">
        <v>1.51</v>
      </c>
      <c r="AO17" s="123">
        <v>1.35</v>
      </c>
      <c r="AP17" s="123">
        <v>0.76300000000000001</v>
      </c>
      <c r="AQ17" s="123">
        <v>1.54</v>
      </c>
      <c r="AR17" s="123">
        <v>0.17399999999999999</v>
      </c>
      <c r="AS17" s="123">
        <v>3.9E-2</v>
      </c>
      <c r="AT17" s="123">
        <v>0.216</v>
      </c>
      <c r="AU17" s="123">
        <v>-10</v>
      </c>
      <c r="AV17" s="123">
        <v>10</v>
      </c>
      <c r="AW17" s="123">
        <v>-0.1</v>
      </c>
      <c r="AX17" s="123">
        <v>-8.3000000000000007</v>
      </c>
      <c r="AY17" s="123">
        <v>-0.98</v>
      </c>
      <c r="AZ17" s="123">
        <v>-76</v>
      </c>
      <c r="BA17" s="123">
        <v>-20</v>
      </c>
      <c r="BB17" s="123">
        <v>-2.4900000000000002</v>
      </c>
      <c r="BC17" s="123">
        <v>-20</v>
      </c>
      <c r="BD17" s="123">
        <v>-0.1</v>
      </c>
      <c r="BE17" s="123">
        <v>-20</v>
      </c>
      <c r="BF17" s="123">
        <v>-0.1</v>
      </c>
      <c r="BG17" s="123">
        <v>0.55000000000000004</v>
      </c>
      <c r="BH17" s="123" t="s">
        <v>94</v>
      </c>
      <c r="BI17" s="123">
        <v>-0.8</v>
      </c>
      <c r="BJ17" s="123" t="s">
        <v>95</v>
      </c>
      <c r="BK17" s="123">
        <v>1156</v>
      </c>
      <c r="BL17" s="123">
        <v>1.75</v>
      </c>
      <c r="BM17" s="123" t="s">
        <v>93</v>
      </c>
      <c r="BN17" s="123" t="s">
        <v>589</v>
      </c>
      <c r="BO17" s="123" t="s">
        <v>95</v>
      </c>
      <c r="BP17" s="123">
        <v>7.4</v>
      </c>
      <c r="BQ17" s="123">
        <v>-2</v>
      </c>
      <c r="BR17" s="123">
        <v>10.3</v>
      </c>
      <c r="BS17" s="123">
        <v>1.1000000000000001</v>
      </c>
      <c r="BT17" s="123">
        <v>2.4</v>
      </c>
      <c r="BU17" s="123" t="s">
        <v>95</v>
      </c>
      <c r="BV17" s="123" t="s">
        <v>122</v>
      </c>
      <c r="BW17" s="123" t="s">
        <v>95</v>
      </c>
      <c r="BX17" s="123" t="s">
        <v>95</v>
      </c>
      <c r="BY17" s="123">
        <v>42212</v>
      </c>
      <c r="BZ17" s="123">
        <v>42599</v>
      </c>
      <c r="CA17" s="123">
        <v>2575</v>
      </c>
      <c r="CB17" s="97">
        <v>0.27</v>
      </c>
    </row>
    <row r="18" spans="1:80" x14ac:dyDescent="0.25">
      <c r="A18" s="123" t="s">
        <v>590</v>
      </c>
      <c r="B18" s="123">
        <v>146</v>
      </c>
      <c r="C18" s="123" t="s">
        <v>95</v>
      </c>
      <c r="D18" s="123" t="s">
        <v>102</v>
      </c>
      <c r="E18" s="123" t="s">
        <v>591</v>
      </c>
      <c r="F18" s="123" t="s">
        <v>120</v>
      </c>
      <c r="G18" s="123" t="s">
        <v>592</v>
      </c>
      <c r="H18" s="123" t="s">
        <v>472</v>
      </c>
      <c r="I18" s="123">
        <v>1</v>
      </c>
      <c r="J18" s="123">
        <v>0</v>
      </c>
      <c r="K18" s="123">
        <v>1</v>
      </c>
      <c r="L18" s="123">
        <v>-20</v>
      </c>
      <c r="M18" s="123">
        <v>-12</v>
      </c>
      <c r="N18" s="123">
        <v>-60</v>
      </c>
      <c r="O18" s="123">
        <v>-240</v>
      </c>
      <c r="P18" s="123">
        <v>150</v>
      </c>
      <c r="Q18" s="123">
        <v>96</v>
      </c>
      <c r="R18" s="123">
        <v>55</v>
      </c>
      <c r="S18" s="123" t="s">
        <v>95</v>
      </c>
      <c r="T18" s="123">
        <v>-0.65</v>
      </c>
      <c r="U18" s="123">
        <v>-1.1499999999999999</v>
      </c>
      <c r="V18" s="123" t="s">
        <v>95</v>
      </c>
      <c r="W18" s="123">
        <v>26</v>
      </c>
      <c r="X18" s="123" t="s">
        <v>95</v>
      </c>
      <c r="Y18" s="123" t="s">
        <v>95</v>
      </c>
      <c r="Z18" s="123">
        <v>47</v>
      </c>
      <c r="AA18" s="123">
        <v>0.8</v>
      </c>
      <c r="AB18" s="123" t="s">
        <v>95</v>
      </c>
      <c r="AC18" s="123">
        <v>0.15</v>
      </c>
      <c r="AD18" s="123">
        <v>1.21E-2</v>
      </c>
      <c r="AE18" s="123">
        <v>6.4999999999999997E-3</v>
      </c>
      <c r="AF18" s="123" t="s">
        <v>95</v>
      </c>
      <c r="AG18" s="123" t="s">
        <v>95</v>
      </c>
      <c r="AH18" s="123">
        <v>0.37</v>
      </c>
      <c r="AI18" s="123">
        <v>10.8</v>
      </c>
      <c r="AJ18" s="123" t="s">
        <v>95</v>
      </c>
      <c r="AK18" s="123" t="s">
        <v>95</v>
      </c>
      <c r="AL18" s="123" t="s">
        <v>95</v>
      </c>
      <c r="AM18" s="123" t="s">
        <v>95</v>
      </c>
      <c r="AN18" s="123">
        <v>2120</v>
      </c>
      <c r="AO18" s="123" t="s">
        <v>95</v>
      </c>
      <c r="AP18" s="123" t="s">
        <v>95</v>
      </c>
      <c r="AQ18" s="123">
        <v>1170</v>
      </c>
      <c r="AR18" s="123" t="s">
        <v>95</v>
      </c>
      <c r="AS18" s="123" t="s">
        <v>95</v>
      </c>
      <c r="AT18" s="123">
        <v>68</v>
      </c>
      <c r="AU18" s="123" t="s">
        <v>95</v>
      </c>
      <c r="AV18" s="123" t="s">
        <v>95</v>
      </c>
      <c r="AW18" s="123" t="s">
        <v>95</v>
      </c>
      <c r="AX18" s="123" t="s">
        <v>95</v>
      </c>
      <c r="AY18" s="123" t="s">
        <v>95</v>
      </c>
      <c r="AZ18" s="123" t="s">
        <v>95</v>
      </c>
      <c r="BA18" s="123" t="s">
        <v>95</v>
      </c>
      <c r="BB18" s="123" t="s">
        <v>95</v>
      </c>
      <c r="BC18" s="123" t="s">
        <v>95</v>
      </c>
      <c r="BD18" s="123" t="s">
        <v>95</v>
      </c>
      <c r="BE18" s="123" t="s">
        <v>95</v>
      </c>
      <c r="BF18" s="123" t="s">
        <v>95</v>
      </c>
      <c r="BG18" s="123" t="s">
        <v>95</v>
      </c>
      <c r="BH18" s="123" t="s">
        <v>95</v>
      </c>
      <c r="BI18" s="123" t="s">
        <v>95</v>
      </c>
      <c r="BJ18" s="123" t="s">
        <v>95</v>
      </c>
      <c r="BK18" s="123" t="s">
        <v>95</v>
      </c>
      <c r="BL18" s="123" t="s">
        <v>95</v>
      </c>
      <c r="BM18" s="123" t="s">
        <v>93</v>
      </c>
      <c r="BN18" s="126" t="s">
        <v>634</v>
      </c>
      <c r="BO18" s="123" t="s">
        <v>95</v>
      </c>
      <c r="BP18" s="123">
        <v>2.4</v>
      </c>
      <c r="BQ18" s="123" t="s">
        <v>95</v>
      </c>
      <c r="BR18" s="123">
        <v>20.5</v>
      </c>
      <c r="BS18" s="123">
        <v>2.2000000000000002</v>
      </c>
      <c r="BT18" s="123">
        <v>2.8</v>
      </c>
      <c r="BU18" s="123" t="s">
        <v>95</v>
      </c>
      <c r="BV18" s="123" t="s">
        <v>122</v>
      </c>
      <c r="BW18" s="123" t="s">
        <v>94</v>
      </c>
      <c r="BX18" s="123" t="s">
        <v>95</v>
      </c>
      <c r="BY18" s="123">
        <v>42312</v>
      </c>
      <c r="BZ18" s="123" t="s">
        <v>95</v>
      </c>
      <c r="CA18" s="123">
        <v>2073</v>
      </c>
      <c r="CB18" s="97">
        <v>0.33200000000000002</v>
      </c>
    </row>
    <row r="19" spans="1:80" x14ac:dyDescent="0.25">
      <c r="A19" s="123" t="s">
        <v>593</v>
      </c>
      <c r="B19" s="123">
        <v>146</v>
      </c>
      <c r="C19" s="123" t="s">
        <v>95</v>
      </c>
      <c r="D19" s="123" t="s">
        <v>102</v>
      </c>
      <c r="E19" s="123" t="s">
        <v>558</v>
      </c>
      <c r="F19" s="123" t="s">
        <v>483</v>
      </c>
      <c r="G19" s="123" t="s">
        <v>594</v>
      </c>
      <c r="H19" s="123" t="s">
        <v>472</v>
      </c>
      <c r="I19" s="123">
        <v>1</v>
      </c>
      <c r="J19" s="123">
        <v>0</v>
      </c>
      <c r="K19" s="123">
        <v>1</v>
      </c>
      <c r="L19" s="123">
        <v>-20</v>
      </c>
      <c r="M19" s="123">
        <v>-12</v>
      </c>
      <c r="N19" s="123">
        <v>-1.7</v>
      </c>
      <c r="O19" s="123">
        <v>-10.6</v>
      </c>
      <c r="P19" s="123">
        <v>150</v>
      </c>
      <c r="Q19" s="123">
        <v>0.5</v>
      </c>
      <c r="R19" s="123">
        <v>90</v>
      </c>
      <c r="S19" s="123" t="s">
        <v>95</v>
      </c>
      <c r="T19" s="123">
        <v>-0.7</v>
      </c>
      <c r="U19" s="123">
        <v>-1.2</v>
      </c>
      <c r="V19" s="123">
        <v>-1</v>
      </c>
      <c r="W19" s="123">
        <v>6.4</v>
      </c>
      <c r="X19" s="123">
        <v>-0.4</v>
      </c>
      <c r="Y19" s="123">
        <v>100</v>
      </c>
      <c r="Z19" s="123">
        <v>8</v>
      </c>
      <c r="AA19" s="123">
        <v>16</v>
      </c>
      <c r="AB19" s="123" t="s">
        <v>95</v>
      </c>
      <c r="AC19" s="123">
        <v>0.84</v>
      </c>
      <c r="AD19" s="123">
        <v>0.26</v>
      </c>
      <c r="AE19" s="123">
        <v>0.159</v>
      </c>
      <c r="AF19" s="123">
        <v>0.13200000000000001</v>
      </c>
      <c r="AG19" s="123" t="s">
        <v>95</v>
      </c>
      <c r="AH19" s="123">
        <v>0.31</v>
      </c>
      <c r="AI19" s="123">
        <v>0.7</v>
      </c>
      <c r="AJ19" s="123" t="s">
        <v>95</v>
      </c>
      <c r="AK19" s="123" t="s">
        <v>95</v>
      </c>
      <c r="AL19" s="123" t="s">
        <v>95</v>
      </c>
      <c r="AM19" s="123" t="s">
        <v>95</v>
      </c>
      <c r="AN19" s="123" t="s">
        <v>95</v>
      </c>
      <c r="AO19" s="123" t="s">
        <v>95</v>
      </c>
      <c r="AP19" s="123" t="s">
        <v>95</v>
      </c>
      <c r="AQ19" s="123" t="s">
        <v>95</v>
      </c>
      <c r="AR19" s="123" t="s">
        <v>95</v>
      </c>
      <c r="AS19" s="123" t="s">
        <v>95</v>
      </c>
      <c r="AT19" s="123" t="s">
        <v>95</v>
      </c>
      <c r="AU19" s="123" t="s">
        <v>95</v>
      </c>
      <c r="AV19" s="123" t="s">
        <v>95</v>
      </c>
      <c r="AW19" s="123" t="s">
        <v>95</v>
      </c>
      <c r="AX19" s="123" t="s">
        <v>95</v>
      </c>
      <c r="AY19" s="123" t="s">
        <v>95</v>
      </c>
      <c r="AZ19" s="123" t="s">
        <v>95</v>
      </c>
      <c r="BA19" s="123" t="s">
        <v>95</v>
      </c>
      <c r="BB19" s="123" t="s">
        <v>95</v>
      </c>
      <c r="BC19" s="123" t="s">
        <v>95</v>
      </c>
      <c r="BD19" s="123" t="s">
        <v>95</v>
      </c>
      <c r="BE19" s="123" t="s">
        <v>95</v>
      </c>
      <c r="BF19" s="123" t="s">
        <v>95</v>
      </c>
      <c r="BG19" s="123" t="s">
        <v>95</v>
      </c>
      <c r="BH19" s="123" t="s">
        <v>95</v>
      </c>
      <c r="BI19" s="123" t="s">
        <v>95</v>
      </c>
      <c r="BJ19" s="123" t="s">
        <v>95</v>
      </c>
      <c r="BK19" s="123" t="s">
        <v>95</v>
      </c>
      <c r="BL19" s="123" t="s">
        <v>95</v>
      </c>
      <c r="BM19" s="123" t="s">
        <v>93</v>
      </c>
      <c r="BN19" s="123" t="s">
        <v>595</v>
      </c>
      <c r="BO19" s="123" t="s">
        <v>95</v>
      </c>
      <c r="BP19" s="123" t="s">
        <v>95</v>
      </c>
      <c r="BQ19" s="123" t="s">
        <v>95</v>
      </c>
      <c r="BR19" s="123">
        <v>1.2</v>
      </c>
      <c r="BS19" s="123">
        <v>0.1</v>
      </c>
      <c r="BT19" s="123">
        <v>0.26</v>
      </c>
      <c r="BU19" s="123" t="s">
        <v>95</v>
      </c>
      <c r="BV19" s="123" t="s">
        <v>486</v>
      </c>
      <c r="BW19" s="123" t="s">
        <v>94</v>
      </c>
      <c r="BX19" s="123" t="s">
        <v>95</v>
      </c>
      <c r="BY19" s="123">
        <v>42625</v>
      </c>
      <c r="BZ19" s="123" t="s">
        <v>95</v>
      </c>
      <c r="CA19" s="123">
        <v>3164</v>
      </c>
      <c r="CB19" s="97">
        <v>4.1000000000000002E-2</v>
      </c>
    </row>
    <row r="20" spans="1:80" x14ac:dyDescent="0.25">
      <c r="A20" s="123" t="s">
        <v>596</v>
      </c>
      <c r="B20" s="123">
        <v>146</v>
      </c>
      <c r="C20" s="123" t="s">
        <v>93</v>
      </c>
      <c r="D20" s="123" t="s">
        <v>94</v>
      </c>
      <c r="E20" s="123" t="s">
        <v>95</v>
      </c>
      <c r="F20" s="123" t="s">
        <v>95</v>
      </c>
      <c r="G20" s="123" t="s">
        <v>208</v>
      </c>
      <c r="H20" s="123" t="s">
        <v>472</v>
      </c>
      <c r="I20" s="123">
        <v>1</v>
      </c>
      <c r="J20" s="123">
        <v>0</v>
      </c>
      <c r="K20" s="123" t="s">
        <v>95</v>
      </c>
      <c r="L20" s="123">
        <v>-20</v>
      </c>
      <c r="M20" s="123">
        <v>-12</v>
      </c>
      <c r="N20" s="123">
        <v>-2.5</v>
      </c>
      <c r="O20" s="123">
        <v>-10</v>
      </c>
      <c r="P20" s="123">
        <v>150</v>
      </c>
      <c r="Q20" s="123">
        <v>0.5</v>
      </c>
      <c r="R20" s="123">
        <v>110</v>
      </c>
      <c r="S20" s="123" t="s">
        <v>95</v>
      </c>
      <c r="T20" s="123">
        <v>-0.7</v>
      </c>
      <c r="U20" s="123">
        <v>-1.2</v>
      </c>
      <c r="V20" s="123">
        <v>-1</v>
      </c>
      <c r="W20" s="123">
        <v>7.5</v>
      </c>
      <c r="X20" s="123">
        <v>-0.5</v>
      </c>
      <c r="Y20" s="123">
        <v>100</v>
      </c>
      <c r="Z20" s="123">
        <v>3.3</v>
      </c>
      <c r="AA20" s="123">
        <v>20</v>
      </c>
      <c r="AB20" s="123" t="s">
        <v>95</v>
      </c>
      <c r="AC20" s="123">
        <v>0.8</v>
      </c>
      <c r="AD20" s="123">
        <v>0.17399999999999999</v>
      </c>
      <c r="AE20" s="123">
        <v>0.105</v>
      </c>
      <c r="AF20" s="123">
        <v>8.7999999999999995E-2</v>
      </c>
      <c r="AG20" s="123" t="s">
        <v>95</v>
      </c>
      <c r="AH20" s="123">
        <v>0.33</v>
      </c>
      <c r="AI20" s="123">
        <v>0.91300000000000003</v>
      </c>
      <c r="AJ20" s="123">
        <v>0.5</v>
      </c>
      <c r="AK20" s="123" t="s">
        <v>95</v>
      </c>
      <c r="AL20" s="123">
        <v>0.19</v>
      </c>
      <c r="AM20" s="123">
        <v>0.189</v>
      </c>
      <c r="AN20" s="123">
        <v>0.191</v>
      </c>
      <c r="AO20" s="123">
        <v>0.13500000000000001</v>
      </c>
      <c r="AP20" s="123">
        <v>7.8E-2</v>
      </c>
      <c r="AQ20" s="123">
        <v>0.153</v>
      </c>
      <c r="AR20" s="123">
        <v>2.1499999999999998E-2</v>
      </c>
      <c r="AS20" s="123">
        <v>5.4999999999999997E-3</v>
      </c>
      <c r="AT20" s="123">
        <v>2.3E-2</v>
      </c>
      <c r="AU20" s="123">
        <v>-10</v>
      </c>
      <c r="AV20" s="123">
        <v>10</v>
      </c>
      <c r="AW20" s="123">
        <v>-0.01</v>
      </c>
      <c r="AX20" s="123">
        <v>-0.1</v>
      </c>
      <c r="AY20" s="123">
        <v>-0.9</v>
      </c>
      <c r="AZ20" s="123">
        <v>-8</v>
      </c>
      <c r="BA20" s="123">
        <v>-20</v>
      </c>
      <c r="BB20" s="123">
        <v>-0.3</v>
      </c>
      <c r="BC20" s="123">
        <v>-20</v>
      </c>
      <c r="BD20" s="123">
        <v>-0.01</v>
      </c>
      <c r="BE20" s="123">
        <v>-20</v>
      </c>
      <c r="BF20" s="123">
        <v>-0.01</v>
      </c>
      <c r="BG20" s="123">
        <v>4.6500000000000004</v>
      </c>
      <c r="BH20" s="123" t="s">
        <v>94</v>
      </c>
      <c r="BI20" s="123">
        <v>-0.75</v>
      </c>
      <c r="BJ20" s="123" t="s">
        <v>95</v>
      </c>
      <c r="BK20" s="123" t="s">
        <v>95</v>
      </c>
      <c r="BL20" s="123" t="s">
        <v>95</v>
      </c>
      <c r="BM20" s="123" t="s">
        <v>93</v>
      </c>
      <c r="BN20" s="123" t="s">
        <v>597</v>
      </c>
      <c r="BO20" s="123" t="s">
        <v>95</v>
      </c>
      <c r="BP20" s="123">
        <v>20</v>
      </c>
      <c r="BQ20" s="123">
        <v>-1.8</v>
      </c>
      <c r="BR20" s="123">
        <v>1.01</v>
      </c>
      <c r="BS20" s="123">
        <v>0.153</v>
      </c>
      <c r="BT20" s="123">
        <v>0.24</v>
      </c>
      <c r="BU20" s="123" t="s">
        <v>95</v>
      </c>
      <c r="BV20" s="123" t="s">
        <v>475</v>
      </c>
      <c r="BW20" s="123" t="s">
        <v>95</v>
      </c>
      <c r="BX20" s="123" t="s">
        <v>95</v>
      </c>
      <c r="BY20" s="123">
        <v>42577</v>
      </c>
      <c r="BZ20" s="123">
        <v>42577</v>
      </c>
      <c r="CA20" s="123">
        <v>2576</v>
      </c>
      <c r="CB20" s="97">
        <v>5.6000000000000001E-2</v>
      </c>
    </row>
    <row r="21" spans="1:80" x14ac:dyDescent="0.25">
      <c r="A21" s="123" t="s">
        <v>598</v>
      </c>
      <c r="B21" s="123">
        <v>146</v>
      </c>
      <c r="C21" s="123" t="s">
        <v>93</v>
      </c>
      <c r="D21" s="123" t="s">
        <v>94</v>
      </c>
      <c r="E21" s="123" t="s">
        <v>95</v>
      </c>
      <c r="F21" s="123" t="s">
        <v>95</v>
      </c>
      <c r="G21" s="123" t="s">
        <v>208</v>
      </c>
      <c r="H21" s="123" t="s">
        <v>472</v>
      </c>
      <c r="I21" s="123">
        <v>1</v>
      </c>
      <c r="J21" s="123">
        <v>0</v>
      </c>
      <c r="K21" s="123" t="s">
        <v>95</v>
      </c>
      <c r="L21" s="123">
        <v>-20</v>
      </c>
      <c r="M21" s="123">
        <v>-12</v>
      </c>
      <c r="N21" s="123">
        <v>-1.6</v>
      </c>
      <c r="O21" s="123">
        <v>-6.5</v>
      </c>
      <c r="P21" s="123">
        <v>150</v>
      </c>
      <c r="Q21" s="123">
        <v>0.5</v>
      </c>
      <c r="R21" s="123">
        <v>110</v>
      </c>
      <c r="S21" s="123" t="s">
        <v>95</v>
      </c>
      <c r="T21" s="123">
        <v>-0.7</v>
      </c>
      <c r="U21" s="123">
        <v>-1.2</v>
      </c>
      <c r="V21" s="123">
        <v>-1</v>
      </c>
      <c r="W21" s="123">
        <v>7.5</v>
      </c>
      <c r="X21" s="123">
        <v>-0.5</v>
      </c>
      <c r="Y21" s="123">
        <v>100</v>
      </c>
      <c r="Z21" s="123">
        <v>1.4</v>
      </c>
      <c r="AA21" s="123">
        <v>20</v>
      </c>
      <c r="AB21" s="123" t="s">
        <v>95</v>
      </c>
      <c r="AC21" s="123">
        <v>1.07</v>
      </c>
      <c r="AD21" s="123">
        <v>0.39</v>
      </c>
      <c r="AE21" s="123">
        <v>0.245</v>
      </c>
      <c r="AF21" s="123">
        <v>0.20499999999999999</v>
      </c>
      <c r="AG21" s="123" t="s">
        <v>95</v>
      </c>
      <c r="AH21" s="123">
        <v>0.34</v>
      </c>
      <c r="AI21" s="123">
        <v>0.95899999999999996</v>
      </c>
      <c r="AJ21" s="123">
        <v>0.47</v>
      </c>
      <c r="AK21" s="123" t="s">
        <v>95</v>
      </c>
      <c r="AL21" s="123">
        <v>0.19900000000000001</v>
      </c>
      <c r="AM21" s="123">
        <v>0.19800000000000001</v>
      </c>
      <c r="AN21" s="123">
        <v>0.2</v>
      </c>
      <c r="AO21" s="123">
        <v>0.15</v>
      </c>
      <c r="AP21" s="123">
        <v>8.2000000000000003E-2</v>
      </c>
      <c r="AQ21" s="123">
        <v>0.16</v>
      </c>
      <c r="AR21" s="123">
        <v>0.02</v>
      </c>
      <c r="AS21" s="123">
        <v>5.7999999999999996E-3</v>
      </c>
      <c r="AT21" s="123">
        <v>2.5000000000000001E-2</v>
      </c>
      <c r="AU21" s="123">
        <v>-10</v>
      </c>
      <c r="AV21" s="123">
        <v>10</v>
      </c>
      <c r="AW21" s="123">
        <v>-0.01</v>
      </c>
      <c r="AX21" s="123">
        <v>-0.04</v>
      </c>
      <c r="AY21" s="123">
        <v>-1.4</v>
      </c>
      <c r="AZ21" s="123">
        <v>-5</v>
      </c>
      <c r="BA21" s="123">
        <v>-20</v>
      </c>
      <c r="BB21" s="123">
        <v>-0.3</v>
      </c>
      <c r="BC21" s="123">
        <v>-20</v>
      </c>
      <c r="BD21" s="123">
        <v>-0.01</v>
      </c>
      <c r="BE21" s="123">
        <v>-20</v>
      </c>
      <c r="BF21" s="123">
        <v>-0.01</v>
      </c>
      <c r="BG21" s="123">
        <v>4.7</v>
      </c>
      <c r="BH21" s="123" t="s">
        <v>94</v>
      </c>
      <c r="BI21" s="123">
        <v>-0.75</v>
      </c>
      <c r="BJ21" s="123" t="s">
        <v>95</v>
      </c>
      <c r="BK21" s="123" t="s">
        <v>95</v>
      </c>
      <c r="BL21" s="123" t="s">
        <v>95</v>
      </c>
      <c r="BM21" s="123" t="s">
        <v>93</v>
      </c>
      <c r="BN21" s="123" t="s">
        <v>599</v>
      </c>
      <c r="BO21" s="123" t="s">
        <v>95</v>
      </c>
      <c r="BP21" s="123">
        <v>20</v>
      </c>
      <c r="BQ21" s="123">
        <v>-1.9</v>
      </c>
      <c r="BR21" s="123">
        <v>1.06</v>
      </c>
      <c r="BS21" s="123">
        <v>0.16</v>
      </c>
      <c r="BT21" s="123">
        <v>0.252</v>
      </c>
      <c r="BU21" s="123" t="s">
        <v>95</v>
      </c>
      <c r="BV21" s="123" t="s">
        <v>475</v>
      </c>
      <c r="BW21" s="123" t="s">
        <v>95</v>
      </c>
      <c r="BX21" s="123" t="s">
        <v>95</v>
      </c>
      <c r="BY21" s="123">
        <v>42577</v>
      </c>
      <c r="BZ21" s="123">
        <v>42577</v>
      </c>
      <c r="CA21" s="123">
        <v>2577</v>
      </c>
      <c r="CB21" s="97">
        <v>0.04</v>
      </c>
    </row>
    <row r="22" spans="1:80" x14ac:dyDescent="0.25">
      <c r="A22" s="123" t="s">
        <v>600</v>
      </c>
      <c r="B22" s="123">
        <v>146</v>
      </c>
      <c r="C22" s="123" t="s">
        <v>93</v>
      </c>
      <c r="D22" s="123" t="s">
        <v>94</v>
      </c>
      <c r="E22" s="123" t="s">
        <v>95</v>
      </c>
      <c r="F22" s="123" t="s">
        <v>95</v>
      </c>
      <c r="G22" s="123" t="s">
        <v>208</v>
      </c>
      <c r="H22" s="123" t="s">
        <v>472</v>
      </c>
      <c r="I22" s="123">
        <v>1</v>
      </c>
      <c r="J22" s="123">
        <v>0</v>
      </c>
      <c r="K22" s="123" t="s">
        <v>95</v>
      </c>
      <c r="L22" s="123">
        <v>-20</v>
      </c>
      <c r="M22" s="123">
        <v>-12</v>
      </c>
      <c r="N22" s="123">
        <v>-2.5</v>
      </c>
      <c r="O22" s="123">
        <v>-22</v>
      </c>
      <c r="P22" s="123">
        <v>150</v>
      </c>
      <c r="Q22" s="123">
        <v>0.5</v>
      </c>
      <c r="R22" s="123">
        <v>110</v>
      </c>
      <c r="S22" s="123" t="s">
        <v>95</v>
      </c>
      <c r="T22" s="123">
        <v>-0.7</v>
      </c>
      <c r="U22" s="123">
        <v>-1.2</v>
      </c>
      <c r="V22" s="123">
        <v>-1</v>
      </c>
      <c r="W22" s="123">
        <v>7.5</v>
      </c>
      <c r="X22" s="123">
        <v>-0.5</v>
      </c>
      <c r="Y22" s="123">
        <v>100</v>
      </c>
      <c r="Z22" s="123">
        <v>3.5</v>
      </c>
      <c r="AA22" s="123">
        <v>20</v>
      </c>
      <c r="AB22" s="123" t="s">
        <v>95</v>
      </c>
      <c r="AC22" s="123">
        <v>0.82499999999999996</v>
      </c>
      <c r="AD22" s="123">
        <v>0.18</v>
      </c>
      <c r="AE22" s="123">
        <v>0.109</v>
      </c>
      <c r="AF22" s="123">
        <v>9.4E-2</v>
      </c>
      <c r="AG22" s="123" t="s">
        <v>95</v>
      </c>
      <c r="AH22" s="123">
        <v>0.36</v>
      </c>
      <c r="AI22" s="123">
        <v>1.0900000000000001</v>
      </c>
      <c r="AJ22" s="123">
        <v>0.6</v>
      </c>
      <c r="AK22" s="123" t="s">
        <v>95</v>
      </c>
      <c r="AL22" s="123">
        <v>0.18099999999999999</v>
      </c>
      <c r="AM22" s="123">
        <v>0.17499999999999999</v>
      </c>
      <c r="AN22" s="123">
        <v>0.189</v>
      </c>
      <c r="AO22" s="123">
        <v>7.9299999999999995E-2</v>
      </c>
      <c r="AP22" s="123">
        <v>7.8E-2</v>
      </c>
      <c r="AQ22" s="123">
        <v>8.8900000000000007E-2</v>
      </c>
      <c r="AR22" s="123">
        <v>2.0299999999999999E-2</v>
      </c>
      <c r="AS22" s="123">
        <v>5.4999999999999997E-3</v>
      </c>
      <c r="AT22" s="123">
        <v>3.0300000000000001E-2</v>
      </c>
      <c r="AU22" s="123">
        <v>-10</v>
      </c>
      <c r="AV22" s="123">
        <v>10</v>
      </c>
      <c r="AW22" s="123">
        <v>-0.1</v>
      </c>
      <c r="AX22" s="123">
        <v>-0.7</v>
      </c>
      <c r="AY22" s="123">
        <v>-0.8</v>
      </c>
      <c r="AZ22" s="123">
        <v>-5.71</v>
      </c>
      <c r="BA22" s="123">
        <v>-1.97</v>
      </c>
      <c r="BB22" s="123">
        <v>-5.71</v>
      </c>
      <c r="BC22" s="123">
        <v>-20</v>
      </c>
      <c r="BD22" s="123">
        <v>-0.5</v>
      </c>
      <c r="BE22" s="123">
        <v>-20</v>
      </c>
      <c r="BF22" s="123">
        <v>-0.1</v>
      </c>
      <c r="BG22" s="123">
        <v>4.3</v>
      </c>
      <c r="BH22" s="123" t="s">
        <v>94</v>
      </c>
      <c r="BI22" s="123">
        <v>-0.75</v>
      </c>
      <c r="BJ22" s="123" t="s">
        <v>95</v>
      </c>
      <c r="BK22" s="123" t="s">
        <v>95</v>
      </c>
      <c r="BL22" s="123" t="s">
        <v>95</v>
      </c>
      <c r="BM22" s="123" t="s">
        <v>93</v>
      </c>
      <c r="BN22" s="123" t="s">
        <v>601</v>
      </c>
      <c r="BO22" s="123" t="s">
        <v>95</v>
      </c>
      <c r="BP22" s="123">
        <v>20</v>
      </c>
      <c r="BQ22" s="123">
        <v>-1.8</v>
      </c>
      <c r="BR22" s="123">
        <v>0.97</v>
      </c>
      <c r="BS22" s="123">
        <v>0.15</v>
      </c>
      <c r="BT22" s="123">
        <v>0.35</v>
      </c>
      <c r="BU22" s="123" t="s">
        <v>95</v>
      </c>
      <c r="BV22" s="123" t="s">
        <v>475</v>
      </c>
      <c r="BW22" s="123" t="s">
        <v>95</v>
      </c>
      <c r="BX22" s="123" t="s">
        <v>95</v>
      </c>
      <c r="BY22" s="123">
        <v>42577</v>
      </c>
      <c r="BZ22" s="123">
        <v>42577</v>
      </c>
      <c r="CA22" s="123">
        <v>2578</v>
      </c>
      <c r="CB22" s="97">
        <v>6.3E-2</v>
      </c>
    </row>
    <row r="23" spans="1:80" x14ac:dyDescent="0.25">
      <c r="A23" s="123" t="s">
        <v>602</v>
      </c>
      <c r="B23" s="123">
        <v>146</v>
      </c>
      <c r="C23" s="123" t="s">
        <v>95</v>
      </c>
      <c r="D23" s="123" t="s">
        <v>102</v>
      </c>
      <c r="E23" s="123" t="s">
        <v>95</v>
      </c>
      <c r="F23" s="123" t="s">
        <v>95</v>
      </c>
      <c r="G23" s="123" t="s">
        <v>603</v>
      </c>
      <c r="H23" s="123" t="s">
        <v>472</v>
      </c>
      <c r="I23" s="123">
        <v>1</v>
      </c>
      <c r="J23" s="123">
        <v>0</v>
      </c>
      <c r="K23" s="123">
        <v>1</v>
      </c>
      <c r="L23" s="123">
        <v>-20</v>
      </c>
      <c r="M23" s="123">
        <v>-12</v>
      </c>
      <c r="N23" s="123">
        <v>-5.3</v>
      </c>
      <c r="O23" s="123">
        <v>-31</v>
      </c>
      <c r="P23" s="123">
        <v>150</v>
      </c>
      <c r="Q23" s="123">
        <v>1.4</v>
      </c>
      <c r="R23" s="123">
        <v>245</v>
      </c>
      <c r="S23" s="123" t="s">
        <v>95</v>
      </c>
      <c r="T23" s="123">
        <v>-0.7</v>
      </c>
      <c r="U23" s="123">
        <v>-1.3</v>
      </c>
      <c r="V23" s="123">
        <v>-1</v>
      </c>
      <c r="W23" s="123" t="s">
        <v>95</v>
      </c>
      <c r="X23" s="123" t="s">
        <v>95</v>
      </c>
      <c r="Y23" s="123" t="s">
        <v>95</v>
      </c>
      <c r="Z23" s="123">
        <v>7</v>
      </c>
      <c r="AA23" s="123">
        <v>20</v>
      </c>
      <c r="AB23" s="123" t="s">
        <v>95</v>
      </c>
      <c r="AC23" s="123">
        <v>0.25</v>
      </c>
      <c r="AD23" s="123">
        <v>7.0000000000000007E-2</v>
      </c>
      <c r="AE23" s="123">
        <v>4.2000000000000003E-2</v>
      </c>
      <c r="AF23" s="123">
        <v>3.5000000000000003E-2</v>
      </c>
      <c r="AG23" s="123" t="s">
        <v>95</v>
      </c>
      <c r="AH23" s="123">
        <v>0.37</v>
      </c>
      <c r="AI23" s="123">
        <v>2.7</v>
      </c>
      <c r="AJ23" s="123" t="s">
        <v>95</v>
      </c>
      <c r="AK23" s="123" t="s">
        <v>95</v>
      </c>
      <c r="AL23" s="123" t="s">
        <v>95</v>
      </c>
      <c r="AM23" s="123" t="s">
        <v>95</v>
      </c>
      <c r="AN23" s="123" t="s">
        <v>95</v>
      </c>
      <c r="AO23" s="123" t="s">
        <v>95</v>
      </c>
      <c r="AP23" s="123" t="s">
        <v>95</v>
      </c>
      <c r="AQ23" s="123" t="s">
        <v>95</v>
      </c>
      <c r="AR23" s="123" t="s">
        <v>95</v>
      </c>
      <c r="AS23" s="123" t="s">
        <v>95</v>
      </c>
      <c r="AT23" s="123" t="s">
        <v>95</v>
      </c>
      <c r="AU23" s="123" t="s">
        <v>95</v>
      </c>
      <c r="AV23" s="123" t="s">
        <v>95</v>
      </c>
      <c r="AW23" s="123" t="s">
        <v>95</v>
      </c>
      <c r="AX23" s="123" t="s">
        <v>95</v>
      </c>
      <c r="AY23" s="123" t="s">
        <v>95</v>
      </c>
      <c r="AZ23" s="123" t="s">
        <v>95</v>
      </c>
      <c r="BA23" s="123" t="s">
        <v>95</v>
      </c>
      <c r="BB23" s="123" t="s">
        <v>95</v>
      </c>
      <c r="BC23" s="123" t="s">
        <v>95</v>
      </c>
      <c r="BD23" s="123" t="s">
        <v>95</v>
      </c>
      <c r="BE23" s="123" t="s">
        <v>95</v>
      </c>
      <c r="BF23" s="123" t="s">
        <v>95</v>
      </c>
      <c r="BG23" s="123" t="s">
        <v>95</v>
      </c>
      <c r="BH23" s="123" t="s">
        <v>94</v>
      </c>
      <c r="BI23" s="123" t="s">
        <v>95</v>
      </c>
      <c r="BJ23" s="123" t="s">
        <v>95</v>
      </c>
      <c r="BK23" s="123" t="s">
        <v>95</v>
      </c>
      <c r="BL23" s="123" t="s">
        <v>95</v>
      </c>
      <c r="BM23" s="123" t="s">
        <v>93</v>
      </c>
      <c r="BN23" s="126" t="s">
        <v>604</v>
      </c>
      <c r="BO23" s="123" t="s">
        <v>95</v>
      </c>
      <c r="BP23" s="123" t="s">
        <v>95</v>
      </c>
      <c r="BQ23" s="123" t="s">
        <v>95</v>
      </c>
      <c r="BR23" s="123" t="s">
        <v>95</v>
      </c>
      <c r="BS23" s="123">
        <v>0.56000000000000005</v>
      </c>
      <c r="BT23" s="123">
        <v>0.67</v>
      </c>
      <c r="BU23" s="123" t="s">
        <v>94</v>
      </c>
      <c r="BV23" s="123" t="s">
        <v>563</v>
      </c>
      <c r="BW23" s="123" t="s">
        <v>94</v>
      </c>
      <c r="BX23" s="123" t="s">
        <v>95</v>
      </c>
      <c r="BY23" s="123" t="s">
        <v>95</v>
      </c>
      <c r="BZ23" s="123" t="s">
        <v>95</v>
      </c>
      <c r="CA23" s="123">
        <v>3281</v>
      </c>
      <c r="CB23" s="97">
        <v>8.6999999999999994E-2</v>
      </c>
    </row>
    <row r="24" spans="1:80" x14ac:dyDescent="0.25">
      <c r="A24" s="124" t="s">
        <v>605</v>
      </c>
      <c r="B24" s="124">
        <v>146</v>
      </c>
      <c r="C24" s="124" t="s">
        <v>95</v>
      </c>
      <c r="D24" s="124" t="s">
        <v>102</v>
      </c>
      <c r="E24" s="124" t="s">
        <v>95</v>
      </c>
      <c r="F24" s="124" t="s">
        <v>95</v>
      </c>
      <c r="G24" s="124" t="s">
        <v>400</v>
      </c>
      <c r="H24" s="124" t="s">
        <v>472</v>
      </c>
      <c r="I24" s="124">
        <v>1</v>
      </c>
      <c r="J24" s="124">
        <v>0</v>
      </c>
      <c r="K24" s="124" t="s">
        <v>95</v>
      </c>
      <c r="L24" s="124">
        <v>-20</v>
      </c>
      <c r="M24" s="124">
        <v>-20</v>
      </c>
      <c r="N24" s="124">
        <v>-3.6</v>
      </c>
      <c r="O24" s="124">
        <v>-13.6</v>
      </c>
      <c r="P24" s="124">
        <v>150</v>
      </c>
      <c r="Q24" s="124">
        <v>0.5</v>
      </c>
      <c r="R24" s="124">
        <v>255</v>
      </c>
      <c r="S24" s="124" t="s">
        <v>95</v>
      </c>
      <c r="T24" s="124">
        <v>-0.45</v>
      </c>
      <c r="U24" s="124">
        <v>-1.05</v>
      </c>
      <c r="V24" s="124">
        <v>-0.95</v>
      </c>
      <c r="W24" s="124" t="s">
        <v>95</v>
      </c>
      <c r="X24" s="124" t="s">
        <v>95</v>
      </c>
      <c r="Y24" s="124" t="s">
        <v>95</v>
      </c>
      <c r="Z24" s="124">
        <v>3.4</v>
      </c>
      <c r="AA24" s="124">
        <v>33</v>
      </c>
      <c r="AB24" s="123" t="s">
        <v>95</v>
      </c>
      <c r="AC24" s="124">
        <v>0.26</v>
      </c>
      <c r="AD24" s="124">
        <v>0.125</v>
      </c>
      <c r="AE24" s="124">
        <v>7.5999999999999998E-2</v>
      </c>
      <c r="AF24" s="124" t="s">
        <v>95</v>
      </c>
      <c r="AG24" s="124" t="s">
        <v>95</v>
      </c>
      <c r="AH24" s="124">
        <v>0.38</v>
      </c>
      <c r="AI24" s="124">
        <v>1.02</v>
      </c>
      <c r="AJ24" s="124" t="s">
        <v>95</v>
      </c>
      <c r="AK24" s="124" t="s">
        <v>95</v>
      </c>
      <c r="AL24" s="124" t="s">
        <v>95</v>
      </c>
      <c r="AM24" s="124" t="s">
        <v>95</v>
      </c>
      <c r="AN24" s="124" t="s">
        <v>95</v>
      </c>
      <c r="AO24" s="124" t="s">
        <v>95</v>
      </c>
      <c r="AP24" s="124" t="s">
        <v>95</v>
      </c>
      <c r="AQ24" s="124" t="s">
        <v>95</v>
      </c>
      <c r="AR24" s="124" t="s">
        <v>95</v>
      </c>
      <c r="AS24" s="124" t="s">
        <v>95</v>
      </c>
      <c r="AT24" s="124" t="s">
        <v>95</v>
      </c>
      <c r="AU24" s="124" t="s">
        <v>95</v>
      </c>
      <c r="AV24" s="124" t="s">
        <v>95</v>
      </c>
      <c r="AW24" s="124" t="s">
        <v>95</v>
      </c>
      <c r="AX24" s="124" t="s">
        <v>95</v>
      </c>
      <c r="AY24" s="124" t="s">
        <v>95</v>
      </c>
      <c r="AZ24" s="124" t="s">
        <v>95</v>
      </c>
      <c r="BA24" s="124" t="s">
        <v>95</v>
      </c>
      <c r="BB24" s="124" t="s">
        <v>95</v>
      </c>
      <c r="BC24" s="124" t="s">
        <v>95</v>
      </c>
      <c r="BD24" s="124" t="s">
        <v>95</v>
      </c>
      <c r="BE24" s="124" t="s">
        <v>95</v>
      </c>
      <c r="BF24" s="124" t="s">
        <v>95</v>
      </c>
      <c r="BG24" s="124" t="s">
        <v>95</v>
      </c>
      <c r="BH24" s="124" t="s">
        <v>94</v>
      </c>
      <c r="BI24" s="124" t="s">
        <v>95</v>
      </c>
      <c r="BJ24" s="124" t="s">
        <v>95</v>
      </c>
      <c r="BK24" s="124" t="s">
        <v>95</v>
      </c>
      <c r="BL24" s="124" t="s">
        <v>95</v>
      </c>
      <c r="BM24" s="124" t="s">
        <v>93</v>
      </c>
      <c r="BN24" s="125" t="s">
        <v>604</v>
      </c>
      <c r="BO24" s="124" t="s">
        <v>95</v>
      </c>
      <c r="BP24" s="124" t="s">
        <v>95</v>
      </c>
      <c r="BQ24" s="124" t="s">
        <v>95</v>
      </c>
      <c r="BR24" s="124" t="s">
        <v>95</v>
      </c>
      <c r="BS24" s="124">
        <v>0.56000000000000005</v>
      </c>
      <c r="BT24" s="124">
        <v>0.67</v>
      </c>
      <c r="BU24" s="124" t="s">
        <v>94</v>
      </c>
      <c r="BV24" s="124" t="s">
        <v>563</v>
      </c>
      <c r="BW24" s="124" t="s">
        <v>94</v>
      </c>
      <c r="BX24" s="124" t="s">
        <v>95</v>
      </c>
      <c r="BY24" s="124" t="s">
        <v>95</v>
      </c>
      <c r="BZ24" s="124" t="s">
        <v>95</v>
      </c>
      <c r="CA24" s="124">
        <v>3281</v>
      </c>
      <c r="CB24" s="97">
        <v>5.6000000000000001E-2</v>
      </c>
    </row>
    <row r="25" spans="1:80" x14ac:dyDescent="0.25">
      <c r="A25" s="127" t="s">
        <v>685</v>
      </c>
      <c r="B25" s="127">
        <v>146</v>
      </c>
      <c r="C25" s="127" t="s">
        <v>93</v>
      </c>
      <c r="D25" s="127" t="s">
        <v>94</v>
      </c>
      <c r="E25" s="127" t="s">
        <v>95</v>
      </c>
      <c r="F25" s="127" t="s">
        <v>95</v>
      </c>
      <c r="G25" s="127" t="s">
        <v>208</v>
      </c>
      <c r="H25" s="127" t="s">
        <v>472</v>
      </c>
      <c r="I25" s="127">
        <v>1</v>
      </c>
      <c r="J25" s="127">
        <v>0</v>
      </c>
      <c r="K25" s="127" t="s">
        <v>95</v>
      </c>
      <c r="L25" s="127">
        <v>-20</v>
      </c>
      <c r="M25" s="127">
        <v>-6</v>
      </c>
      <c r="N25" s="127">
        <v>-1.2</v>
      </c>
      <c r="O25" s="127" t="s">
        <v>95</v>
      </c>
      <c r="P25" s="127">
        <v>150</v>
      </c>
      <c r="Q25" s="127">
        <v>0.7</v>
      </c>
      <c r="R25" s="127">
        <v>90</v>
      </c>
      <c r="S25" s="127" t="s">
        <v>95</v>
      </c>
      <c r="T25" s="127">
        <v>-0.6</v>
      </c>
      <c r="U25" s="127">
        <v>-1.1000000000000001</v>
      </c>
      <c r="V25" s="127">
        <v>-1</v>
      </c>
      <c r="W25" s="127">
        <v>23</v>
      </c>
      <c r="X25" s="127">
        <v>-1</v>
      </c>
      <c r="Y25" s="127">
        <v>200</v>
      </c>
      <c r="Z25" s="127">
        <v>6.2</v>
      </c>
      <c r="AA25" s="127">
        <v>27</v>
      </c>
      <c r="AB25" s="127"/>
      <c r="AC25" s="127"/>
      <c r="AD25" s="127">
        <v>7.6999999999999999E-2</v>
      </c>
      <c r="AE25" s="127">
        <v>5.3999999999999999E-2</v>
      </c>
      <c r="AF25" s="127" t="s">
        <v>95</v>
      </c>
      <c r="AG25" s="127" t="s">
        <v>95</v>
      </c>
      <c r="AH25" s="127">
        <v>0.35</v>
      </c>
      <c r="AI25" s="127">
        <v>2.9</v>
      </c>
      <c r="AJ25" s="127">
        <v>1.6</v>
      </c>
      <c r="AK25" s="127" t="s">
        <v>95</v>
      </c>
      <c r="AL25" s="127">
        <v>0.47599999999999998</v>
      </c>
      <c r="AM25" s="127">
        <v>0.45800000000000002</v>
      </c>
      <c r="AN25" s="127">
        <v>0.48799999999999999</v>
      </c>
      <c r="AO25" s="127">
        <v>0.39900000000000002</v>
      </c>
      <c r="AP25" s="127">
        <v>0.22500000000000001</v>
      </c>
      <c r="AQ25" s="127">
        <v>0.45100000000000001</v>
      </c>
      <c r="AR25" s="127">
        <v>4.2200000000000001E-2</v>
      </c>
      <c r="AS25" s="127">
        <v>1.04E-2</v>
      </c>
      <c r="AT25" s="127">
        <v>5.5599999999999997E-2</v>
      </c>
      <c r="AU25" s="127">
        <v>-10</v>
      </c>
      <c r="AV25" s="127">
        <v>10</v>
      </c>
      <c r="AW25" s="127">
        <v>-0.01</v>
      </c>
      <c r="AX25" s="127">
        <v>-0.09</v>
      </c>
      <c r="AY25" s="127">
        <v>-0.85</v>
      </c>
      <c r="AZ25" s="127">
        <v>-9</v>
      </c>
      <c r="BA25" s="127">
        <v>-20</v>
      </c>
      <c r="BB25" s="127">
        <v>-0.3</v>
      </c>
      <c r="BC25" s="127">
        <v>-20</v>
      </c>
      <c r="BD25" s="127">
        <v>-0.01</v>
      </c>
      <c r="BE25" s="127">
        <v>-20</v>
      </c>
      <c r="BF25" s="127">
        <v>-0.01</v>
      </c>
      <c r="BG25" s="127">
        <v>1.6</v>
      </c>
      <c r="BH25" s="127" t="s">
        <v>94</v>
      </c>
      <c r="BI25" s="127">
        <v>-0.8</v>
      </c>
      <c r="BJ25" s="127" t="s">
        <v>95</v>
      </c>
      <c r="BK25" s="127" t="s">
        <v>95</v>
      </c>
      <c r="BL25" s="127" t="s">
        <v>95</v>
      </c>
      <c r="BM25" s="127" t="s">
        <v>93</v>
      </c>
      <c r="BN25" s="127" t="s">
        <v>724</v>
      </c>
      <c r="BO25" s="127" t="s">
        <v>95</v>
      </c>
      <c r="BP25" s="127">
        <v>27</v>
      </c>
      <c r="BQ25" s="127">
        <v>-1.7</v>
      </c>
      <c r="BR25" s="127">
        <v>10.5</v>
      </c>
      <c r="BS25" s="127">
        <v>0.4</v>
      </c>
      <c r="BT25" s="127">
        <v>0.7</v>
      </c>
      <c r="BU25" s="127" t="s">
        <v>95</v>
      </c>
      <c r="BV25" s="127" t="s">
        <v>545</v>
      </c>
      <c r="BW25" s="127" t="s">
        <v>95</v>
      </c>
      <c r="BX25" s="127" t="s">
        <v>95</v>
      </c>
      <c r="BY25" s="127">
        <v>42577</v>
      </c>
      <c r="BZ25" s="127">
        <v>42577</v>
      </c>
      <c r="CA25" s="127">
        <v>2581</v>
      </c>
    </row>
    <row r="26" spans="1:80" x14ac:dyDescent="0.25">
      <c r="A26" s="127" t="s">
        <v>686</v>
      </c>
      <c r="B26" s="127">
        <v>146</v>
      </c>
      <c r="C26" s="127" t="s">
        <v>93</v>
      </c>
      <c r="D26" s="127" t="s">
        <v>102</v>
      </c>
      <c r="E26" s="127" t="s">
        <v>725</v>
      </c>
      <c r="F26" s="127" t="s">
        <v>726</v>
      </c>
      <c r="G26" s="127" t="s">
        <v>727</v>
      </c>
      <c r="H26" s="127" t="s">
        <v>472</v>
      </c>
      <c r="I26" s="127">
        <v>2</v>
      </c>
      <c r="J26" s="127">
        <v>1</v>
      </c>
      <c r="K26" s="127">
        <v>1</v>
      </c>
      <c r="L26" s="127">
        <v>-20</v>
      </c>
      <c r="M26" s="127">
        <v>-6</v>
      </c>
      <c r="N26" s="127">
        <v>-1.6</v>
      </c>
      <c r="O26" s="127" t="s">
        <v>95</v>
      </c>
      <c r="P26" s="127">
        <v>150</v>
      </c>
      <c r="Q26" s="127">
        <v>0.75</v>
      </c>
      <c r="R26" s="127">
        <v>90</v>
      </c>
      <c r="S26" s="127" t="s">
        <v>95</v>
      </c>
      <c r="T26" s="127">
        <v>-0.5</v>
      </c>
      <c r="U26" s="127">
        <v>-1.1000000000000001</v>
      </c>
      <c r="V26" s="127">
        <v>-1</v>
      </c>
      <c r="W26" s="127">
        <v>9</v>
      </c>
      <c r="X26" s="127">
        <v>-1</v>
      </c>
      <c r="Y26" s="127">
        <v>200</v>
      </c>
      <c r="Z26" s="127">
        <v>7.5</v>
      </c>
      <c r="AA26" s="127">
        <v>0</v>
      </c>
      <c r="AB26" s="127"/>
      <c r="AC26" s="127"/>
      <c r="AD26" s="127">
        <v>8.7999999999999995E-2</v>
      </c>
      <c r="AE26" s="127">
        <v>6.8000000000000005E-2</v>
      </c>
      <c r="AF26" s="127" t="s">
        <v>95</v>
      </c>
      <c r="AG26" s="127" t="s">
        <v>95</v>
      </c>
      <c r="AH26" s="127">
        <v>0.34</v>
      </c>
      <c r="AI26" s="127">
        <v>1.9</v>
      </c>
      <c r="AJ26" s="127">
        <v>1.1399999999999999</v>
      </c>
      <c r="AK26" s="127" t="s">
        <v>95</v>
      </c>
      <c r="AL26" s="127">
        <v>0.315</v>
      </c>
      <c r="AM26" s="127">
        <v>0.315</v>
      </c>
      <c r="AN26" s="127">
        <v>0.315</v>
      </c>
      <c r="AO26" s="127">
        <v>0.23100000000000001</v>
      </c>
      <c r="AP26" s="127">
        <v>0.123</v>
      </c>
      <c r="AQ26" s="127">
        <v>0.26100000000000001</v>
      </c>
      <c r="AR26" s="127">
        <v>3.1899999999999998E-2</v>
      </c>
      <c r="AS26" s="127">
        <v>7.6999999999999999E-2</v>
      </c>
      <c r="AT26" s="127">
        <v>3.9899999999999998E-2</v>
      </c>
      <c r="AU26" s="127">
        <v>-10</v>
      </c>
      <c r="AV26" s="127">
        <v>10</v>
      </c>
      <c r="AW26" s="127">
        <v>-0.1</v>
      </c>
      <c r="AX26" s="127">
        <v>-1.07</v>
      </c>
      <c r="AY26" s="127">
        <v>-1.02</v>
      </c>
      <c r="AZ26" s="127">
        <v>-10.88</v>
      </c>
      <c r="BA26" s="127">
        <v>-20</v>
      </c>
      <c r="BB26" s="127">
        <v>-0.54</v>
      </c>
      <c r="BC26" s="127">
        <v>-20</v>
      </c>
      <c r="BD26" s="127">
        <v>-0.1</v>
      </c>
      <c r="BE26" s="127">
        <v>-20</v>
      </c>
      <c r="BF26" s="127">
        <v>-0.1</v>
      </c>
      <c r="BG26" s="127">
        <v>2.2400000000000002</v>
      </c>
      <c r="BH26" s="127" t="s">
        <v>94</v>
      </c>
      <c r="BI26" s="127">
        <v>-0.75</v>
      </c>
      <c r="BJ26" s="127" t="s">
        <v>95</v>
      </c>
      <c r="BK26" s="127" t="s">
        <v>95</v>
      </c>
      <c r="BL26" s="127" t="s">
        <v>95</v>
      </c>
      <c r="BM26" s="127" t="s">
        <v>93</v>
      </c>
      <c r="BN26" s="127" t="s">
        <v>728</v>
      </c>
      <c r="BO26" s="127" t="s">
        <v>95</v>
      </c>
      <c r="BP26" s="127">
        <v>0</v>
      </c>
      <c r="BQ26" s="127">
        <v>-1.5</v>
      </c>
      <c r="BR26" s="127">
        <v>4.3</v>
      </c>
      <c r="BS26" s="127">
        <v>0.23</v>
      </c>
      <c r="BT26" s="127">
        <v>0.48</v>
      </c>
      <c r="BU26" s="127" t="s">
        <v>94</v>
      </c>
      <c r="BV26" s="127" t="s">
        <v>514</v>
      </c>
      <c r="BW26" s="127" t="s">
        <v>94</v>
      </c>
      <c r="BX26" s="127" t="s">
        <v>95</v>
      </c>
      <c r="BY26" s="127">
        <v>42577</v>
      </c>
      <c r="BZ26" s="127">
        <v>42680.99722222222</v>
      </c>
      <c r="CA26" s="127">
        <v>3156</v>
      </c>
    </row>
  </sheetData>
  <sheetProtection algorithmName="SHA-512" hashValue="DKF/3m6m1mRWGootTRbUwXtYgrOIi1XzBHt7gyiNxuNB8zThtbOcdOpMnoaJNAxHmst+om1oXKr18Ym4OewgAw==" saltValue="kqxrScg99zFI3y3Tj6roZQ==" spinCount="100000" sheet="1" objects="1" scenarios="1"/>
  <hyperlinks>
    <hyperlink ref="BN23" r:id="rId1" xr:uid="{00000000-0004-0000-0500-000000000000}"/>
    <hyperlink ref="BN4" r:id="rId2" xr:uid="{00000000-0004-0000-0500-000001000000}"/>
    <hyperlink ref="BN5" r:id="rId3" xr:uid="{00000000-0004-0000-0500-000002000000}"/>
    <hyperlink ref="BN9" r:id="rId4" xr:uid="{00000000-0004-0000-0500-000003000000}"/>
    <hyperlink ref="BN24" r:id="rId5" xr:uid="{00000000-0004-0000-0500-000004000000}"/>
    <hyperlink ref="BN18" r:id="rId6" xr:uid="{00000000-0004-0000-0500-000005000000}"/>
  </hyperlinks>
  <pageMargins left="0.7" right="0.7" top="0.75" bottom="0.75" header="0.3" footer="0.3"/>
  <pageSetup orientation="portrait" r:id="rId7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C144"/>
  <sheetViews>
    <sheetView workbookViewId="0">
      <pane ySplit="1" topLeftCell="A2" activePane="bottomLeft" state="frozen"/>
      <selection activeCell="K27" sqref="K27"/>
      <selection pane="bottomLeft" activeCell="B3" sqref="B3:B144"/>
    </sheetView>
  </sheetViews>
  <sheetFormatPr defaultColWidth="9.140625" defaultRowHeight="15" x14ac:dyDescent="0.25"/>
  <cols>
    <col min="1" max="1" width="14" style="20" bestFit="1" customWidth="1"/>
    <col min="2" max="2" width="12.5703125" style="20" bestFit="1" customWidth="1"/>
    <col min="3" max="3" width="25.42578125" style="20" customWidth="1"/>
    <col min="4" max="4" width="12" style="20" bestFit="1" customWidth="1"/>
    <col min="5" max="8" width="15" style="20" bestFit="1" customWidth="1"/>
    <col min="9" max="9" width="11.140625" style="20" bestFit="1" customWidth="1"/>
    <col min="10" max="10" width="10.28515625" style="20" bestFit="1" customWidth="1"/>
    <col min="11" max="11" width="14" style="20" bestFit="1" customWidth="1"/>
    <col min="12" max="14" width="14.42578125" style="20" customWidth="1"/>
    <col min="15" max="15" width="14.42578125" style="20" bestFit="1" customWidth="1"/>
    <col min="16" max="16" width="13.42578125" style="20" bestFit="1" customWidth="1"/>
    <col min="17" max="17" width="7.7109375" style="20" customWidth="1"/>
    <col min="18" max="18" width="11.85546875" style="20" bestFit="1" customWidth="1"/>
    <col min="19" max="21" width="9.140625" style="20"/>
    <col min="22" max="22" width="14.85546875" style="20" bestFit="1" customWidth="1"/>
    <col min="23" max="23" width="14.85546875" style="20" customWidth="1"/>
    <col min="24" max="24" width="14.85546875" style="20" bestFit="1" customWidth="1"/>
    <col min="25" max="25" width="14.85546875" style="20" customWidth="1"/>
    <col min="26" max="27" width="14.85546875" style="20" bestFit="1" customWidth="1"/>
    <col min="28" max="28" width="13.5703125" style="20" bestFit="1" customWidth="1"/>
    <col min="29" max="16384" width="9.140625" style="20"/>
  </cols>
  <sheetData>
    <row r="1" spans="1:29" s="22" customFormat="1" ht="59.25" customHeight="1" x14ac:dyDescent="0.25">
      <c r="A1" s="21" t="s">
        <v>439</v>
      </c>
      <c r="B1" s="21" t="s">
        <v>440</v>
      </c>
      <c r="C1" s="21" t="s">
        <v>607</v>
      </c>
      <c r="D1" s="21" t="s">
        <v>532</v>
      </c>
      <c r="E1" s="21" t="s">
        <v>533</v>
      </c>
      <c r="F1" s="21" t="s">
        <v>534</v>
      </c>
      <c r="G1" s="21" t="s">
        <v>535</v>
      </c>
      <c r="H1" s="21" t="s">
        <v>536</v>
      </c>
      <c r="I1" s="21" t="s">
        <v>438</v>
      </c>
      <c r="J1" s="21" t="s">
        <v>524</v>
      </c>
      <c r="K1" s="21" t="s">
        <v>529</v>
      </c>
      <c r="L1" s="21" t="s">
        <v>433</v>
      </c>
      <c r="M1" s="21" t="s">
        <v>434</v>
      </c>
      <c r="N1" s="21" t="s">
        <v>435</v>
      </c>
      <c r="O1" s="21" t="s">
        <v>436</v>
      </c>
      <c r="P1" s="21" t="s">
        <v>437</v>
      </c>
      <c r="Q1" s="21" t="s">
        <v>530</v>
      </c>
      <c r="R1" s="21" t="s">
        <v>531</v>
      </c>
    </row>
    <row r="2" spans="1:29" x14ac:dyDescent="0.25">
      <c r="A2" s="20" t="str">
        <f>IF(R2,Load_Switch_NFET[[#This Row],[PARTNUMBER]],"")</f>
        <v/>
      </c>
      <c r="B2" s="20" t="str">
        <f>""</f>
        <v/>
      </c>
      <c r="C2" s="20" t="b">
        <f>AND((Load_Switch_NFET[[#This Row],[VDSMAX]]&gt;=Vi*1.1),(Load_Switch_NFET[[#This Row],[VGSMAX]]&gt;=(VGS_DR)*1.1),(Load_Switch_NFET[[#This Row],[IDSMAX]]&gt;=Io),VGS_DR&gt;=1.8)</f>
        <v>0</v>
      </c>
      <c r="D2" s="20" t="b">
        <f>AND(Vi&lt;=27,Load_Switch_NFET[[#This Row],[VDSMAX]]&lt;=30)</f>
        <v>1</v>
      </c>
      <c r="E2" s="20" t="b">
        <f>AND(Vi&lt;=36,Vi&gt;=20,Load_Switch_NFET[[#This Row],[VDSMAX]]=40)</f>
        <v>0</v>
      </c>
      <c r="F2" s="20" t="b">
        <f>AND(Vi&lt;=54,Vi&gt;=25,Load_Switch_NFET[[#This Row],[VDSMAX]]=60)</f>
        <v>0</v>
      </c>
      <c r="G2" s="20" t="b">
        <f>AND(Vi&lt;=72,Vi&gt;=36,Load_Switch_NFET[[#This Row],[VDSMAX]]=80)</f>
        <v>0</v>
      </c>
      <c r="H2" s="20" t="b">
        <f>AND(Vi&lt;=90,Vi&gt;=48,Load_Switch_NFET[[#This Row],[VDSMAX]]=100)</f>
        <v>0</v>
      </c>
      <c r="I2" s="20" t="b">
        <f>OR(D2:H2)</f>
        <v>1</v>
      </c>
      <c r="J2" s="20" t="b">
        <f>AND(((VGS_DR)&lt;2.5),('NFET Data'!$AC2&lt;&gt;"(Null)"))</f>
        <v>0</v>
      </c>
      <c r="K2" s="20" t="b">
        <f>AND(((VGS_DR)&gt;=2.5),((VGS_DR)&lt;3),OR(('NFET Data'!$AD2&lt;&gt;"(Null)"),('NFET Data'!$AC2&lt;&gt;"(Null)")))</f>
        <v>0</v>
      </c>
      <c r="L2" s="20" t="b">
        <f>AND(((VGS_DR)&gt;=3),((VGS_DR)&lt;4.5),OR(('NFET Data'!$AE2&lt;&gt;"(Null)"),('NFET Data'!$AD2&lt;&gt;"(Null)"),('NFET Data'!$AC2&lt;&gt;"(Null)")))</f>
        <v>0</v>
      </c>
      <c r="M2" s="20" t="b">
        <f>AND(((VGS_DR)&gt;=4.5),((VGS_DR)&lt;6),OR(('NFET Data'!$AF2&lt;&gt;"(Null)"),('NFET Data'!$AE2&lt;&gt;"(Null)"),('NFET Data'!$AD2&lt;&gt;"(Null)"),('NFET Data'!$AC2&lt;&gt;"(Null)")))</f>
        <v>1</v>
      </c>
      <c r="N2" s="20" t="b">
        <f>AND(((VGS_DR)&gt;=6),((VGS_DR)&lt;8),OR(('NFET Data'!$AG2&lt;&gt;"(Null)"),('NFET Data'!$AF2&lt;&gt;"(Null)"),('NFET Data'!$AE2&lt;&gt;"(Null)"),('NFET Data'!$AD2&lt;&gt;"(Null)"),('NFET Data'!$AC2&lt;&gt;"(Null)")))</f>
        <v>0</v>
      </c>
      <c r="O2" s="20" t="b">
        <f>AND(((VGS_DR)&gt;=8),((VGS_DR)&lt;10),OR(('NFET Data'!$AH2&lt;&gt;"(Null)"),('NFET Data'!$AG2&lt;&gt;"(Null)"),('NFET Data'!$AF2&lt;&gt;"(Null)"),('NFET Data'!$AE2&lt;&gt;"(Null)"),('NFET Data'!$AD2&lt;&gt;"(Null)"),('NFET Data'!$AC2&lt;&gt;"(Null)")))</f>
        <v>0</v>
      </c>
      <c r="P2" s="20" t="b">
        <f>AND(((VGS_DR)&gt;=10),OR(('NFET Data'!$AI2&lt;&gt;"(Null)"),('NFET Data'!$AH2&lt;&gt;"(Null)"),('NFET Data'!$AG2&lt;&gt;"(Null)"),('NFET Data'!$AF2&lt;&gt;"(Null)"),('NFET Data'!$AE2&lt;&gt;"(Null)"),('NFET Data'!$AD2&lt;&gt;"(Null)"),('NFET Data'!$AC2&lt;&gt;"(Null)")))</f>
        <v>0</v>
      </c>
      <c r="Q2" s="20" t="b">
        <f>OR(J2:P2)</f>
        <v>1</v>
      </c>
      <c r="R2" s="20" t="b">
        <f>AND(C2,I2,Q2)</f>
        <v>0</v>
      </c>
    </row>
    <row r="3" spans="1:29" x14ac:dyDescent="0.25">
      <c r="A3" s="20" t="str">
        <f>IF(R3,Load_Switch_NFET[[#This Row],[PARTNUMBER]],"")</f>
        <v>CSD13202Q2</v>
      </c>
      <c r="B3" t="s">
        <v>96</v>
      </c>
      <c r="C3" s="20" t="b">
        <f>AND((Load_Switch_NFET[[#This Row],[VDSMAX]]&gt;=Vi*1.1),(Load_Switch_NFET[[#This Row],[VGSMAX]]&gt;=(VGS_DR)*1.1),(Load_Switch_NFET[[#This Row],[IDSMAX]]&gt;=Io),VGS_DR&gt;=1.8)</f>
        <v>1</v>
      </c>
      <c r="D3" s="20" t="b">
        <f>AND(Vi&lt;=27,Load_Switch_NFET[[#This Row],[VDSMAX]]&lt;=30)</f>
        <v>1</v>
      </c>
      <c r="E3" s="20" t="b">
        <f>AND(Vi&lt;=36,Vi&gt;=20,Load_Switch_NFET[[#This Row],[VDSMAX]]=40)</f>
        <v>0</v>
      </c>
      <c r="F3" s="20" t="b">
        <f>AND(Vi&lt;=54,Vi&gt;=25,Load_Switch_NFET[[#This Row],[VDSMAX]]=60)</f>
        <v>0</v>
      </c>
      <c r="G3" s="20" t="b">
        <f>AND(Vi&lt;=72,Vi&gt;=36,Load_Switch_NFET[[#This Row],[VDSMAX]]=80)</f>
        <v>0</v>
      </c>
      <c r="H3" s="20" t="b">
        <f>AND(Vi&lt;=90,Vi&gt;=48,Load_Switch_NFET[[#This Row],[VDSMAX]]=100)</f>
        <v>0</v>
      </c>
      <c r="I3" s="20" t="b">
        <f t="shared" ref="I3:I66" si="0">OR(D3:H3)</f>
        <v>1</v>
      </c>
      <c r="J3" s="20" t="b">
        <f>AND(((VGS_DR)&lt;2.5),('NFET Data'!$AC3&lt;&gt;"(Null)"))</f>
        <v>0</v>
      </c>
      <c r="K3" s="20" t="b">
        <f>AND(((VGS_DR)&gt;=2.5),((VGS_DR)&lt;3),OR(('NFET Data'!$AD3&lt;&gt;"(Null)"),('NFET Data'!$AC3&lt;&gt;"(Null)")))</f>
        <v>0</v>
      </c>
      <c r="L3" s="20" t="b">
        <f>AND(((VGS_DR)&gt;=3),((VGS_DR)&lt;4.5),OR(('NFET Data'!$AE3&lt;&gt;"(Null)"),('NFET Data'!$AD3&lt;&gt;"(Null)"),('NFET Data'!$AC3&lt;&gt;"(Null)")))</f>
        <v>0</v>
      </c>
      <c r="M3" s="20" t="b">
        <f>AND(((VGS_DR)&gt;=4.5),((VGS_DR)&lt;6),OR(('NFET Data'!$AF3&lt;&gt;"(Null)"),('NFET Data'!$AE3&lt;&gt;"(Null)"),('NFET Data'!$AD3&lt;&gt;"(Null)"),('NFET Data'!$AC3&lt;&gt;"(Null)")))</f>
        <v>1</v>
      </c>
      <c r="N3" s="20" t="b">
        <f>AND(((VGS_DR)&gt;=6),((VGS_DR)&lt;8),OR(('NFET Data'!$AG3&lt;&gt;"(Null)"),('NFET Data'!$AF3&lt;&gt;"(Null)"),('NFET Data'!$AE3&lt;&gt;"(Null)"),('NFET Data'!$AD3&lt;&gt;"(Null)"),('NFET Data'!$AC3&lt;&gt;"(Null)")))</f>
        <v>0</v>
      </c>
      <c r="O3" s="20" t="b">
        <f>AND(((VGS_DR)&gt;=8),((VGS_DR)&lt;10),OR(('NFET Data'!$AH3&lt;&gt;"(Null)"),('NFET Data'!$AG3&lt;&gt;"(Null)"),('NFET Data'!$AF3&lt;&gt;"(Null)"),('NFET Data'!$AE3&lt;&gt;"(Null)"),('NFET Data'!$AD3&lt;&gt;"(Null)"),('NFET Data'!$AC3&lt;&gt;"(Null)")))</f>
        <v>0</v>
      </c>
      <c r="P3" s="20" t="b">
        <f>AND(((VGS_DR)&gt;=10),OR(('NFET Data'!$AI3&lt;&gt;"(Null)"),('NFET Data'!$AH3&lt;&gt;"(Null)"),('NFET Data'!$AG3&lt;&gt;"(Null)"),('NFET Data'!$AF3&lt;&gt;"(Null)"),('NFET Data'!$AE3&lt;&gt;"(Null)"),('NFET Data'!$AD3&lt;&gt;"(Null)"),('NFET Data'!$AC3&lt;&gt;"(Null)")))</f>
        <v>0</v>
      </c>
      <c r="Q3" s="20" t="b">
        <f t="shared" ref="Q3:Q66" si="1">OR(J3:P3)</f>
        <v>1</v>
      </c>
      <c r="R3" s="20" t="b">
        <f t="shared" ref="R3:R66" si="2">AND(C3,I3,Q3)</f>
        <v>1</v>
      </c>
    </row>
    <row r="4" spans="1:29" x14ac:dyDescent="0.25">
      <c r="A4" s="20" t="str">
        <f>IF(R4,Load_Switch_NFET[[#This Row],[PARTNUMBER]],"")</f>
        <v/>
      </c>
      <c r="B4" t="s">
        <v>512</v>
      </c>
      <c r="C4" s="20" t="b">
        <f>AND((Load_Switch_NFET[[#This Row],[VDSMAX]]&gt;=Vi*1.1),(Load_Switch_NFET[[#This Row],[VGSMAX]]&gt;=(VGS_DR)*1.1),(Load_Switch_NFET[[#This Row],[IDSMAX]]&gt;=Io),VGS_DR&gt;=1.8)</f>
        <v>0</v>
      </c>
      <c r="D4" s="20" t="b">
        <f>AND(Vi&lt;=27,Load_Switch_NFET[[#This Row],[VDSMAX]]&lt;=30)</f>
        <v>1</v>
      </c>
      <c r="E4" s="20" t="b">
        <f>AND(Vi&lt;=36,Vi&gt;=20,Load_Switch_NFET[[#This Row],[VDSMAX]]=40)</f>
        <v>0</v>
      </c>
      <c r="F4" s="20" t="b">
        <f>AND(Vi&lt;=54,Vi&gt;=25,Load_Switch_NFET[[#This Row],[VDSMAX]]=60)</f>
        <v>0</v>
      </c>
      <c r="G4" s="20" t="b">
        <f>AND(Vi&lt;=72,Vi&gt;=36,Load_Switch_NFET[[#This Row],[VDSMAX]]=80)</f>
        <v>0</v>
      </c>
      <c r="H4" s="20" t="b">
        <f>AND(Vi&lt;=90,Vi&gt;=48,Load_Switch_NFET[[#This Row],[VDSMAX]]=100)</f>
        <v>0</v>
      </c>
      <c r="I4" s="20" t="b">
        <f t="shared" si="0"/>
        <v>1</v>
      </c>
      <c r="J4" s="20" t="b">
        <f>AND(((VGS_DR)&lt;2.5),('NFET Data'!$AC4&lt;&gt;"(Null)"))</f>
        <v>0</v>
      </c>
      <c r="K4" s="20" t="b">
        <f>AND(((VGS_DR)&gt;=2.5),((VGS_DR)&lt;3),OR(('NFET Data'!$AD4&lt;&gt;"(Null)"),('NFET Data'!$AC4&lt;&gt;"(Null)")))</f>
        <v>0</v>
      </c>
      <c r="L4" s="20" t="b">
        <f>AND(((VGS_DR)&gt;=3),((VGS_DR)&lt;4.5),OR(('NFET Data'!$AE4&lt;&gt;"(Null)"),('NFET Data'!$AD4&lt;&gt;"(Null)"),('NFET Data'!$AC4&lt;&gt;"(Null)")))</f>
        <v>0</v>
      </c>
      <c r="M4" s="20" t="b">
        <f>AND(((VGS_DR)&gt;=4.5),((VGS_DR)&lt;6),OR(('NFET Data'!$AF4&lt;&gt;"(Null)"),('NFET Data'!$AE4&lt;&gt;"(Null)"),('NFET Data'!$AD4&lt;&gt;"(Null)"),('NFET Data'!$AC4&lt;&gt;"(Null)")))</f>
        <v>1</v>
      </c>
      <c r="N4" s="20" t="b">
        <f>AND(((VGS_DR)&gt;=6),((VGS_DR)&lt;8),OR(('NFET Data'!$AG4&lt;&gt;"(Null)"),('NFET Data'!$AF4&lt;&gt;"(Null)"),('NFET Data'!$AE4&lt;&gt;"(Null)"),('NFET Data'!$AD4&lt;&gt;"(Null)"),('NFET Data'!$AC4&lt;&gt;"(Null)")))</f>
        <v>0</v>
      </c>
      <c r="O4" s="20" t="b">
        <f>AND(((VGS_DR)&gt;=8),((VGS_DR)&lt;10),OR(('NFET Data'!$AH4&lt;&gt;"(Null)"),('NFET Data'!$AG4&lt;&gt;"(Null)"),('NFET Data'!$AF4&lt;&gt;"(Null)"),('NFET Data'!$AE4&lt;&gt;"(Null)"),('NFET Data'!$AD4&lt;&gt;"(Null)"),('NFET Data'!$AC4&lt;&gt;"(Null)")))</f>
        <v>0</v>
      </c>
      <c r="P4" s="20" t="b">
        <f>AND(((VGS_DR)&gt;=10),OR(('NFET Data'!$AI4&lt;&gt;"(Null)"),('NFET Data'!$AH4&lt;&gt;"(Null)"),('NFET Data'!$AG4&lt;&gt;"(Null)"),('NFET Data'!$AF4&lt;&gt;"(Null)"),('NFET Data'!$AE4&lt;&gt;"(Null)"),('NFET Data'!$AD4&lt;&gt;"(Null)"),('NFET Data'!$AC4&lt;&gt;"(Null)")))</f>
        <v>0</v>
      </c>
      <c r="Q4" s="20" t="b">
        <f t="shared" si="1"/>
        <v>1</v>
      </c>
      <c r="R4" s="20" t="b">
        <f t="shared" si="2"/>
        <v>0</v>
      </c>
      <c r="U4" s="185" t="s">
        <v>538</v>
      </c>
      <c r="V4" s="185"/>
      <c r="W4" s="185"/>
      <c r="X4" s="185"/>
      <c r="Y4" s="185"/>
      <c r="Z4" s="185"/>
      <c r="AA4" s="185"/>
      <c r="AB4" s="185"/>
    </row>
    <row r="5" spans="1:29" x14ac:dyDescent="0.25">
      <c r="A5" s="20" t="str">
        <f>IF(R5,Load_Switch_NFET[[#This Row],[PARTNUMBER]],"")</f>
        <v>CSD13303W1015</v>
      </c>
      <c r="B5" t="s">
        <v>515</v>
      </c>
      <c r="C5" s="20" t="b">
        <f>AND((Load_Switch_NFET[[#This Row],[VDSMAX]]&gt;=Vi*1.1),(Load_Switch_NFET[[#This Row],[VGSMAX]]&gt;=(VGS_DR)*1.1),(Load_Switch_NFET[[#This Row],[IDSMAX]]&gt;=Io),VGS_DR&gt;=1.8)</f>
        <v>1</v>
      </c>
      <c r="D5" s="20" t="b">
        <f>AND(Vi&lt;=27,Load_Switch_NFET[[#This Row],[VDSMAX]]&lt;=30)</f>
        <v>1</v>
      </c>
      <c r="E5" s="20" t="b">
        <f>AND(Vi&lt;=36,Vi&gt;=20,Load_Switch_NFET[[#This Row],[VDSMAX]]=40)</f>
        <v>0</v>
      </c>
      <c r="F5" s="20" t="b">
        <f>AND(Vi&lt;=54,Vi&gt;=25,Load_Switch_NFET[[#This Row],[VDSMAX]]=60)</f>
        <v>0</v>
      </c>
      <c r="G5" s="20" t="b">
        <f>AND(Vi&lt;=72,Vi&gt;=36,Load_Switch_NFET[[#This Row],[VDSMAX]]=80)</f>
        <v>0</v>
      </c>
      <c r="H5" s="20" t="b">
        <f>AND(Vi&lt;=90,Vi&gt;=48,Load_Switch_NFET[[#This Row],[VDSMAX]]=100)</f>
        <v>0</v>
      </c>
      <c r="I5" s="20" t="b">
        <f t="shared" si="0"/>
        <v>1</v>
      </c>
      <c r="J5" s="20" t="b">
        <f>AND(((VGS_DR)&lt;2.5),('NFET Data'!$AC5&lt;&gt;"(Null)"))</f>
        <v>0</v>
      </c>
      <c r="K5" s="20" t="b">
        <f>AND(((VGS_DR)&gt;=2.5),((VGS_DR)&lt;3),OR(('NFET Data'!$AD5&lt;&gt;"(Null)"),('NFET Data'!$AC5&lt;&gt;"(Null)")))</f>
        <v>0</v>
      </c>
      <c r="L5" s="20" t="b">
        <f>AND(((VGS_DR)&gt;=3),((VGS_DR)&lt;4.5),OR(('NFET Data'!$AE5&lt;&gt;"(Null)"),('NFET Data'!$AD5&lt;&gt;"(Null)"),('NFET Data'!$AC5&lt;&gt;"(Null)")))</f>
        <v>0</v>
      </c>
      <c r="M5" s="20" t="b">
        <f>AND(((VGS_DR)&gt;=4.5),((VGS_DR)&lt;6),OR(('NFET Data'!$AF5&lt;&gt;"(Null)"),('NFET Data'!$AE5&lt;&gt;"(Null)"),('NFET Data'!$AD5&lt;&gt;"(Null)"),('NFET Data'!$AC5&lt;&gt;"(Null)")))</f>
        <v>1</v>
      </c>
      <c r="N5" s="20" t="b">
        <f>AND(((VGS_DR)&gt;=6),((VGS_DR)&lt;8),OR(('NFET Data'!$AG5&lt;&gt;"(Null)"),('NFET Data'!$AF5&lt;&gt;"(Null)"),('NFET Data'!$AE5&lt;&gt;"(Null)"),('NFET Data'!$AD5&lt;&gt;"(Null)"),('NFET Data'!$AC5&lt;&gt;"(Null)")))</f>
        <v>0</v>
      </c>
      <c r="O5" s="20" t="b">
        <f>AND(((VGS_DR)&gt;=8),((VGS_DR)&lt;10),OR(('NFET Data'!$AH5&lt;&gt;"(Null)"),('NFET Data'!$AG5&lt;&gt;"(Null)"),('NFET Data'!$AF5&lt;&gt;"(Null)"),('NFET Data'!$AE5&lt;&gt;"(Null)"),('NFET Data'!$AD5&lt;&gt;"(Null)"),('NFET Data'!$AC5&lt;&gt;"(Null)")))</f>
        <v>0</v>
      </c>
      <c r="P5" s="20" t="b">
        <f>AND(((VGS_DR)&gt;=10),OR(('NFET Data'!$AI5&lt;&gt;"(Null)"),('NFET Data'!$AH5&lt;&gt;"(Null)"),('NFET Data'!$AG5&lt;&gt;"(Null)"),('NFET Data'!$AF5&lt;&gt;"(Null)"),('NFET Data'!$AE5&lt;&gt;"(Null)"),('NFET Data'!$AD5&lt;&gt;"(Null)"),('NFET Data'!$AC5&lt;&gt;"(Null)")))</f>
        <v>0</v>
      </c>
      <c r="Q5" s="20" t="b">
        <f t="shared" si="1"/>
        <v>1</v>
      </c>
      <c r="R5" s="20" t="b">
        <f t="shared" si="2"/>
        <v>1</v>
      </c>
      <c r="V5" s="20" t="s">
        <v>520</v>
      </c>
      <c r="W5" s="20" t="s">
        <v>43</v>
      </c>
      <c r="X5" s="20" t="s">
        <v>398</v>
      </c>
      <c r="Y5" s="20" t="s">
        <v>44</v>
      </c>
      <c r="Z5" s="20" t="s">
        <v>380</v>
      </c>
      <c r="AA5" s="20" t="s">
        <v>45</v>
      </c>
      <c r="AB5" s="20" t="s">
        <v>46</v>
      </c>
    </row>
    <row r="6" spans="1:29" x14ac:dyDescent="0.25">
      <c r="A6" s="20" t="str">
        <f>IF(R6,Load_Switch_NFET[[#This Row],[PARTNUMBER]],"")</f>
        <v>CSD13306W</v>
      </c>
      <c r="B6" t="s">
        <v>500</v>
      </c>
      <c r="C6" s="20" t="b">
        <f>AND((Load_Switch_NFET[[#This Row],[VDSMAX]]&gt;=Vi*1.1),(Load_Switch_NFET[[#This Row],[VGSMAX]]&gt;=(VGS_DR)*1.1),(Load_Switch_NFET[[#This Row],[IDSMAX]]&gt;=Io),VGS_DR&gt;=1.8)</f>
        <v>1</v>
      </c>
      <c r="D6" s="20" t="b">
        <f>AND(Vi&lt;=27,Load_Switch_NFET[[#This Row],[VDSMAX]]&lt;=30)</f>
        <v>1</v>
      </c>
      <c r="E6" s="20" t="b">
        <f>AND(Vi&lt;=36,Vi&gt;=20,Load_Switch_NFET[[#This Row],[VDSMAX]]=40)</f>
        <v>0</v>
      </c>
      <c r="F6" s="20" t="b">
        <f>AND(Vi&lt;=54,Vi&gt;=25,Load_Switch_NFET[[#This Row],[VDSMAX]]=60)</f>
        <v>0</v>
      </c>
      <c r="G6" s="20" t="b">
        <f>AND(Vi&lt;=72,Vi&gt;=36,Load_Switch_NFET[[#This Row],[VDSMAX]]=80)</f>
        <v>0</v>
      </c>
      <c r="H6" s="20" t="b">
        <f>AND(Vi&lt;=90,Vi&gt;=48,Load_Switch_NFET[[#This Row],[VDSMAX]]=100)</f>
        <v>0</v>
      </c>
      <c r="I6" s="20" t="b">
        <f t="shared" si="0"/>
        <v>1</v>
      </c>
      <c r="J6" s="20" t="b">
        <f>AND(((VGS_DR)&lt;2.5),('NFET Data'!$AC6&lt;&gt;"(Null)"))</f>
        <v>0</v>
      </c>
      <c r="K6" s="20" t="b">
        <f>AND(((VGS_DR)&gt;=2.5),((VGS_DR)&lt;3),OR(('NFET Data'!$AD6&lt;&gt;"(Null)"),('NFET Data'!$AC6&lt;&gt;"(Null)")))</f>
        <v>0</v>
      </c>
      <c r="L6" s="20" t="b">
        <f>AND(((VGS_DR)&gt;=3),((VGS_DR)&lt;4.5),OR(('NFET Data'!$AE6&lt;&gt;"(Null)"),('NFET Data'!$AD6&lt;&gt;"(Null)"),('NFET Data'!$AC6&lt;&gt;"(Null)")))</f>
        <v>0</v>
      </c>
      <c r="M6" s="20" t="b">
        <f>AND(((VGS_DR)&gt;=4.5),((VGS_DR)&lt;6),OR(('NFET Data'!$AF6&lt;&gt;"(Null)"),('NFET Data'!$AE6&lt;&gt;"(Null)"),('NFET Data'!$AD6&lt;&gt;"(Null)"),('NFET Data'!$AC6&lt;&gt;"(Null)")))</f>
        <v>1</v>
      </c>
      <c r="N6" s="20" t="b">
        <f>AND(((VGS_DR)&gt;=6),((VGS_DR)&lt;8),OR(('NFET Data'!$AG6&lt;&gt;"(Null)"),('NFET Data'!$AF6&lt;&gt;"(Null)"),('NFET Data'!$AE6&lt;&gt;"(Null)"),('NFET Data'!$AD6&lt;&gt;"(Null)"),('NFET Data'!$AC6&lt;&gt;"(Null)")))</f>
        <v>0</v>
      </c>
      <c r="O6" s="20" t="b">
        <f>AND(((VGS_DR)&gt;=8),((VGS_DR)&lt;10),OR(('NFET Data'!$AH6&lt;&gt;"(Null)"),('NFET Data'!$AG6&lt;&gt;"(Null)"),('NFET Data'!$AF6&lt;&gt;"(Null)"),('NFET Data'!$AE6&lt;&gt;"(Null)"),('NFET Data'!$AD6&lt;&gt;"(Null)"),('NFET Data'!$AC6&lt;&gt;"(Null)")))</f>
        <v>0</v>
      </c>
      <c r="P6" s="20" t="b">
        <f>AND(((VGS_DR)&gt;=10),OR(('NFET Data'!$AI6&lt;&gt;"(Null)"),('NFET Data'!$AH6&lt;&gt;"(Null)"),('NFET Data'!$AG6&lt;&gt;"(Null)"),('NFET Data'!$AF6&lt;&gt;"(Null)"),('NFET Data'!$AE6&lt;&gt;"(Null)"),('NFET Data'!$AD6&lt;&gt;"(Null)"),('NFET Data'!$AC6&lt;&gt;"(Null)")))</f>
        <v>0</v>
      </c>
      <c r="Q6" s="20" t="b">
        <f t="shared" si="1"/>
        <v>1</v>
      </c>
      <c r="R6" s="20" t="b">
        <f t="shared" si="2"/>
        <v>1</v>
      </c>
      <c r="V6" s="20" t="s">
        <v>537</v>
      </c>
      <c r="W6" s="20" t="s">
        <v>409</v>
      </c>
      <c r="X6" s="20" t="s">
        <v>410</v>
      </c>
      <c r="Y6" s="20" t="s">
        <v>411</v>
      </c>
      <c r="Z6" s="20" t="s">
        <v>412</v>
      </c>
      <c r="AA6" s="20" t="s">
        <v>413</v>
      </c>
      <c r="AB6" s="20" t="s">
        <v>414</v>
      </c>
      <c r="AC6" s="20" t="s">
        <v>379</v>
      </c>
    </row>
    <row r="7" spans="1:29" x14ac:dyDescent="0.25">
      <c r="A7" s="20" t="str">
        <f>IF(R7,Load_Switch_NFET[[#This Row],[PARTNUMBER]],"")</f>
        <v>CSD13380F3</v>
      </c>
      <c r="B7" t="s">
        <v>473</v>
      </c>
      <c r="C7" s="20" t="b">
        <f>AND((Load_Switch_NFET[[#This Row],[VDSMAX]]&gt;=Vi*1.1),(Load_Switch_NFET[[#This Row],[VGSMAX]]&gt;=(VGS_DR)*1.1),(Load_Switch_NFET[[#This Row],[IDSMAX]]&gt;=Io),VGS_DR&gt;=1.8)</f>
        <v>1</v>
      </c>
      <c r="D7" s="20" t="b">
        <f>AND(Vi&lt;=27,Load_Switch_NFET[[#This Row],[VDSMAX]]&lt;=30)</f>
        <v>1</v>
      </c>
      <c r="E7" s="20" t="b">
        <f>AND(Vi&lt;=36,Vi&gt;=20,Load_Switch_NFET[[#This Row],[VDSMAX]]=40)</f>
        <v>0</v>
      </c>
      <c r="F7" s="20" t="b">
        <f>AND(Vi&lt;=54,Vi&gt;=25,Load_Switch_NFET[[#This Row],[VDSMAX]]=60)</f>
        <v>0</v>
      </c>
      <c r="G7" s="20" t="b">
        <f>AND(Vi&lt;=72,Vi&gt;=36,Load_Switch_NFET[[#This Row],[VDSMAX]]=80)</f>
        <v>0</v>
      </c>
      <c r="H7" s="20" t="b">
        <f>AND(Vi&lt;=90,Vi&gt;=48,Load_Switch_NFET[[#This Row],[VDSMAX]]=100)</f>
        <v>0</v>
      </c>
      <c r="I7" s="20" t="b">
        <f t="shared" si="0"/>
        <v>1</v>
      </c>
      <c r="J7" s="20" t="b">
        <f>AND(((VGS_DR)&lt;2.5),('NFET Data'!$AC7&lt;&gt;"(Null)"))</f>
        <v>0</v>
      </c>
      <c r="K7" s="20" t="b">
        <f>AND(((VGS_DR)&gt;=2.5),((VGS_DR)&lt;3),OR(('NFET Data'!$AD7&lt;&gt;"(Null)"),('NFET Data'!$AC7&lt;&gt;"(Null)")))</f>
        <v>0</v>
      </c>
      <c r="L7" s="20" t="b">
        <f>AND(((VGS_DR)&gt;=3),((VGS_DR)&lt;4.5),OR(('NFET Data'!$AE7&lt;&gt;"(Null)"),('NFET Data'!$AD7&lt;&gt;"(Null)"),('NFET Data'!$AC7&lt;&gt;"(Null)")))</f>
        <v>0</v>
      </c>
      <c r="M7" s="20" t="b">
        <f>AND(((VGS_DR)&gt;=4.5),((VGS_DR)&lt;6),OR(('NFET Data'!$AF7&lt;&gt;"(Null)"),('NFET Data'!$AE7&lt;&gt;"(Null)"),('NFET Data'!$AD7&lt;&gt;"(Null)"),('NFET Data'!$AC7&lt;&gt;"(Null)")))</f>
        <v>1</v>
      </c>
      <c r="N7" s="20" t="b">
        <f>AND(((VGS_DR)&gt;=6),((VGS_DR)&lt;8),OR(('NFET Data'!$AG7&lt;&gt;"(Null)"),('NFET Data'!$AF7&lt;&gt;"(Null)"),('NFET Data'!$AE7&lt;&gt;"(Null)"),('NFET Data'!$AD7&lt;&gt;"(Null)"),('NFET Data'!$AC7&lt;&gt;"(Null)")))</f>
        <v>0</v>
      </c>
      <c r="O7" s="20" t="b">
        <f>AND(((VGS_DR)&gt;=8),((VGS_DR)&lt;10),OR(('NFET Data'!$AH7&lt;&gt;"(Null)"),('NFET Data'!$AG7&lt;&gt;"(Null)"),('NFET Data'!$AF7&lt;&gt;"(Null)"),('NFET Data'!$AE7&lt;&gt;"(Null)"),('NFET Data'!$AD7&lt;&gt;"(Null)"),('NFET Data'!$AC7&lt;&gt;"(Null)")))</f>
        <v>0</v>
      </c>
      <c r="P7" s="20" t="b">
        <f>AND(((VGS_DR)&gt;=10),OR(('NFET Data'!$AI7&lt;&gt;"(Null)"),('NFET Data'!$AH7&lt;&gt;"(Null)"),('NFET Data'!$AG7&lt;&gt;"(Null)"),('NFET Data'!$AF7&lt;&gt;"(Null)"),('NFET Data'!$AE7&lt;&gt;"(Null)"),('NFET Data'!$AD7&lt;&gt;"(Null)"),('NFET Data'!$AC7&lt;&gt;"(Null)")))</f>
        <v>0</v>
      </c>
      <c r="Q7" s="20" t="b">
        <f t="shared" si="1"/>
        <v>1</v>
      </c>
      <c r="R7" s="20" t="b">
        <f t="shared" si="2"/>
        <v>1</v>
      </c>
      <c r="V7" s="20" t="b">
        <f>((VGS_DR)&gt;=1.8)</f>
        <v>1</v>
      </c>
      <c r="W7" s="20" t="b">
        <f>((VGS_DR)&gt;=2.2)</f>
        <v>1</v>
      </c>
      <c r="X7" s="20" t="b">
        <f>((VGS_DR)&gt;=2.7)</f>
        <v>1</v>
      </c>
      <c r="Y7" s="20" t="b">
        <f>((VGS_DR)&gt;=4)</f>
        <v>1</v>
      </c>
      <c r="Z7" s="20" t="b">
        <f>((VGS_DR)&gt;=5.5)</f>
        <v>0</v>
      </c>
      <c r="AA7" s="20" t="b">
        <f>((VGS_DR)&gt;=7)</f>
        <v>0</v>
      </c>
      <c r="AB7" s="20" t="b">
        <f>((VGS_DR)&gt;=8.5)</f>
        <v>0</v>
      </c>
      <c r="AC7" s="20" t="e">
        <f>IF(AB10,LOOKUP(Part_Number,Load_Switch_NFET[PARTNUMBER],Load_Switch_NFET[RDSON10])*1000,IF(AA10,LOOKUP(Part_Number,Load_Switch_NFET[PARTNUMBER],Load_Switch_NFET[RDSON8])*1000,IF(Z10,LOOKUP(Part_Number,Load_Switch_NFET[PARTNUMBER],Load_Switch_NFET[RDSON6])*1000,IF(Y10,LOOKUP(Part_Number,Load_Switch_NFET[PARTNUMBER],Load_Switch_NFET[RDSON45])*1000,IF(X10,LOOKUP(Part_Number,Load_Switch_NFET[PARTNUMBER],Load_Switch_NFET[RDSON3])*1000,IF(W10,LOOKUP(Part_Number,Load_Switch_NFET[PARTNUMBER],Load_Switch_NFET[RDSON25])*1000,IF(V10,LOOKUP(Part_Number,Load_Switch_NFET[PARTNUMBER],Load_Switch_NFET[RDSON18])*1000,"")))))))</f>
        <v>#N/A</v>
      </c>
    </row>
    <row r="8" spans="1:29" x14ac:dyDescent="0.25">
      <c r="A8" s="20" t="str">
        <f>IF(R8,Load_Switch_NFET[[#This Row],[PARTNUMBER]],"")</f>
        <v>CSD13381F4</v>
      </c>
      <c r="B8" t="s">
        <v>476</v>
      </c>
      <c r="C8" s="20" t="b">
        <f>AND((Load_Switch_NFET[[#This Row],[VDSMAX]]&gt;=Vi*1.1),(Load_Switch_NFET[[#This Row],[VGSMAX]]&gt;=(VGS_DR)*1.1),(Load_Switch_NFET[[#This Row],[IDSMAX]]&gt;=Io),VGS_DR&gt;=1.8)</f>
        <v>1</v>
      </c>
      <c r="D8" s="20" t="b">
        <f>AND(Vi&lt;=27,Load_Switch_NFET[[#This Row],[VDSMAX]]&lt;=30)</f>
        <v>1</v>
      </c>
      <c r="E8" s="20" t="b">
        <f>AND(Vi&lt;=36,Vi&gt;=20,Load_Switch_NFET[[#This Row],[VDSMAX]]=40)</f>
        <v>0</v>
      </c>
      <c r="F8" s="20" t="b">
        <f>AND(Vi&lt;=54,Vi&gt;=25,Load_Switch_NFET[[#This Row],[VDSMAX]]=60)</f>
        <v>0</v>
      </c>
      <c r="G8" s="20" t="b">
        <f>AND(Vi&lt;=72,Vi&gt;=36,Load_Switch_NFET[[#This Row],[VDSMAX]]=80)</f>
        <v>0</v>
      </c>
      <c r="H8" s="20" t="b">
        <f>AND(Vi&lt;=90,Vi&gt;=48,Load_Switch_NFET[[#This Row],[VDSMAX]]=100)</f>
        <v>0</v>
      </c>
      <c r="I8" s="20" t="b">
        <f t="shared" si="0"/>
        <v>1</v>
      </c>
      <c r="J8" s="20" t="b">
        <f>AND(((VGS_DR)&lt;2.5),('NFET Data'!$AC8&lt;&gt;"(Null)"))</f>
        <v>0</v>
      </c>
      <c r="K8" s="20" t="b">
        <f>AND(((VGS_DR)&gt;=2.5),((VGS_DR)&lt;3),OR(('NFET Data'!$AD8&lt;&gt;"(Null)"),('NFET Data'!$AC8&lt;&gt;"(Null)")))</f>
        <v>0</v>
      </c>
      <c r="L8" s="20" t="b">
        <f>AND(((VGS_DR)&gt;=3),((VGS_DR)&lt;4.5),OR(('NFET Data'!$AE8&lt;&gt;"(Null)"),('NFET Data'!$AD8&lt;&gt;"(Null)"),('NFET Data'!$AC8&lt;&gt;"(Null)")))</f>
        <v>0</v>
      </c>
      <c r="M8" s="20" t="b">
        <f>AND(((VGS_DR)&gt;=4.5),((VGS_DR)&lt;6),OR(('NFET Data'!$AF8&lt;&gt;"(Null)"),('NFET Data'!$AE8&lt;&gt;"(Null)"),('NFET Data'!$AD8&lt;&gt;"(Null)"),('NFET Data'!$AC8&lt;&gt;"(Null)")))</f>
        <v>1</v>
      </c>
      <c r="N8" s="20" t="b">
        <f>AND(((VGS_DR)&gt;=6),((VGS_DR)&lt;8),OR(('NFET Data'!$AG8&lt;&gt;"(Null)"),('NFET Data'!$AF8&lt;&gt;"(Null)"),('NFET Data'!$AE8&lt;&gt;"(Null)"),('NFET Data'!$AD8&lt;&gt;"(Null)"),('NFET Data'!$AC8&lt;&gt;"(Null)")))</f>
        <v>0</v>
      </c>
      <c r="O8" s="20" t="b">
        <f>AND(((VGS_DR)&gt;=8),((VGS_DR)&lt;10),OR(('NFET Data'!$AH8&lt;&gt;"(Null)"),('NFET Data'!$AG8&lt;&gt;"(Null)"),('NFET Data'!$AF8&lt;&gt;"(Null)"),('NFET Data'!$AE8&lt;&gt;"(Null)"),('NFET Data'!$AD8&lt;&gt;"(Null)"),('NFET Data'!$AC8&lt;&gt;"(Null)")))</f>
        <v>0</v>
      </c>
      <c r="P8" s="20" t="b">
        <f>AND(((VGS_DR)&gt;=10),OR(('NFET Data'!$AI8&lt;&gt;"(Null)"),('NFET Data'!$AH8&lt;&gt;"(Null)"),('NFET Data'!$AG8&lt;&gt;"(Null)"),('NFET Data'!$AF8&lt;&gt;"(Null)"),('NFET Data'!$AE8&lt;&gt;"(Null)"),('NFET Data'!$AD8&lt;&gt;"(Null)"),('NFET Data'!$AC8&lt;&gt;"(Null)")))</f>
        <v>0</v>
      </c>
      <c r="Q8" s="20" t="b">
        <f t="shared" si="1"/>
        <v>1</v>
      </c>
      <c r="R8" s="20" t="b">
        <f t="shared" si="2"/>
        <v>1</v>
      </c>
      <c r="V8" s="20" t="e">
        <f>IF(LOOKUP(Part_Number,Load_Switch_NFET[PARTNUMBER],Load_Switch_NFET[RDSON18])="(NULL)","0","1")</f>
        <v>#N/A</v>
      </c>
      <c r="W8" s="20" t="e">
        <f>IF(LOOKUP(Part_Number,Load_Switch_NFET[PARTNUMBER],Load_Switch_NFET[RDSON25])="(NULL)","0","1")</f>
        <v>#N/A</v>
      </c>
      <c r="X8" s="20" t="e">
        <f>IF(LOOKUP(Part_Number,Load_Switch_NFET[PARTNUMBER],Load_Switch_NFET[RDSON3])="(NULL)","0","1")</f>
        <v>#N/A</v>
      </c>
      <c r="Y8" s="20" t="e">
        <f>IF(LOOKUP(Part_Number,Load_Switch_NFET[PARTNUMBER],Load_Switch_NFET[RDSON45])="(NULL)","0","1")</f>
        <v>#N/A</v>
      </c>
      <c r="Z8" s="20" t="e">
        <f>IF(LOOKUP(Part_Number,Load_Switch_NFET[PARTNUMBER],Load_Switch_NFET[RDSON6])="(NULL)","0","1")</f>
        <v>#N/A</v>
      </c>
      <c r="AA8" s="20" t="e">
        <f>IF(LOOKUP(Part_Number,Load_Switch_NFET[PARTNUMBER],Load_Switch_NFET[RDSON8])="(NULL)","0","1")</f>
        <v>#N/A</v>
      </c>
      <c r="AB8" s="20" t="e">
        <f>IF(LOOKUP(Part_Number,Load_Switch_NFET[PARTNUMBER],Load_Switch_NFET[RDSON10])="(NULL)","0","1")</f>
        <v>#N/A</v>
      </c>
    </row>
    <row r="9" spans="1:29" x14ac:dyDescent="0.25">
      <c r="A9" s="20" t="str">
        <f>IF(R9,Load_Switch_NFET[[#This Row],[PARTNUMBER]],"")</f>
        <v>CSD13383F4</v>
      </c>
      <c r="B9" t="s">
        <v>501</v>
      </c>
      <c r="C9" s="20" t="b">
        <f>AND((Load_Switch_NFET[[#This Row],[VDSMAX]]&gt;=Vi*1.1),(Load_Switch_NFET[[#This Row],[VGSMAX]]&gt;=(VGS_DR)*1.1),(Load_Switch_NFET[[#This Row],[IDSMAX]]&gt;=Io),VGS_DR&gt;=1.8)</f>
        <v>1</v>
      </c>
      <c r="D9" s="20" t="b">
        <f>AND(Vi&lt;=27,Load_Switch_NFET[[#This Row],[VDSMAX]]&lt;=30)</f>
        <v>1</v>
      </c>
      <c r="E9" s="20" t="b">
        <f>AND(Vi&lt;=36,Vi&gt;=20,Load_Switch_NFET[[#This Row],[VDSMAX]]=40)</f>
        <v>0</v>
      </c>
      <c r="F9" s="20" t="b">
        <f>AND(Vi&lt;=54,Vi&gt;=25,Load_Switch_NFET[[#This Row],[VDSMAX]]=60)</f>
        <v>0</v>
      </c>
      <c r="G9" s="20" t="b">
        <f>AND(Vi&lt;=72,Vi&gt;=36,Load_Switch_NFET[[#This Row],[VDSMAX]]=80)</f>
        <v>0</v>
      </c>
      <c r="H9" s="20" t="b">
        <f>AND(Vi&lt;=90,Vi&gt;=48,Load_Switch_NFET[[#This Row],[VDSMAX]]=100)</f>
        <v>0</v>
      </c>
      <c r="I9" s="20" t="b">
        <f t="shared" si="0"/>
        <v>1</v>
      </c>
      <c r="J9" s="20" t="b">
        <f>AND(((VGS_DR)&lt;2.5),('NFET Data'!$AC9&lt;&gt;"(Null)"))</f>
        <v>0</v>
      </c>
      <c r="K9" s="20" t="b">
        <f>AND(((VGS_DR)&gt;=2.5),((VGS_DR)&lt;3),OR(('NFET Data'!$AD9&lt;&gt;"(Null)"),('NFET Data'!$AC9&lt;&gt;"(Null)")))</f>
        <v>0</v>
      </c>
      <c r="L9" s="20" t="b">
        <f>AND(((VGS_DR)&gt;=3),((VGS_DR)&lt;4.5),OR(('NFET Data'!$AE9&lt;&gt;"(Null)"),('NFET Data'!$AD9&lt;&gt;"(Null)"),('NFET Data'!$AC9&lt;&gt;"(Null)")))</f>
        <v>0</v>
      </c>
      <c r="M9" s="20" t="b">
        <f>AND(((VGS_DR)&gt;=4.5),((VGS_DR)&lt;6),OR(('NFET Data'!$AF9&lt;&gt;"(Null)"),('NFET Data'!$AE9&lt;&gt;"(Null)"),('NFET Data'!$AD9&lt;&gt;"(Null)"),('NFET Data'!$AC9&lt;&gt;"(Null)")))</f>
        <v>1</v>
      </c>
      <c r="N9" s="20" t="b">
        <f>AND(((VGS_DR)&gt;=6),((VGS_DR)&lt;8),OR(('NFET Data'!$AG9&lt;&gt;"(Null)"),('NFET Data'!$AF9&lt;&gt;"(Null)"),('NFET Data'!$AE9&lt;&gt;"(Null)"),('NFET Data'!$AD9&lt;&gt;"(Null)"),('NFET Data'!$AC9&lt;&gt;"(Null)")))</f>
        <v>0</v>
      </c>
      <c r="O9" s="20" t="b">
        <f>AND(((VGS_DR)&gt;=8),((VGS_DR)&lt;10),OR(('NFET Data'!$AH9&lt;&gt;"(Null)"),('NFET Data'!$AG9&lt;&gt;"(Null)"),('NFET Data'!$AF9&lt;&gt;"(Null)"),('NFET Data'!$AE9&lt;&gt;"(Null)"),('NFET Data'!$AD9&lt;&gt;"(Null)"),('NFET Data'!$AC9&lt;&gt;"(Null)")))</f>
        <v>0</v>
      </c>
      <c r="P9" s="20" t="b">
        <f>AND(((VGS_DR)&gt;=10),OR(('NFET Data'!$AI9&lt;&gt;"(Null)"),('NFET Data'!$AH9&lt;&gt;"(Null)"),('NFET Data'!$AG9&lt;&gt;"(Null)"),('NFET Data'!$AF9&lt;&gt;"(Null)"),('NFET Data'!$AE9&lt;&gt;"(Null)"),('NFET Data'!$AD9&lt;&gt;"(Null)"),('NFET Data'!$AC9&lt;&gt;"(Null)")))</f>
        <v>0</v>
      </c>
      <c r="Q9" s="20" t="b">
        <f t="shared" si="1"/>
        <v>1</v>
      </c>
      <c r="R9" s="20" t="b">
        <f t="shared" si="2"/>
        <v>1</v>
      </c>
      <c r="V9" s="20" t="e">
        <f>AND(V7,V8="1")</f>
        <v>#N/A</v>
      </c>
      <c r="W9" s="20" t="e">
        <f>AND(W7,W8="1")</f>
        <v>#N/A</v>
      </c>
      <c r="X9" s="20" t="e">
        <f>AND(X7,X8="1")</f>
        <v>#N/A</v>
      </c>
      <c r="Y9" s="20" t="e">
        <f t="shared" ref="Y9:AB9" si="3">AND(Y7,Y8="1")</f>
        <v>#N/A</v>
      </c>
      <c r="Z9" s="20" t="e">
        <f t="shared" si="3"/>
        <v>#N/A</v>
      </c>
      <c r="AA9" s="20" t="e">
        <f t="shared" si="3"/>
        <v>#N/A</v>
      </c>
      <c r="AB9" s="20" t="e">
        <f t="shared" si="3"/>
        <v>#N/A</v>
      </c>
    </row>
    <row r="10" spans="1:29" x14ac:dyDescent="0.25">
      <c r="A10" s="20" t="str">
        <f>IF(R10,Load_Switch_NFET[[#This Row],[PARTNUMBER]],"")</f>
        <v>CSD13385F5</v>
      </c>
      <c r="B10" t="s">
        <v>104</v>
      </c>
      <c r="C10" s="20" t="b">
        <f>AND((Load_Switch_NFET[[#This Row],[VDSMAX]]&gt;=Vi*1.1),(Load_Switch_NFET[[#This Row],[VGSMAX]]&gt;=(VGS_DR)*1.1),(Load_Switch_NFET[[#This Row],[IDSMAX]]&gt;=Io),VGS_DR&gt;=1.8)</f>
        <v>1</v>
      </c>
      <c r="D10" s="20" t="b">
        <f>AND(Vi&lt;=27,Load_Switch_NFET[[#This Row],[VDSMAX]]&lt;=30)</f>
        <v>1</v>
      </c>
      <c r="E10" s="20" t="b">
        <f>AND(Vi&lt;=36,Vi&gt;=20,Load_Switch_NFET[[#This Row],[VDSMAX]]=40)</f>
        <v>0</v>
      </c>
      <c r="F10" s="20" t="b">
        <f>AND(Vi&lt;=54,Vi&gt;=25,Load_Switch_NFET[[#This Row],[VDSMAX]]=60)</f>
        <v>0</v>
      </c>
      <c r="G10" s="20" t="b">
        <f>AND(Vi&lt;=72,Vi&gt;=36,Load_Switch_NFET[[#This Row],[VDSMAX]]=80)</f>
        <v>0</v>
      </c>
      <c r="H10" s="20" t="b">
        <f>AND(Vi&lt;=90,Vi&gt;=48,Load_Switch_NFET[[#This Row],[VDSMAX]]=100)</f>
        <v>0</v>
      </c>
      <c r="I10" s="20" t="b">
        <f t="shared" si="0"/>
        <v>1</v>
      </c>
      <c r="J10" s="20" t="b">
        <f>AND(((VGS_DR)&lt;2.5),('NFET Data'!$AC10&lt;&gt;"(Null)"))</f>
        <v>0</v>
      </c>
      <c r="K10" s="20" t="b">
        <f>AND(((VGS_DR)&gt;=2.5),((VGS_DR)&lt;3),OR(('NFET Data'!$AD10&lt;&gt;"(Null)"),('NFET Data'!$AC10&lt;&gt;"(Null)")))</f>
        <v>0</v>
      </c>
      <c r="L10" s="20" t="b">
        <f>AND(((VGS_DR)&gt;=3),((VGS_DR)&lt;4.5),OR(('NFET Data'!$AE10&lt;&gt;"(Null)"),('NFET Data'!$AD10&lt;&gt;"(Null)"),('NFET Data'!$AC10&lt;&gt;"(Null)")))</f>
        <v>0</v>
      </c>
      <c r="M10" s="20" t="b">
        <f>AND(((VGS_DR)&gt;=4.5),((VGS_DR)&lt;6),OR(('NFET Data'!$AF10&lt;&gt;"(Null)"),('NFET Data'!$AE10&lt;&gt;"(Null)"),('NFET Data'!$AD10&lt;&gt;"(Null)"),('NFET Data'!$AC10&lt;&gt;"(Null)")))</f>
        <v>1</v>
      </c>
      <c r="N10" s="20" t="b">
        <f>AND(((VGS_DR)&gt;=6),((VGS_DR)&lt;8),OR(('NFET Data'!$AG10&lt;&gt;"(Null)"),('NFET Data'!$AF10&lt;&gt;"(Null)"),('NFET Data'!$AE10&lt;&gt;"(Null)"),('NFET Data'!$AD10&lt;&gt;"(Null)"),('NFET Data'!$AC10&lt;&gt;"(Null)")))</f>
        <v>0</v>
      </c>
      <c r="O10" s="20" t="b">
        <f>AND(((VGS_DR)&gt;=8),((VGS_DR)&lt;10),OR(('NFET Data'!$AH10&lt;&gt;"(Null)"),('NFET Data'!$AG10&lt;&gt;"(Null)"),('NFET Data'!$AF10&lt;&gt;"(Null)"),('NFET Data'!$AE10&lt;&gt;"(Null)"),('NFET Data'!$AD10&lt;&gt;"(Null)"),('NFET Data'!$AC10&lt;&gt;"(Null)")))</f>
        <v>0</v>
      </c>
      <c r="P10" s="20" t="b">
        <f>AND(((VGS_DR)&gt;=10),OR(('NFET Data'!$AI10&lt;&gt;"(Null)"),('NFET Data'!$AH10&lt;&gt;"(Null)"),('NFET Data'!$AG10&lt;&gt;"(Null)"),('NFET Data'!$AF10&lt;&gt;"(Null)"),('NFET Data'!$AE10&lt;&gt;"(Null)"),('NFET Data'!$AD10&lt;&gt;"(Null)"),('NFET Data'!$AC10&lt;&gt;"(Null)")))</f>
        <v>0</v>
      </c>
      <c r="Q10" s="20" t="b">
        <f t="shared" si="1"/>
        <v>1</v>
      </c>
      <c r="R10" s="20" t="b">
        <f t="shared" si="2"/>
        <v>1</v>
      </c>
      <c r="U10" s="20" t="e">
        <f>OR(V9:AB9)</f>
        <v>#N/A</v>
      </c>
      <c r="V10" s="20" t="e">
        <f>AND($U$7,V7,V8="1")</f>
        <v>#N/A</v>
      </c>
      <c r="W10" s="20" t="e">
        <f t="shared" ref="W10:AB10" si="4">AND($U$7,W7,W8="1")</f>
        <v>#N/A</v>
      </c>
      <c r="X10" s="20" t="e">
        <f t="shared" si="4"/>
        <v>#N/A</v>
      </c>
      <c r="Y10" s="20" t="e">
        <f t="shared" si="4"/>
        <v>#N/A</v>
      </c>
      <c r="Z10" s="20" t="e">
        <f t="shared" si="4"/>
        <v>#N/A</v>
      </c>
      <c r="AA10" s="20" t="e">
        <f t="shared" si="4"/>
        <v>#N/A</v>
      </c>
      <c r="AB10" s="20" t="e">
        <f t="shared" si="4"/>
        <v>#N/A</v>
      </c>
    </row>
    <row r="11" spans="1:29" x14ac:dyDescent="0.25">
      <c r="A11" s="20" t="str">
        <f>IF(R11,Load_Switch_NFET[[#This Row],[PARTNUMBER]],"")</f>
        <v/>
      </c>
      <c r="B11" t="s">
        <v>107</v>
      </c>
      <c r="C11" s="20" t="b">
        <f>AND((Load_Switch_NFET[[#This Row],[VDSMAX]]&gt;=Vi*1.1),(Load_Switch_NFET[[#This Row],[VGSMAX]]&gt;=(VGS_DR)*1.1),(Load_Switch_NFET[[#This Row],[IDSMAX]]&gt;=Io),VGS_DR&gt;=1.8)</f>
        <v>0</v>
      </c>
      <c r="D11" s="20" t="b">
        <f>AND(Vi&lt;=27,Load_Switch_NFET[[#This Row],[VDSMAX]]&lt;=30)</f>
        <v>1</v>
      </c>
      <c r="E11" s="20" t="b">
        <f>AND(Vi&lt;=36,Vi&gt;=20,Load_Switch_NFET[[#This Row],[VDSMAX]]=40)</f>
        <v>0</v>
      </c>
      <c r="F11" s="20" t="b">
        <f>AND(Vi&lt;=54,Vi&gt;=25,Load_Switch_NFET[[#This Row],[VDSMAX]]=60)</f>
        <v>0</v>
      </c>
      <c r="G11" s="20" t="b">
        <f>AND(Vi&lt;=72,Vi&gt;=36,Load_Switch_NFET[[#This Row],[VDSMAX]]=80)</f>
        <v>0</v>
      </c>
      <c r="H11" s="20" t="b">
        <f>AND(Vi&lt;=90,Vi&gt;=48,Load_Switch_NFET[[#This Row],[VDSMAX]]=100)</f>
        <v>0</v>
      </c>
      <c r="I11" s="20" t="b">
        <f t="shared" si="0"/>
        <v>1</v>
      </c>
      <c r="J11" s="20" t="b">
        <f>AND(((VGS_DR)&lt;2.5),('NFET Data'!$AC11&lt;&gt;"(Null)"))</f>
        <v>0</v>
      </c>
      <c r="K11" s="20" t="b">
        <f>AND(((VGS_DR)&gt;=2.5),((VGS_DR)&lt;3),OR(('NFET Data'!$AD11&lt;&gt;"(Null)"),('NFET Data'!$AC11&lt;&gt;"(Null)")))</f>
        <v>0</v>
      </c>
      <c r="L11" s="20" t="b">
        <f>AND(((VGS_DR)&gt;=3),((VGS_DR)&lt;4.5),OR(('NFET Data'!$AE11&lt;&gt;"(Null)"),('NFET Data'!$AD11&lt;&gt;"(Null)"),('NFET Data'!$AC11&lt;&gt;"(Null)")))</f>
        <v>0</v>
      </c>
      <c r="M11" s="20" t="b">
        <f>AND(((VGS_DR)&gt;=4.5),((VGS_DR)&lt;6),OR(('NFET Data'!$AF11&lt;&gt;"(Null)"),('NFET Data'!$AE11&lt;&gt;"(Null)"),('NFET Data'!$AD11&lt;&gt;"(Null)"),('NFET Data'!$AC11&lt;&gt;"(Null)")))</f>
        <v>1</v>
      </c>
      <c r="N11" s="20" t="b">
        <f>AND(((VGS_DR)&gt;=6),((VGS_DR)&lt;8),OR(('NFET Data'!$AG11&lt;&gt;"(Null)"),('NFET Data'!$AF11&lt;&gt;"(Null)"),('NFET Data'!$AE11&lt;&gt;"(Null)"),('NFET Data'!$AD11&lt;&gt;"(Null)"),('NFET Data'!$AC11&lt;&gt;"(Null)")))</f>
        <v>0</v>
      </c>
      <c r="O11" s="20" t="b">
        <f>AND(((VGS_DR)&gt;=8),((VGS_DR)&lt;10),OR(('NFET Data'!$AH11&lt;&gt;"(Null)"),('NFET Data'!$AG11&lt;&gt;"(Null)"),('NFET Data'!$AF11&lt;&gt;"(Null)"),('NFET Data'!$AE11&lt;&gt;"(Null)"),('NFET Data'!$AD11&lt;&gt;"(Null)"),('NFET Data'!$AC11&lt;&gt;"(Null)")))</f>
        <v>0</v>
      </c>
      <c r="P11" s="20" t="b">
        <f>AND(((VGS_DR)&gt;=10),OR(('NFET Data'!$AI11&lt;&gt;"(Null)"),('NFET Data'!$AH11&lt;&gt;"(Null)"),('NFET Data'!$AG11&lt;&gt;"(Null)"),('NFET Data'!$AF11&lt;&gt;"(Null)"),('NFET Data'!$AE11&lt;&gt;"(Null)"),('NFET Data'!$AD11&lt;&gt;"(Null)"),('NFET Data'!$AC11&lt;&gt;"(Null)")))</f>
        <v>0</v>
      </c>
      <c r="Q11" s="20" t="b">
        <f t="shared" si="1"/>
        <v>1</v>
      </c>
      <c r="R11" s="20" t="b">
        <f t="shared" si="2"/>
        <v>0</v>
      </c>
    </row>
    <row r="12" spans="1:29" x14ac:dyDescent="0.25">
      <c r="A12" s="20" t="str">
        <f>IF(R12,Load_Switch_NFET[[#This Row],[PARTNUMBER]],"")</f>
        <v>CSD15571Q2</v>
      </c>
      <c r="B12" t="s">
        <v>110</v>
      </c>
      <c r="C12" s="20" t="b">
        <f>AND((Load_Switch_NFET[[#This Row],[VDSMAX]]&gt;=Vi*1.1),(Load_Switch_NFET[[#This Row],[VGSMAX]]&gt;=(VGS_DR)*1.1),(Load_Switch_NFET[[#This Row],[IDSMAX]]&gt;=Io),VGS_DR&gt;=1.8)</f>
        <v>1</v>
      </c>
      <c r="D12" s="20" t="b">
        <f>AND(Vi&lt;=27,Load_Switch_NFET[[#This Row],[VDSMAX]]&lt;=30)</f>
        <v>1</v>
      </c>
      <c r="E12" s="20" t="b">
        <f>AND(Vi&lt;=36,Vi&gt;=20,Load_Switch_NFET[[#This Row],[VDSMAX]]=40)</f>
        <v>0</v>
      </c>
      <c r="F12" s="20" t="b">
        <f>AND(Vi&lt;=54,Vi&gt;=25,Load_Switch_NFET[[#This Row],[VDSMAX]]=60)</f>
        <v>0</v>
      </c>
      <c r="G12" s="20" t="b">
        <f>AND(Vi&lt;=72,Vi&gt;=36,Load_Switch_NFET[[#This Row],[VDSMAX]]=80)</f>
        <v>0</v>
      </c>
      <c r="H12" s="20" t="b">
        <f>AND(Vi&lt;=90,Vi&gt;=48,Load_Switch_NFET[[#This Row],[VDSMAX]]=100)</f>
        <v>0</v>
      </c>
      <c r="I12" s="20" t="b">
        <f t="shared" si="0"/>
        <v>1</v>
      </c>
      <c r="J12" s="20" t="b">
        <f>AND(((VGS_DR)&lt;2.5),('NFET Data'!$AC12&lt;&gt;"(Null)"))</f>
        <v>0</v>
      </c>
      <c r="K12" s="20" t="b">
        <f>AND(((VGS_DR)&gt;=2.5),((VGS_DR)&lt;3),OR(('NFET Data'!$AD12&lt;&gt;"(Null)"),('NFET Data'!$AC12&lt;&gt;"(Null)")))</f>
        <v>0</v>
      </c>
      <c r="L12" s="20" t="b">
        <f>AND(((VGS_DR)&gt;=3),((VGS_DR)&lt;4.5),OR(('NFET Data'!$AE12&lt;&gt;"(Null)"),('NFET Data'!$AD12&lt;&gt;"(Null)"),('NFET Data'!$AC12&lt;&gt;"(Null)")))</f>
        <v>0</v>
      </c>
      <c r="M12" s="20" t="b">
        <f>AND(((VGS_DR)&gt;=4.5),((VGS_DR)&lt;6),OR(('NFET Data'!$AF12&lt;&gt;"(Null)"),('NFET Data'!$AE12&lt;&gt;"(Null)"),('NFET Data'!$AD12&lt;&gt;"(Null)"),('NFET Data'!$AC12&lt;&gt;"(Null)")))</f>
        <v>1</v>
      </c>
      <c r="N12" s="20" t="b">
        <f>AND(((VGS_DR)&gt;=6),((VGS_DR)&lt;8),OR(('NFET Data'!$AG12&lt;&gt;"(Null)"),('NFET Data'!$AF12&lt;&gt;"(Null)"),('NFET Data'!$AE12&lt;&gt;"(Null)"),('NFET Data'!$AD12&lt;&gt;"(Null)"),('NFET Data'!$AC12&lt;&gt;"(Null)")))</f>
        <v>0</v>
      </c>
      <c r="O12" s="20" t="b">
        <f>AND(((VGS_DR)&gt;=8),((VGS_DR)&lt;10),OR(('NFET Data'!$AH12&lt;&gt;"(Null)"),('NFET Data'!$AG12&lt;&gt;"(Null)"),('NFET Data'!$AF12&lt;&gt;"(Null)"),('NFET Data'!$AE12&lt;&gt;"(Null)"),('NFET Data'!$AD12&lt;&gt;"(Null)"),('NFET Data'!$AC12&lt;&gt;"(Null)")))</f>
        <v>0</v>
      </c>
      <c r="P12" s="20" t="b">
        <f>AND(((VGS_DR)&gt;=10),OR(('NFET Data'!$AI12&lt;&gt;"(Null)"),('NFET Data'!$AH12&lt;&gt;"(Null)"),('NFET Data'!$AG12&lt;&gt;"(Null)"),('NFET Data'!$AF12&lt;&gt;"(Null)"),('NFET Data'!$AE12&lt;&gt;"(Null)"),('NFET Data'!$AD12&lt;&gt;"(Null)"),('NFET Data'!$AC12&lt;&gt;"(Null)")))</f>
        <v>0</v>
      </c>
      <c r="Q12" s="20" t="b">
        <f t="shared" si="1"/>
        <v>1</v>
      </c>
      <c r="R12" s="20" t="b">
        <f t="shared" si="2"/>
        <v>1</v>
      </c>
      <c r="U12" s="185" t="s">
        <v>539</v>
      </c>
      <c r="V12" s="185"/>
      <c r="W12" s="185"/>
      <c r="X12" s="185"/>
      <c r="Y12" s="185"/>
      <c r="Z12" s="185"/>
      <c r="AA12" s="185"/>
      <c r="AB12" s="185"/>
    </row>
    <row r="13" spans="1:29" x14ac:dyDescent="0.25">
      <c r="A13" s="20" t="str">
        <f>IF(R13,Load_Switch_NFET[[#This Row],[PARTNUMBER]],"")</f>
        <v>CSD16301Q2</v>
      </c>
      <c r="B13" t="s">
        <v>116</v>
      </c>
      <c r="C13" s="20" t="b">
        <f>AND((Load_Switch_NFET[[#This Row],[VDSMAX]]&gt;=Vi*1.1),(Load_Switch_NFET[[#This Row],[VGSMAX]]&gt;=(VGS_DR)*1.1),(Load_Switch_NFET[[#This Row],[IDSMAX]]&gt;=Io),VGS_DR&gt;=1.8)</f>
        <v>1</v>
      </c>
      <c r="D13" s="20" t="b">
        <f>AND(Vi&lt;=27,Load_Switch_NFET[[#This Row],[VDSMAX]]&lt;=30)</f>
        <v>1</v>
      </c>
      <c r="E13" s="20" t="b">
        <f>AND(Vi&lt;=36,Vi&gt;=20,Load_Switch_NFET[[#This Row],[VDSMAX]]=40)</f>
        <v>0</v>
      </c>
      <c r="F13" s="20" t="b">
        <f>AND(Vi&lt;=54,Vi&gt;=25,Load_Switch_NFET[[#This Row],[VDSMAX]]=60)</f>
        <v>0</v>
      </c>
      <c r="G13" s="20" t="b">
        <f>AND(Vi&lt;=72,Vi&gt;=36,Load_Switch_NFET[[#This Row],[VDSMAX]]=80)</f>
        <v>0</v>
      </c>
      <c r="H13" s="20" t="b">
        <f>AND(Vi&lt;=90,Vi&gt;=48,Load_Switch_NFET[[#This Row],[VDSMAX]]=100)</f>
        <v>0</v>
      </c>
      <c r="I13" s="20" t="b">
        <f t="shared" si="0"/>
        <v>1</v>
      </c>
      <c r="J13" s="20" t="b">
        <f>AND(((VGS_DR)&lt;2.5),('NFET Data'!$AC13&lt;&gt;"(Null)"))</f>
        <v>0</v>
      </c>
      <c r="K13" s="20" t="b">
        <f>AND(((VGS_DR)&gt;=2.5),((VGS_DR)&lt;3),OR(('NFET Data'!$AD13&lt;&gt;"(Null)"),('NFET Data'!$AC13&lt;&gt;"(Null)")))</f>
        <v>0</v>
      </c>
      <c r="L13" s="20" t="b">
        <f>AND(((VGS_DR)&gt;=3),((VGS_DR)&lt;4.5),OR(('NFET Data'!$AE13&lt;&gt;"(Null)"),('NFET Data'!$AD13&lt;&gt;"(Null)"),('NFET Data'!$AC13&lt;&gt;"(Null)")))</f>
        <v>0</v>
      </c>
      <c r="M13" s="20" t="b">
        <f>AND(((VGS_DR)&gt;=4.5),((VGS_DR)&lt;6),OR(('NFET Data'!$AF13&lt;&gt;"(Null)"),('NFET Data'!$AE13&lt;&gt;"(Null)"),('NFET Data'!$AD13&lt;&gt;"(Null)"),('NFET Data'!$AC13&lt;&gt;"(Null)")))</f>
        <v>1</v>
      </c>
      <c r="N13" s="20" t="b">
        <f>AND(((VGS_DR)&gt;=6),((VGS_DR)&lt;8),OR(('NFET Data'!$AG13&lt;&gt;"(Null)"),('NFET Data'!$AF13&lt;&gt;"(Null)"),('NFET Data'!$AE13&lt;&gt;"(Null)"),('NFET Data'!$AD13&lt;&gt;"(Null)"),('NFET Data'!$AC13&lt;&gt;"(Null)")))</f>
        <v>0</v>
      </c>
      <c r="O13" s="20" t="b">
        <f>AND(((VGS_DR)&gt;=8),((VGS_DR)&lt;10),OR(('NFET Data'!$AH13&lt;&gt;"(Null)"),('NFET Data'!$AG13&lt;&gt;"(Null)"),('NFET Data'!$AF13&lt;&gt;"(Null)"),('NFET Data'!$AE13&lt;&gt;"(Null)"),('NFET Data'!$AD13&lt;&gt;"(Null)"),('NFET Data'!$AC13&lt;&gt;"(Null)")))</f>
        <v>0</v>
      </c>
      <c r="P13" s="20" t="b">
        <f>AND(((VGS_DR)&gt;=10),OR(('NFET Data'!$AI13&lt;&gt;"(Null)"),('NFET Data'!$AH13&lt;&gt;"(Null)"),('NFET Data'!$AG13&lt;&gt;"(Null)"),('NFET Data'!$AF13&lt;&gt;"(Null)"),('NFET Data'!$AE13&lt;&gt;"(Null)"),('NFET Data'!$AD13&lt;&gt;"(Null)"),('NFET Data'!$AC13&lt;&gt;"(Null)")))</f>
        <v>0</v>
      </c>
      <c r="Q13" s="20" t="b">
        <f t="shared" si="1"/>
        <v>1</v>
      </c>
      <c r="R13" s="20" t="b">
        <f t="shared" si="2"/>
        <v>1</v>
      </c>
      <c r="V13" s="20" t="s">
        <v>520</v>
      </c>
      <c r="W13" s="20" t="s">
        <v>43</v>
      </c>
      <c r="X13" s="20" t="s">
        <v>398</v>
      </c>
      <c r="Y13" s="20" t="s">
        <v>44</v>
      </c>
      <c r="Z13" s="20" t="s">
        <v>380</v>
      </c>
      <c r="AA13" s="20" t="s">
        <v>45</v>
      </c>
      <c r="AB13" s="20" t="s">
        <v>46</v>
      </c>
    </row>
    <row r="14" spans="1:29" x14ac:dyDescent="0.25">
      <c r="A14" s="20" t="str">
        <f>IF(R14,Load_Switch_NFET[[#This Row],[PARTNUMBER]],"")</f>
        <v>CSD16321Q5</v>
      </c>
      <c r="B14" t="s">
        <v>119</v>
      </c>
      <c r="C14" s="20" t="b">
        <f>AND((Load_Switch_NFET[[#This Row],[VDSMAX]]&gt;=Vi*1.1),(Load_Switch_NFET[[#This Row],[VGSMAX]]&gt;=(VGS_DR)*1.1),(Load_Switch_NFET[[#This Row],[IDSMAX]]&gt;=Io),VGS_DR&gt;=1.8)</f>
        <v>1</v>
      </c>
      <c r="D14" s="20" t="b">
        <f>AND(Vi&lt;=27,Load_Switch_NFET[[#This Row],[VDSMAX]]&lt;=30)</f>
        <v>1</v>
      </c>
      <c r="E14" s="20" t="b">
        <f>AND(Vi&lt;=36,Vi&gt;=20,Load_Switch_NFET[[#This Row],[VDSMAX]]=40)</f>
        <v>0</v>
      </c>
      <c r="F14" s="20" t="b">
        <f>AND(Vi&lt;=54,Vi&gt;=25,Load_Switch_NFET[[#This Row],[VDSMAX]]=60)</f>
        <v>0</v>
      </c>
      <c r="G14" s="20" t="b">
        <f>AND(Vi&lt;=72,Vi&gt;=36,Load_Switch_NFET[[#This Row],[VDSMAX]]=80)</f>
        <v>0</v>
      </c>
      <c r="H14" s="20" t="b">
        <f>AND(Vi&lt;=90,Vi&gt;=48,Load_Switch_NFET[[#This Row],[VDSMAX]]=100)</f>
        <v>0</v>
      </c>
      <c r="I14" s="20" t="b">
        <f t="shared" si="0"/>
        <v>1</v>
      </c>
      <c r="J14" s="20" t="b">
        <f>AND(((VGS_DR)&lt;2.5),('NFET Data'!$AC14&lt;&gt;"(Null)"))</f>
        <v>0</v>
      </c>
      <c r="K14" s="20" t="b">
        <f>AND(((VGS_DR)&gt;=2.5),((VGS_DR)&lt;3),OR(('NFET Data'!$AD14&lt;&gt;"(Null)"),('NFET Data'!$AC14&lt;&gt;"(Null)")))</f>
        <v>0</v>
      </c>
      <c r="L14" s="20" t="b">
        <f>AND(((VGS_DR)&gt;=3),((VGS_DR)&lt;4.5),OR(('NFET Data'!$AE14&lt;&gt;"(Null)"),('NFET Data'!$AD14&lt;&gt;"(Null)"),('NFET Data'!$AC14&lt;&gt;"(Null)")))</f>
        <v>0</v>
      </c>
      <c r="M14" s="20" t="b">
        <f>AND(((VGS_DR)&gt;=4.5),((VGS_DR)&lt;6),OR(('NFET Data'!$AF14&lt;&gt;"(Null)"),('NFET Data'!$AE14&lt;&gt;"(Null)"),('NFET Data'!$AD14&lt;&gt;"(Null)"),('NFET Data'!$AC14&lt;&gt;"(Null)")))</f>
        <v>1</v>
      </c>
      <c r="N14" s="20" t="b">
        <f>AND(((VGS_DR)&gt;=6),((VGS_DR)&lt;8),OR(('NFET Data'!$AG14&lt;&gt;"(Null)"),('NFET Data'!$AF14&lt;&gt;"(Null)"),('NFET Data'!$AE14&lt;&gt;"(Null)"),('NFET Data'!$AD14&lt;&gt;"(Null)"),('NFET Data'!$AC14&lt;&gt;"(Null)")))</f>
        <v>0</v>
      </c>
      <c r="O14" s="20" t="b">
        <f>AND(((VGS_DR)&gt;=8),((VGS_DR)&lt;10),OR(('NFET Data'!$AH14&lt;&gt;"(Null)"),('NFET Data'!$AG14&lt;&gt;"(Null)"),('NFET Data'!$AF14&lt;&gt;"(Null)"),('NFET Data'!$AE14&lt;&gt;"(Null)"),('NFET Data'!$AD14&lt;&gt;"(Null)"),('NFET Data'!$AC14&lt;&gt;"(Null)")))</f>
        <v>0</v>
      </c>
      <c r="P14" s="20" t="b">
        <f>AND(((VGS_DR)&gt;=10),OR(('NFET Data'!$AI14&lt;&gt;"(Null)"),('NFET Data'!$AH14&lt;&gt;"(Null)"),('NFET Data'!$AG14&lt;&gt;"(Null)"),('NFET Data'!$AF14&lt;&gt;"(Null)"),('NFET Data'!$AE14&lt;&gt;"(Null)"),('NFET Data'!$AD14&lt;&gt;"(Null)"),('NFET Data'!$AC14&lt;&gt;"(Null)")))</f>
        <v>0</v>
      </c>
      <c r="Q14" s="20" t="b">
        <f t="shared" si="1"/>
        <v>1</v>
      </c>
      <c r="R14" s="20" t="b">
        <f t="shared" si="2"/>
        <v>1</v>
      </c>
      <c r="V14" s="20" t="s">
        <v>537</v>
      </c>
      <c r="W14" s="20" t="s">
        <v>409</v>
      </c>
      <c r="X14" s="20" t="s">
        <v>410</v>
      </c>
      <c r="Y14" s="20" t="s">
        <v>411</v>
      </c>
      <c r="Z14" s="20" t="s">
        <v>412</v>
      </c>
      <c r="AA14" s="20" t="s">
        <v>413</v>
      </c>
      <c r="AB14" s="20" t="s">
        <v>414</v>
      </c>
      <c r="AC14" s="20" t="s">
        <v>379</v>
      </c>
    </row>
    <row r="15" spans="1:29" x14ac:dyDescent="0.25">
      <c r="A15" s="20" t="str">
        <f>IF(R15,Load_Switch_NFET[[#This Row],[PARTNUMBER]],"")</f>
        <v>CSD16322Q5</v>
      </c>
      <c r="B15" t="s">
        <v>123</v>
      </c>
      <c r="C15" s="20" t="b">
        <f>AND((Load_Switch_NFET[[#This Row],[VDSMAX]]&gt;=Vi*1.1),(Load_Switch_NFET[[#This Row],[VGSMAX]]&gt;=(VGS_DR)*1.1),(Load_Switch_NFET[[#This Row],[IDSMAX]]&gt;=Io),VGS_DR&gt;=1.8)</f>
        <v>1</v>
      </c>
      <c r="D15" s="20" t="b">
        <f>AND(Vi&lt;=27,Load_Switch_NFET[[#This Row],[VDSMAX]]&lt;=30)</f>
        <v>1</v>
      </c>
      <c r="E15" s="20" t="b">
        <f>AND(Vi&lt;=36,Vi&gt;=20,Load_Switch_NFET[[#This Row],[VDSMAX]]=40)</f>
        <v>0</v>
      </c>
      <c r="F15" s="20" t="b">
        <f>AND(Vi&lt;=54,Vi&gt;=25,Load_Switch_NFET[[#This Row],[VDSMAX]]=60)</f>
        <v>0</v>
      </c>
      <c r="G15" s="20" t="b">
        <f>AND(Vi&lt;=72,Vi&gt;=36,Load_Switch_NFET[[#This Row],[VDSMAX]]=80)</f>
        <v>0</v>
      </c>
      <c r="H15" s="20" t="b">
        <f>AND(Vi&lt;=90,Vi&gt;=48,Load_Switch_NFET[[#This Row],[VDSMAX]]=100)</f>
        <v>0</v>
      </c>
      <c r="I15" s="20" t="b">
        <f t="shared" si="0"/>
        <v>1</v>
      </c>
      <c r="J15" s="20" t="b">
        <f>AND(((VGS_DR)&lt;2.5),('NFET Data'!$AC15&lt;&gt;"(Null)"))</f>
        <v>0</v>
      </c>
      <c r="K15" s="20" t="b">
        <f>AND(((VGS_DR)&gt;=2.5),((VGS_DR)&lt;3),OR(('NFET Data'!$AD15&lt;&gt;"(Null)"),('NFET Data'!$AC15&lt;&gt;"(Null)")))</f>
        <v>0</v>
      </c>
      <c r="L15" s="20" t="b">
        <f>AND(((VGS_DR)&gt;=3),((VGS_DR)&lt;4.5),OR(('NFET Data'!$AE15&lt;&gt;"(Null)"),('NFET Data'!$AD15&lt;&gt;"(Null)"),('NFET Data'!$AC15&lt;&gt;"(Null)")))</f>
        <v>0</v>
      </c>
      <c r="M15" s="20" t="b">
        <f>AND(((VGS_DR)&gt;=4.5),((VGS_DR)&lt;6),OR(('NFET Data'!$AF15&lt;&gt;"(Null)"),('NFET Data'!$AE15&lt;&gt;"(Null)"),('NFET Data'!$AD15&lt;&gt;"(Null)"),('NFET Data'!$AC15&lt;&gt;"(Null)")))</f>
        <v>1</v>
      </c>
      <c r="N15" s="20" t="b">
        <f>AND(((VGS_DR)&gt;=6),((VGS_DR)&lt;8),OR(('NFET Data'!$AG15&lt;&gt;"(Null)"),('NFET Data'!$AF15&lt;&gt;"(Null)"),('NFET Data'!$AE15&lt;&gt;"(Null)"),('NFET Data'!$AD15&lt;&gt;"(Null)"),('NFET Data'!$AC15&lt;&gt;"(Null)")))</f>
        <v>0</v>
      </c>
      <c r="O15" s="20" t="b">
        <f>AND(((VGS_DR)&gt;=8),((VGS_DR)&lt;10),OR(('NFET Data'!$AH15&lt;&gt;"(Null)"),('NFET Data'!$AG15&lt;&gt;"(Null)"),('NFET Data'!$AF15&lt;&gt;"(Null)"),('NFET Data'!$AE15&lt;&gt;"(Null)"),('NFET Data'!$AD15&lt;&gt;"(Null)"),('NFET Data'!$AC15&lt;&gt;"(Null)")))</f>
        <v>0</v>
      </c>
      <c r="P15" s="20" t="b">
        <f>AND(((VGS_DR)&gt;=10),OR(('NFET Data'!$AI15&lt;&gt;"(Null)"),('NFET Data'!$AH15&lt;&gt;"(Null)"),('NFET Data'!$AG15&lt;&gt;"(Null)"),('NFET Data'!$AF15&lt;&gt;"(Null)"),('NFET Data'!$AE15&lt;&gt;"(Null)"),('NFET Data'!$AD15&lt;&gt;"(Null)"),('NFET Data'!$AC15&lt;&gt;"(Null)")))</f>
        <v>0</v>
      </c>
      <c r="Q15" s="20" t="b">
        <f t="shared" si="1"/>
        <v>1</v>
      </c>
      <c r="R15" s="20" t="b">
        <f t="shared" si="2"/>
        <v>1</v>
      </c>
      <c r="V15" s="20" t="b">
        <f>((VGS_DR)&gt;=1.8)</f>
        <v>1</v>
      </c>
      <c r="W15" s="20" t="b">
        <f>((VGS_DR)&gt;=2.2)</f>
        <v>1</v>
      </c>
      <c r="X15" s="20" t="b">
        <f>((VGS_DR)&gt;=2.7)</f>
        <v>1</v>
      </c>
      <c r="Y15" s="20" t="b">
        <f>((VGS_DR)&gt;=4)</f>
        <v>1</v>
      </c>
      <c r="Z15" s="20" t="b">
        <f>((VGS_DR)&gt;=5.5)</f>
        <v>0</v>
      </c>
      <c r="AA15" s="20" t="b">
        <f>((VGS_DR)&gt;=7)</f>
        <v>0</v>
      </c>
      <c r="AB15" s="20" t="b">
        <f>((VGS_DR)&gt;=8.5)</f>
        <v>0</v>
      </c>
      <c r="AC15" s="20" t="e">
        <f>IF(AB18,LOOKUP(Part_Number2,Load_Switch_NFET[PARTNUMBER],Load_Switch_NFET[RDSON10])*1000,IF(AA18,LOOKUP(Part_Number2,Load_Switch_NFET[PARTNUMBER],Load_Switch_NFET[RDSON8])*1000,IF(Z18,LOOKUP(Part_Number2,Load_Switch_NFET[PARTNUMBER],Load_Switch_NFET[RDSON6])*1000,IF(Y18,LOOKUP(Part_Number2,Load_Switch_NFET[PARTNUMBER],Load_Switch_NFET[RDSON45])*1000,IF(X18,LOOKUP(Part_Number2,Load_Switch_NFET[PARTNUMBER],Load_Switch_NFET[RDSON3])*1000,IF(W18,LOOKUP(Part_Number2,Load_Switch_NFET[PARTNUMBER],Load_Switch_NFET[RDSON25])*1000,IF(V18,LOOKUP(Part_Number2,Load_Switch_NFET[PARTNUMBER],Load_Switch_NFET[RDSON18])*1000,"")))))))</f>
        <v>#N/A</v>
      </c>
    </row>
    <row r="16" spans="1:29" x14ac:dyDescent="0.25">
      <c r="A16" s="20" t="str">
        <f>IF(R16,Load_Switch_NFET[[#This Row],[PARTNUMBER]],"")</f>
        <v>CSD16323Q3</v>
      </c>
      <c r="B16" t="s">
        <v>125</v>
      </c>
      <c r="C16" s="20" t="b">
        <f>AND((Load_Switch_NFET[[#This Row],[VDSMAX]]&gt;=Vi*1.1),(Load_Switch_NFET[[#This Row],[VGSMAX]]&gt;=(VGS_DR)*1.1),(Load_Switch_NFET[[#This Row],[IDSMAX]]&gt;=Io),VGS_DR&gt;=1.8)</f>
        <v>1</v>
      </c>
      <c r="D16" s="20" t="b">
        <f>AND(Vi&lt;=27,Load_Switch_NFET[[#This Row],[VDSMAX]]&lt;=30)</f>
        <v>1</v>
      </c>
      <c r="E16" s="20" t="b">
        <f>AND(Vi&lt;=36,Vi&gt;=20,Load_Switch_NFET[[#This Row],[VDSMAX]]=40)</f>
        <v>0</v>
      </c>
      <c r="F16" s="20" t="b">
        <f>AND(Vi&lt;=54,Vi&gt;=25,Load_Switch_NFET[[#This Row],[VDSMAX]]=60)</f>
        <v>0</v>
      </c>
      <c r="G16" s="20" t="b">
        <f>AND(Vi&lt;=72,Vi&gt;=36,Load_Switch_NFET[[#This Row],[VDSMAX]]=80)</f>
        <v>0</v>
      </c>
      <c r="H16" s="20" t="b">
        <f>AND(Vi&lt;=90,Vi&gt;=48,Load_Switch_NFET[[#This Row],[VDSMAX]]=100)</f>
        <v>0</v>
      </c>
      <c r="I16" s="20" t="b">
        <f t="shared" si="0"/>
        <v>1</v>
      </c>
      <c r="J16" s="20" t="b">
        <f>AND(((VGS_DR)&lt;2.5),('NFET Data'!$AC16&lt;&gt;"(Null)"))</f>
        <v>0</v>
      </c>
      <c r="K16" s="20" t="b">
        <f>AND(((VGS_DR)&gt;=2.5),((VGS_DR)&lt;3),OR(('NFET Data'!$AD16&lt;&gt;"(Null)"),('NFET Data'!$AC16&lt;&gt;"(Null)")))</f>
        <v>0</v>
      </c>
      <c r="L16" s="20" t="b">
        <f>AND(((VGS_DR)&gt;=3),((VGS_DR)&lt;4.5),OR(('NFET Data'!$AE16&lt;&gt;"(Null)"),('NFET Data'!$AD16&lt;&gt;"(Null)"),('NFET Data'!$AC16&lt;&gt;"(Null)")))</f>
        <v>0</v>
      </c>
      <c r="M16" s="20" t="b">
        <f>AND(((VGS_DR)&gt;=4.5),((VGS_DR)&lt;6),OR(('NFET Data'!$AF16&lt;&gt;"(Null)"),('NFET Data'!$AE16&lt;&gt;"(Null)"),('NFET Data'!$AD16&lt;&gt;"(Null)"),('NFET Data'!$AC16&lt;&gt;"(Null)")))</f>
        <v>1</v>
      </c>
      <c r="N16" s="20" t="b">
        <f>AND(((VGS_DR)&gt;=6),((VGS_DR)&lt;8),OR(('NFET Data'!$AG16&lt;&gt;"(Null)"),('NFET Data'!$AF16&lt;&gt;"(Null)"),('NFET Data'!$AE16&lt;&gt;"(Null)"),('NFET Data'!$AD16&lt;&gt;"(Null)"),('NFET Data'!$AC16&lt;&gt;"(Null)")))</f>
        <v>0</v>
      </c>
      <c r="O16" s="20" t="b">
        <f>AND(((VGS_DR)&gt;=8),((VGS_DR)&lt;10),OR(('NFET Data'!$AH16&lt;&gt;"(Null)"),('NFET Data'!$AG16&lt;&gt;"(Null)"),('NFET Data'!$AF16&lt;&gt;"(Null)"),('NFET Data'!$AE16&lt;&gt;"(Null)"),('NFET Data'!$AD16&lt;&gt;"(Null)"),('NFET Data'!$AC16&lt;&gt;"(Null)")))</f>
        <v>0</v>
      </c>
      <c r="P16" s="20" t="b">
        <f>AND(((VGS_DR)&gt;=10),OR(('NFET Data'!$AI16&lt;&gt;"(Null)"),('NFET Data'!$AH16&lt;&gt;"(Null)"),('NFET Data'!$AG16&lt;&gt;"(Null)"),('NFET Data'!$AF16&lt;&gt;"(Null)"),('NFET Data'!$AE16&lt;&gt;"(Null)"),('NFET Data'!$AD16&lt;&gt;"(Null)"),('NFET Data'!$AC16&lt;&gt;"(Null)")))</f>
        <v>0</v>
      </c>
      <c r="Q16" s="20" t="b">
        <f t="shared" si="1"/>
        <v>1</v>
      </c>
      <c r="R16" s="20" t="b">
        <f t="shared" si="2"/>
        <v>1</v>
      </c>
      <c r="V16" s="20" t="e">
        <f>IF(LOOKUP(Part_Number2,Load_Switch_NFET[PARTNUMBER],Load_Switch_NFET[RDSON18])="(NULL)","0","1")</f>
        <v>#N/A</v>
      </c>
      <c r="W16" s="20" t="e">
        <f>IF(LOOKUP(Part_Number2,Load_Switch_NFET[PARTNUMBER],Load_Switch_NFET[RDSON25])="(NULL)","0","1")</f>
        <v>#N/A</v>
      </c>
      <c r="X16" s="20" t="e">
        <f>IF(LOOKUP(Part_Number2,Load_Switch_NFET[PARTNUMBER],Load_Switch_NFET[RDSON3])="(NULL)","0","1")</f>
        <v>#N/A</v>
      </c>
      <c r="Y16" s="20" t="e">
        <f>IF(LOOKUP(Part_Number2,Load_Switch_NFET[PARTNUMBER],Load_Switch_NFET[RDSON45])="(NULL)","0","1")</f>
        <v>#N/A</v>
      </c>
      <c r="Z16" s="20" t="e">
        <f>IF(LOOKUP(Part_Number2,Load_Switch_NFET[PARTNUMBER],Load_Switch_NFET[RDSON6])="(NULL)","0","1")</f>
        <v>#N/A</v>
      </c>
      <c r="AA16" s="20" t="e">
        <f>IF(LOOKUP(Part_Number2,Load_Switch_NFET[PARTNUMBER],Load_Switch_NFET[RDSON8])="(NULL)","0","1")</f>
        <v>#N/A</v>
      </c>
      <c r="AB16" s="20" t="e">
        <f>IF(LOOKUP(Part_Number2,Load_Switch_NFET[PARTNUMBER],Load_Switch_NFET[RDSON10])="(NULL)","0","1")</f>
        <v>#N/A</v>
      </c>
    </row>
    <row r="17" spans="1:29" x14ac:dyDescent="0.25">
      <c r="A17" s="20" t="str">
        <f>IF(R17,Load_Switch_NFET[[#This Row],[PARTNUMBER]],"")</f>
        <v>CSD16325Q5</v>
      </c>
      <c r="B17" t="s">
        <v>128</v>
      </c>
      <c r="C17" s="20" t="b">
        <f>AND((Load_Switch_NFET[[#This Row],[VDSMAX]]&gt;=Vi*1.1),(Load_Switch_NFET[[#This Row],[VGSMAX]]&gt;=(VGS_DR)*1.1),(Load_Switch_NFET[[#This Row],[IDSMAX]]&gt;=Io),VGS_DR&gt;=1.8)</f>
        <v>1</v>
      </c>
      <c r="D17" s="20" t="b">
        <f>AND(Vi&lt;=27,Load_Switch_NFET[[#This Row],[VDSMAX]]&lt;=30)</f>
        <v>1</v>
      </c>
      <c r="E17" s="20" t="b">
        <f>AND(Vi&lt;=36,Vi&gt;=20,Load_Switch_NFET[[#This Row],[VDSMAX]]=40)</f>
        <v>0</v>
      </c>
      <c r="F17" s="20" t="b">
        <f>AND(Vi&lt;=54,Vi&gt;=25,Load_Switch_NFET[[#This Row],[VDSMAX]]=60)</f>
        <v>0</v>
      </c>
      <c r="G17" s="20" t="b">
        <f>AND(Vi&lt;=72,Vi&gt;=36,Load_Switch_NFET[[#This Row],[VDSMAX]]=80)</f>
        <v>0</v>
      </c>
      <c r="H17" s="20" t="b">
        <f>AND(Vi&lt;=90,Vi&gt;=48,Load_Switch_NFET[[#This Row],[VDSMAX]]=100)</f>
        <v>0</v>
      </c>
      <c r="I17" s="20" t="b">
        <f t="shared" si="0"/>
        <v>1</v>
      </c>
      <c r="J17" s="20" t="b">
        <f>AND(((VGS_DR)&lt;2.5),('NFET Data'!$AC17&lt;&gt;"(Null)"))</f>
        <v>0</v>
      </c>
      <c r="K17" s="20" t="b">
        <f>AND(((VGS_DR)&gt;=2.5),((VGS_DR)&lt;3),OR(('NFET Data'!$AD17&lt;&gt;"(Null)"),('NFET Data'!$AC17&lt;&gt;"(Null)")))</f>
        <v>0</v>
      </c>
      <c r="L17" s="20" t="b">
        <f>AND(((VGS_DR)&gt;=3),((VGS_DR)&lt;4.5),OR(('NFET Data'!$AE17&lt;&gt;"(Null)"),('NFET Data'!$AD17&lt;&gt;"(Null)"),('NFET Data'!$AC17&lt;&gt;"(Null)")))</f>
        <v>0</v>
      </c>
      <c r="M17" s="20" t="b">
        <f>AND(((VGS_DR)&gt;=4.5),((VGS_DR)&lt;6),OR(('NFET Data'!$AF17&lt;&gt;"(Null)"),('NFET Data'!$AE17&lt;&gt;"(Null)"),('NFET Data'!$AD17&lt;&gt;"(Null)"),('NFET Data'!$AC17&lt;&gt;"(Null)")))</f>
        <v>1</v>
      </c>
      <c r="N17" s="20" t="b">
        <f>AND(((VGS_DR)&gt;=6),((VGS_DR)&lt;8),OR(('NFET Data'!$AG17&lt;&gt;"(Null)"),('NFET Data'!$AF17&lt;&gt;"(Null)"),('NFET Data'!$AE17&lt;&gt;"(Null)"),('NFET Data'!$AD17&lt;&gt;"(Null)"),('NFET Data'!$AC17&lt;&gt;"(Null)")))</f>
        <v>0</v>
      </c>
      <c r="O17" s="20" t="b">
        <f>AND(((VGS_DR)&gt;=8),((VGS_DR)&lt;10),OR(('NFET Data'!$AH17&lt;&gt;"(Null)"),('NFET Data'!$AG17&lt;&gt;"(Null)"),('NFET Data'!$AF17&lt;&gt;"(Null)"),('NFET Data'!$AE17&lt;&gt;"(Null)"),('NFET Data'!$AD17&lt;&gt;"(Null)"),('NFET Data'!$AC17&lt;&gt;"(Null)")))</f>
        <v>0</v>
      </c>
      <c r="P17" s="20" t="b">
        <f>AND(((VGS_DR)&gt;=10),OR(('NFET Data'!$AI17&lt;&gt;"(Null)"),('NFET Data'!$AH17&lt;&gt;"(Null)"),('NFET Data'!$AG17&lt;&gt;"(Null)"),('NFET Data'!$AF17&lt;&gt;"(Null)"),('NFET Data'!$AE17&lt;&gt;"(Null)"),('NFET Data'!$AD17&lt;&gt;"(Null)"),('NFET Data'!$AC17&lt;&gt;"(Null)")))</f>
        <v>0</v>
      </c>
      <c r="Q17" s="20" t="b">
        <f t="shared" si="1"/>
        <v>1</v>
      </c>
      <c r="R17" s="20" t="b">
        <f t="shared" si="2"/>
        <v>1</v>
      </c>
      <c r="V17" s="20" t="e">
        <f>AND(V15,V16="1")</f>
        <v>#N/A</v>
      </c>
      <c r="W17" s="20" t="e">
        <f>AND(W15,W16="1")</f>
        <v>#N/A</v>
      </c>
      <c r="X17" s="20" t="e">
        <f>AND(X15,X16="1")</f>
        <v>#N/A</v>
      </c>
      <c r="Y17" s="20" t="e">
        <f t="shared" ref="Y17:AB17" si="5">AND(Y15,Y16="1")</f>
        <v>#N/A</v>
      </c>
      <c r="Z17" s="20" t="e">
        <f t="shared" si="5"/>
        <v>#N/A</v>
      </c>
      <c r="AA17" s="20" t="e">
        <f t="shared" si="5"/>
        <v>#N/A</v>
      </c>
      <c r="AB17" s="20" t="e">
        <f t="shared" si="5"/>
        <v>#N/A</v>
      </c>
    </row>
    <row r="18" spans="1:29" x14ac:dyDescent="0.25">
      <c r="A18" s="20" t="str">
        <f>IF(R18,Load_Switch_NFET[[#This Row],[PARTNUMBER]],"")</f>
        <v>CSD16327Q3</v>
      </c>
      <c r="B18" t="s">
        <v>131</v>
      </c>
      <c r="C18" s="20" t="b">
        <f>AND((Load_Switch_NFET[[#This Row],[VDSMAX]]&gt;=Vi*1.1),(Load_Switch_NFET[[#This Row],[VGSMAX]]&gt;=(VGS_DR)*1.1),(Load_Switch_NFET[[#This Row],[IDSMAX]]&gt;=Io),VGS_DR&gt;=1.8)</f>
        <v>1</v>
      </c>
      <c r="D18" s="20" t="b">
        <f>AND(Vi&lt;=27,Load_Switch_NFET[[#This Row],[VDSMAX]]&lt;=30)</f>
        <v>1</v>
      </c>
      <c r="E18" s="20" t="b">
        <f>AND(Vi&lt;=36,Vi&gt;=20,Load_Switch_NFET[[#This Row],[VDSMAX]]=40)</f>
        <v>0</v>
      </c>
      <c r="F18" s="20" t="b">
        <f>AND(Vi&lt;=54,Vi&gt;=25,Load_Switch_NFET[[#This Row],[VDSMAX]]=60)</f>
        <v>0</v>
      </c>
      <c r="G18" s="20" t="b">
        <f>AND(Vi&lt;=72,Vi&gt;=36,Load_Switch_NFET[[#This Row],[VDSMAX]]=80)</f>
        <v>0</v>
      </c>
      <c r="H18" s="20" t="b">
        <f>AND(Vi&lt;=90,Vi&gt;=48,Load_Switch_NFET[[#This Row],[VDSMAX]]=100)</f>
        <v>0</v>
      </c>
      <c r="I18" s="20" t="b">
        <f t="shared" si="0"/>
        <v>1</v>
      </c>
      <c r="J18" s="20" t="b">
        <f>AND(((VGS_DR)&lt;2.5),('NFET Data'!$AC18&lt;&gt;"(Null)"))</f>
        <v>0</v>
      </c>
      <c r="K18" s="20" t="b">
        <f>AND(((VGS_DR)&gt;=2.5),((VGS_DR)&lt;3),OR(('NFET Data'!$AD18&lt;&gt;"(Null)"),('NFET Data'!$AC18&lt;&gt;"(Null)")))</f>
        <v>0</v>
      </c>
      <c r="L18" s="20" t="b">
        <f>AND(((VGS_DR)&gt;=3),((VGS_DR)&lt;4.5),OR(('NFET Data'!$AE18&lt;&gt;"(Null)"),('NFET Data'!$AD18&lt;&gt;"(Null)"),('NFET Data'!$AC18&lt;&gt;"(Null)")))</f>
        <v>0</v>
      </c>
      <c r="M18" s="20" t="b">
        <f>AND(((VGS_DR)&gt;=4.5),((VGS_DR)&lt;6),OR(('NFET Data'!$AF18&lt;&gt;"(Null)"),('NFET Data'!$AE18&lt;&gt;"(Null)"),('NFET Data'!$AD18&lt;&gt;"(Null)"),('NFET Data'!$AC18&lt;&gt;"(Null)")))</f>
        <v>1</v>
      </c>
      <c r="N18" s="20" t="b">
        <f>AND(((VGS_DR)&gt;=6),((VGS_DR)&lt;8),OR(('NFET Data'!$AG18&lt;&gt;"(Null)"),('NFET Data'!$AF18&lt;&gt;"(Null)"),('NFET Data'!$AE18&lt;&gt;"(Null)"),('NFET Data'!$AD18&lt;&gt;"(Null)"),('NFET Data'!$AC18&lt;&gt;"(Null)")))</f>
        <v>0</v>
      </c>
      <c r="O18" s="20" t="b">
        <f>AND(((VGS_DR)&gt;=8),((VGS_DR)&lt;10),OR(('NFET Data'!$AH18&lt;&gt;"(Null)"),('NFET Data'!$AG18&lt;&gt;"(Null)"),('NFET Data'!$AF18&lt;&gt;"(Null)"),('NFET Data'!$AE18&lt;&gt;"(Null)"),('NFET Data'!$AD18&lt;&gt;"(Null)"),('NFET Data'!$AC18&lt;&gt;"(Null)")))</f>
        <v>0</v>
      </c>
      <c r="P18" s="20" t="b">
        <f>AND(((VGS_DR)&gt;=10),OR(('NFET Data'!$AI18&lt;&gt;"(Null)"),('NFET Data'!$AH18&lt;&gt;"(Null)"),('NFET Data'!$AG18&lt;&gt;"(Null)"),('NFET Data'!$AF18&lt;&gt;"(Null)"),('NFET Data'!$AE18&lt;&gt;"(Null)"),('NFET Data'!$AD18&lt;&gt;"(Null)"),('NFET Data'!$AC18&lt;&gt;"(Null)")))</f>
        <v>0</v>
      </c>
      <c r="Q18" s="20" t="b">
        <f t="shared" si="1"/>
        <v>1</v>
      </c>
      <c r="R18" s="20" t="b">
        <f t="shared" si="2"/>
        <v>1</v>
      </c>
      <c r="U18" s="20" t="e">
        <f>OR(V17:AB17)</f>
        <v>#N/A</v>
      </c>
      <c r="V18" s="20" t="e">
        <f>AND($U$15,V15,V16="1")</f>
        <v>#N/A</v>
      </c>
      <c r="W18" s="20" t="e">
        <f t="shared" ref="W18:AB18" si="6">AND($U$15,W15,W16="1")</f>
        <v>#N/A</v>
      </c>
      <c r="X18" s="20" t="e">
        <f t="shared" si="6"/>
        <v>#N/A</v>
      </c>
      <c r="Y18" s="20" t="e">
        <f t="shared" si="6"/>
        <v>#N/A</v>
      </c>
      <c r="Z18" s="20" t="e">
        <f t="shared" si="6"/>
        <v>#N/A</v>
      </c>
      <c r="AA18" s="20" t="e">
        <f t="shared" si="6"/>
        <v>#N/A</v>
      </c>
      <c r="AB18" s="20" t="e">
        <f t="shared" si="6"/>
        <v>#N/A</v>
      </c>
    </row>
    <row r="19" spans="1:29" x14ac:dyDescent="0.25">
      <c r="A19" s="20" t="str">
        <f>IF(R19,Load_Switch_NFET[[#This Row],[PARTNUMBER]],"")</f>
        <v>CSD16340Q3</v>
      </c>
      <c r="B19" t="s">
        <v>135</v>
      </c>
      <c r="C19" s="20" t="b">
        <f>AND((Load_Switch_NFET[[#This Row],[VDSMAX]]&gt;=Vi*1.1),(Load_Switch_NFET[[#This Row],[VGSMAX]]&gt;=(VGS_DR)*1.1),(Load_Switch_NFET[[#This Row],[IDSMAX]]&gt;=Io),VGS_DR&gt;=1.8)</f>
        <v>1</v>
      </c>
      <c r="D19" s="20" t="b">
        <f>AND(Vi&lt;=27,Load_Switch_NFET[[#This Row],[VDSMAX]]&lt;=30)</f>
        <v>1</v>
      </c>
      <c r="E19" s="20" t="b">
        <f>AND(Vi&lt;=36,Vi&gt;=20,Load_Switch_NFET[[#This Row],[VDSMAX]]=40)</f>
        <v>0</v>
      </c>
      <c r="F19" s="20" t="b">
        <f>AND(Vi&lt;=54,Vi&gt;=25,Load_Switch_NFET[[#This Row],[VDSMAX]]=60)</f>
        <v>0</v>
      </c>
      <c r="G19" s="20" t="b">
        <f>AND(Vi&lt;=72,Vi&gt;=36,Load_Switch_NFET[[#This Row],[VDSMAX]]=80)</f>
        <v>0</v>
      </c>
      <c r="H19" s="20" t="b">
        <f>AND(Vi&lt;=90,Vi&gt;=48,Load_Switch_NFET[[#This Row],[VDSMAX]]=100)</f>
        <v>0</v>
      </c>
      <c r="I19" s="20" t="b">
        <f t="shared" si="0"/>
        <v>1</v>
      </c>
      <c r="J19" s="20" t="b">
        <f>AND(((VGS_DR)&lt;2.5),('NFET Data'!$AC19&lt;&gt;"(Null)"))</f>
        <v>0</v>
      </c>
      <c r="K19" s="20" t="b">
        <f>AND(((VGS_DR)&gt;=2.5),((VGS_DR)&lt;3),OR(('NFET Data'!$AD19&lt;&gt;"(Null)"),('NFET Data'!$AC19&lt;&gt;"(Null)")))</f>
        <v>0</v>
      </c>
      <c r="L19" s="20" t="b">
        <f>AND(((VGS_DR)&gt;=3),((VGS_DR)&lt;4.5),OR(('NFET Data'!$AE19&lt;&gt;"(Null)"),('NFET Data'!$AD19&lt;&gt;"(Null)"),('NFET Data'!$AC19&lt;&gt;"(Null)")))</f>
        <v>0</v>
      </c>
      <c r="M19" s="20" t="b">
        <f>AND(((VGS_DR)&gt;=4.5),((VGS_DR)&lt;6),OR(('NFET Data'!$AF19&lt;&gt;"(Null)"),('NFET Data'!$AE19&lt;&gt;"(Null)"),('NFET Data'!$AD19&lt;&gt;"(Null)"),('NFET Data'!$AC19&lt;&gt;"(Null)")))</f>
        <v>1</v>
      </c>
      <c r="N19" s="20" t="b">
        <f>AND(((VGS_DR)&gt;=6),((VGS_DR)&lt;8),OR(('NFET Data'!$AG19&lt;&gt;"(Null)"),('NFET Data'!$AF19&lt;&gt;"(Null)"),('NFET Data'!$AE19&lt;&gt;"(Null)"),('NFET Data'!$AD19&lt;&gt;"(Null)"),('NFET Data'!$AC19&lt;&gt;"(Null)")))</f>
        <v>0</v>
      </c>
      <c r="O19" s="20" t="b">
        <f>AND(((VGS_DR)&gt;=8),((VGS_DR)&lt;10),OR(('NFET Data'!$AH19&lt;&gt;"(Null)"),('NFET Data'!$AG19&lt;&gt;"(Null)"),('NFET Data'!$AF19&lt;&gt;"(Null)"),('NFET Data'!$AE19&lt;&gt;"(Null)"),('NFET Data'!$AD19&lt;&gt;"(Null)"),('NFET Data'!$AC19&lt;&gt;"(Null)")))</f>
        <v>0</v>
      </c>
      <c r="P19" s="20" t="b">
        <f>AND(((VGS_DR)&gt;=10),OR(('NFET Data'!$AI19&lt;&gt;"(Null)"),('NFET Data'!$AH19&lt;&gt;"(Null)"),('NFET Data'!$AG19&lt;&gt;"(Null)"),('NFET Data'!$AF19&lt;&gt;"(Null)"),('NFET Data'!$AE19&lt;&gt;"(Null)"),('NFET Data'!$AD19&lt;&gt;"(Null)"),('NFET Data'!$AC19&lt;&gt;"(Null)")))</f>
        <v>0</v>
      </c>
      <c r="Q19" s="20" t="b">
        <f t="shared" si="1"/>
        <v>1</v>
      </c>
      <c r="R19" s="20" t="b">
        <f t="shared" si="2"/>
        <v>1</v>
      </c>
    </row>
    <row r="20" spans="1:29" x14ac:dyDescent="0.25">
      <c r="A20" s="20" t="str">
        <f>IF(R20,Load_Switch_NFET[[#This Row],[PARTNUMBER]],"")</f>
        <v>CSD16342Q5A</v>
      </c>
      <c r="B20" t="s">
        <v>138</v>
      </c>
      <c r="C20" s="20" t="b">
        <f>AND((Load_Switch_NFET[[#This Row],[VDSMAX]]&gt;=Vi*1.1),(Load_Switch_NFET[[#This Row],[VGSMAX]]&gt;=(VGS_DR)*1.1),(Load_Switch_NFET[[#This Row],[IDSMAX]]&gt;=Io),VGS_DR&gt;=1.8)</f>
        <v>1</v>
      </c>
      <c r="D20" s="20" t="b">
        <f>AND(Vi&lt;=27,Load_Switch_NFET[[#This Row],[VDSMAX]]&lt;=30)</f>
        <v>1</v>
      </c>
      <c r="E20" s="20" t="b">
        <f>AND(Vi&lt;=36,Vi&gt;=20,Load_Switch_NFET[[#This Row],[VDSMAX]]=40)</f>
        <v>0</v>
      </c>
      <c r="F20" s="20" t="b">
        <f>AND(Vi&lt;=54,Vi&gt;=25,Load_Switch_NFET[[#This Row],[VDSMAX]]=60)</f>
        <v>0</v>
      </c>
      <c r="G20" s="20" t="b">
        <f>AND(Vi&lt;=72,Vi&gt;=36,Load_Switch_NFET[[#This Row],[VDSMAX]]=80)</f>
        <v>0</v>
      </c>
      <c r="H20" s="20" t="b">
        <f>AND(Vi&lt;=90,Vi&gt;=48,Load_Switch_NFET[[#This Row],[VDSMAX]]=100)</f>
        <v>0</v>
      </c>
      <c r="I20" s="20" t="b">
        <f t="shared" si="0"/>
        <v>1</v>
      </c>
      <c r="J20" s="20" t="b">
        <f>AND(((VGS_DR)&lt;2.5),('NFET Data'!$AC20&lt;&gt;"(Null)"))</f>
        <v>0</v>
      </c>
      <c r="K20" s="20" t="b">
        <f>AND(((VGS_DR)&gt;=2.5),((VGS_DR)&lt;3),OR(('NFET Data'!$AD20&lt;&gt;"(Null)"),('NFET Data'!$AC20&lt;&gt;"(Null)")))</f>
        <v>0</v>
      </c>
      <c r="L20" s="20" t="b">
        <f>AND(((VGS_DR)&gt;=3),((VGS_DR)&lt;4.5),OR(('NFET Data'!$AE20&lt;&gt;"(Null)"),('NFET Data'!$AD20&lt;&gt;"(Null)"),('NFET Data'!$AC20&lt;&gt;"(Null)")))</f>
        <v>0</v>
      </c>
      <c r="M20" s="20" t="b">
        <f>AND(((VGS_DR)&gt;=4.5),((VGS_DR)&lt;6),OR(('NFET Data'!$AF20&lt;&gt;"(Null)"),('NFET Data'!$AE20&lt;&gt;"(Null)"),('NFET Data'!$AD20&lt;&gt;"(Null)"),('NFET Data'!$AC20&lt;&gt;"(Null)")))</f>
        <v>1</v>
      </c>
      <c r="N20" s="20" t="b">
        <f>AND(((VGS_DR)&gt;=6),((VGS_DR)&lt;8),OR(('NFET Data'!$AG20&lt;&gt;"(Null)"),('NFET Data'!$AF20&lt;&gt;"(Null)"),('NFET Data'!$AE20&lt;&gt;"(Null)"),('NFET Data'!$AD20&lt;&gt;"(Null)"),('NFET Data'!$AC20&lt;&gt;"(Null)")))</f>
        <v>0</v>
      </c>
      <c r="O20" s="20" t="b">
        <f>AND(((VGS_DR)&gt;=8),((VGS_DR)&lt;10),OR(('NFET Data'!$AH20&lt;&gt;"(Null)"),('NFET Data'!$AG20&lt;&gt;"(Null)"),('NFET Data'!$AF20&lt;&gt;"(Null)"),('NFET Data'!$AE20&lt;&gt;"(Null)"),('NFET Data'!$AD20&lt;&gt;"(Null)"),('NFET Data'!$AC20&lt;&gt;"(Null)")))</f>
        <v>0</v>
      </c>
      <c r="P20" s="20" t="b">
        <f>AND(((VGS_DR)&gt;=10),OR(('NFET Data'!$AI20&lt;&gt;"(Null)"),('NFET Data'!$AH20&lt;&gt;"(Null)"),('NFET Data'!$AG20&lt;&gt;"(Null)"),('NFET Data'!$AF20&lt;&gt;"(Null)"),('NFET Data'!$AE20&lt;&gt;"(Null)"),('NFET Data'!$AD20&lt;&gt;"(Null)"),('NFET Data'!$AC20&lt;&gt;"(Null)")))</f>
        <v>0</v>
      </c>
      <c r="Q20" s="20" t="b">
        <f t="shared" si="1"/>
        <v>1</v>
      </c>
      <c r="R20" s="20" t="b">
        <f t="shared" si="2"/>
        <v>1</v>
      </c>
      <c r="U20" s="185" t="s">
        <v>540</v>
      </c>
      <c r="V20" s="185"/>
      <c r="W20" s="185"/>
      <c r="X20" s="185"/>
      <c r="Y20" s="185"/>
      <c r="Z20" s="185"/>
      <c r="AA20" s="185"/>
      <c r="AB20" s="185"/>
    </row>
    <row r="21" spans="1:29" x14ac:dyDescent="0.25">
      <c r="A21" s="20" t="str">
        <f>IF(R21,Load_Switch_NFET[[#This Row],[PARTNUMBER]],"")</f>
        <v>CSD16401Q5</v>
      </c>
      <c r="B21" t="s">
        <v>141</v>
      </c>
      <c r="C21" s="20" t="b">
        <f>AND((Load_Switch_NFET[[#This Row],[VDSMAX]]&gt;=Vi*1.1),(Load_Switch_NFET[[#This Row],[VGSMAX]]&gt;=(VGS_DR)*1.1),(Load_Switch_NFET[[#This Row],[IDSMAX]]&gt;=Io),VGS_DR&gt;=1.8)</f>
        <v>1</v>
      </c>
      <c r="D21" s="20" t="b">
        <f>AND(Vi&lt;=27,Load_Switch_NFET[[#This Row],[VDSMAX]]&lt;=30)</f>
        <v>1</v>
      </c>
      <c r="E21" s="20" t="b">
        <f>AND(Vi&lt;=36,Vi&gt;=20,Load_Switch_NFET[[#This Row],[VDSMAX]]=40)</f>
        <v>0</v>
      </c>
      <c r="F21" s="20" t="b">
        <f>AND(Vi&lt;=54,Vi&gt;=25,Load_Switch_NFET[[#This Row],[VDSMAX]]=60)</f>
        <v>0</v>
      </c>
      <c r="G21" s="20" t="b">
        <f>AND(Vi&lt;=72,Vi&gt;=36,Load_Switch_NFET[[#This Row],[VDSMAX]]=80)</f>
        <v>0</v>
      </c>
      <c r="H21" s="20" t="b">
        <f>AND(Vi&lt;=90,Vi&gt;=48,Load_Switch_NFET[[#This Row],[VDSMAX]]=100)</f>
        <v>0</v>
      </c>
      <c r="I21" s="20" t="b">
        <f t="shared" si="0"/>
        <v>1</v>
      </c>
      <c r="J21" s="20" t="b">
        <f>AND(((VGS_DR)&lt;2.5),('NFET Data'!$AC21&lt;&gt;"(Null)"))</f>
        <v>0</v>
      </c>
      <c r="K21" s="20" t="b">
        <f>AND(((VGS_DR)&gt;=2.5),((VGS_DR)&lt;3),OR(('NFET Data'!$AD21&lt;&gt;"(Null)"),('NFET Data'!$AC21&lt;&gt;"(Null)")))</f>
        <v>0</v>
      </c>
      <c r="L21" s="20" t="b">
        <f>AND(((VGS_DR)&gt;=3),((VGS_DR)&lt;4.5),OR(('NFET Data'!$AE21&lt;&gt;"(Null)"),('NFET Data'!$AD21&lt;&gt;"(Null)"),('NFET Data'!$AC21&lt;&gt;"(Null)")))</f>
        <v>0</v>
      </c>
      <c r="M21" s="20" t="b">
        <f>AND(((VGS_DR)&gt;=4.5),((VGS_DR)&lt;6),OR(('NFET Data'!$AF21&lt;&gt;"(Null)"),('NFET Data'!$AE21&lt;&gt;"(Null)"),('NFET Data'!$AD21&lt;&gt;"(Null)"),('NFET Data'!$AC21&lt;&gt;"(Null)")))</f>
        <v>1</v>
      </c>
      <c r="N21" s="20" t="b">
        <f>AND(((VGS_DR)&gt;=6),((VGS_DR)&lt;8),OR(('NFET Data'!$AG21&lt;&gt;"(Null)"),('NFET Data'!$AF21&lt;&gt;"(Null)"),('NFET Data'!$AE21&lt;&gt;"(Null)"),('NFET Data'!$AD21&lt;&gt;"(Null)"),('NFET Data'!$AC21&lt;&gt;"(Null)")))</f>
        <v>0</v>
      </c>
      <c r="O21" s="20" t="b">
        <f>AND(((VGS_DR)&gt;=8),((VGS_DR)&lt;10),OR(('NFET Data'!$AH21&lt;&gt;"(Null)"),('NFET Data'!$AG21&lt;&gt;"(Null)"),('NFET Data'!$AF21&lt;&gt;"(Null)"),('NFET Data'!$AE21&lt;&gt;"(Null)"),('NFET Data'!$AD21&lt;&gt;"(Null)"),('NFET Data'!$AC21&lt;&gt;"(Null)")))</f>
        <v>0</v>
      </c>
      <c r="P21" s="20" t="b">
        <f>AND(((VGS_DR)&gt;=10),OR(('NFET Data'!$AI21&lt;&gt;"(Null)"),('NFET Data'!$AH21&lt;&gt;"(Null)"),('NFET Data'!$AG21&lt;&gt;"(Null)"),('NFET Data'!$AF21&lt;&gt;"(Null)"),('NFET Data'!$AE21&lt;&gt;"(Null)"),('NFET Data'!$AD21&lt;&gt;"(Null)"),('NFET Data'!$AC21&lt;&gt;"(Null)")))</f>
        <v>0</v>
      </c>
      <c r="Q21" s="20" t="b">
        <f t="shared" si="1"/>
        <v>1</v>
      </c>
      <c r="R21" s="20" t="b">
        <f t="shared" si="2"/>
        <v>1</v>
      </c>
      <c r="V21" s="20" t="s">
        <v>520</v>
      </c>
      <c r="W21" s="20" t="s">
        <v>43</v>
      </c>
      <c r="X21" s="20" t="s">
        <v>398</v>
      </c>
      <c r="Y21" s="20" t="s">
        <v>44</v>
      </c>
      <c r="Z21" s="20" t="s">
        <v>380</v>
      </c>
      <c r="AA21" s="20" t="s">
        <v>45</v>
      </c>
      <c r="AB21" s="20" t="s">
        <v>46</v>
      </c>
    </row>
    <row r="22" spans="1:29" x14ac:dyDescent="0.25">
      <c r="A22" s="20" t="str">
        <f>IF(R22,Load_Switch_NFET[[#This Row],[PARTNUMBER]],"")</f>
        <v>CSD16403Q5A</v>
      </c>
      <c r="B22" t="s">
        <v>143</v>
      </c>
      <c r="C22" s="20" t="b">
        <f>AND((Load_Switch_NFET[[#This Row],[VDSMAX]]&gt;=Vi*1.1),(Load_Switch_NFET[[#This Row],[VGSMAX]]&gt;=(VGS_DR)*1.1),(Load_Switch_NFET[[#This Row],[IDSMAX]]&gt;=Io),VGS_DR&gt;=1.8)</f>
        <v>1</v>
      </c>
      <c r="D22" s="20" t="b">
        <f>AND(Vi&lt;=27,Load_Switch_NFET[[#This Row],[VDSMAX]]&lt;=30)</f>
        <v>1</v>
      </c>
      <c r="E22" s="20" t="b">
        <f>AND(Vi&lt;=36,Vi&gt;=20,Load_Switch_NFET[[#This Row],[VDSMAX]]=40)</f>
        <v>0</v>
      </c>
      <c r="F22" s="20" t="b">
        <f>AND(Vi&lt;=54,Vi&gt;=25,Load_Switch_NFET[[#This Row],[VDSMAX]]=60)</f>
        <v>0</v>
      </c>
      <c r="G22" s="20" t="b">
        <f>AND(Vi&lt;=72,Vi&gt;=36,Load_Switch_NFET[[#This Row],[VDSMAX]]=80)</f>
        <v>0</v>
      </c>
      <c r="H22" s="20" t="b">
        <f>AND(Vi&lt;=90,Vi&gt;=48,Load_Switch_NFET[[#This Row],[VDSMAX]]=100)</f>
        <v>0</v>
      </c>
      <c r="I22" s="20" t="b">
        <f t="shared" si="0"/>
        <v>1</v>
      </c>
      <c r="J22" s="20" t="b">
        <f>AND(((VGS_DR)&lt;2.5),('NFET Data'!$AC22&lt;&gt;"(Null)"))</f>
        <v>0</v>
      </c>
      <c r="K22" s="20" t="b">
        <f>AND(((VGS_DR)&gt;=2.5),((VGS_DR)&lt;3),OR(('NFET Data'!$AD22&lt;&gt;"(Null)"),('NFET Data'!$AC22&lt;&gt;"(Null)")))</f>
        <v>0</v>
      </c>
      <c r="L22" s="20" t="b">
        <f>AND(((VGS_DR)&gt;=3),((VGS_DR)&lt;4.5),OR(('NFET Data'!$AE22&lt;&gt;"(Null)"),('NFET Data'!$AD22&lt;&gt;"(Null)"),('NFET Data'!$AC22&lt;&gt;"(Null)")))</f>
        <v>0</v>
      </c>
      <c r="M22" s="20" t="b">
        <f>AND(((VGS_DR)&gt;=4.5),((VGS_DR)&lt;6),OR(('NFET Data'!$AF22&lt;&gt;"(Null)"),('NFET Data'!$AE22&lt;&gt;"(Null)"),('NFET Data'!$AD22&lt;&gt;"(Null)"),('NFET Data'!$AC22&lt;&gt;"(Null)")))</f>
        <v>1</v>
      </c>
      <c r="N22" s="20" t="b">
        <f>AND(((VGS_DR)&gt;=6),((VGS_DR)&lt;8),OR(('NFET Data'!$AG22&lt;&gt;"(Null)"),('NFET Data'!$AF22&lt;&gt;"(Null)"),('NFET Data'!$AE22&lt;&gt;"(Null)"),('NFET Data'!$AD22&lt;&gt;"(Null)"),('NFET Data'!$AC22&lt;&gt;"(Null)")))</f>
        <v>0</v>
      </c>
      <c r="O22" s="20" t="b">
        <f>AND(((VGS_DR)&gt;=8),((VGS_DR)&lt;10),OR(('NFET Data'!$AH22&lt;&gt;"(Null)"),('NFET Data'!$AG22&lt;&gt;"(Null)"),('NFET Data'!$AF22&lt;&gt;"(Null)"),('NFET Data'!$AE22&lt;&gt;"(Null)"),('NFET Data'!$AD22&lt;&gt;"(Null)"),('NFET Data'!$AC22&lt;&gt;"(Null)")))</f>
        <v>0</v>
      </c>
      <c r="P22" s="20" t="b">
        <f>AND(((VGS_DR)&gt;=10),OR(('NFET Data'!$AI22&lt;&gt;"(Null)"),('NFET Data'!$AH22&lt;&gt;"(Null)"),('NFET Data'!$AG22&lt;&gt;"(Null)"),('NFET Data'!$AF22&lt;&gt;"(Null)"),('NFET Data'!$AE22&lt;&gt;"(Null)"),('NFET Data'!$AD22&lt;&gt;"(Null)"),('NFET Data'!$AC22&lt;&gt;"(Null)")))</f>
        <v>0</v>
      </c>
      <c r="Q22" s="20" t="b">
        <f t="shared" si="1"/>
        <v>1</v>
      </c>
      <c r="R22" s="20" t="b">
        <f t="shared" si="2"/>
        <v>1</v>
      </c>
      <c r="V22" s="20" t="s">
        <v>537</v>
      </c>
      <c r="W22" s="20" t="s">
        <v>409</v>
      </c>
      <c r="X22" s="20" t="s">
        <v>410</v>
      </c>
      <c r="Y22" s="20" t="s">
        <v>411</v>
      </c>
      <c r="Z22" s="20" t="s">
        <v>412</v>
      </c>
      <c r="AA22" s="20" t="s">
        <v>413</v>
      </c>
      <c r="AB22" s="20" t="s">
        <v>414</v>
      </c>
      <c r="AC22" s="20" t="s">
        <v>379</v>
      </c>
    </row>
    <row r="23" spans="1:29" x14ac:dyDescent="0.25">
      <c r="A23" s="20" t="str">
        <f>IF(R23,Load_Switch_NFET[[#This Row],[PARTNUMBER]],"")</f>
        <v>CSD16404Q5A</v>
      </c>
      <c r="B23" t="s">
        <v>146</v>
      </c>
      <c r="C23" s="20" t="b">
        <f>AND((Load_Switch_NFET[[#This Row],[VDSMAX]]&gt;=Vi*1.1),(Load_Switch_NFET[[#This Row],[VGSMAX]]&gt;=(VGS_DR)*1.1),(Load_Switch_NFET[[#This Row],[IDSMAX]]&gt;=Io),VGS_DR&gt;=1.8)</f>
        <v>1</v>
      </c>
      <c r="D23" s="20" t="b">
        <f>AND(Vi&lt;=27,Load_Switch_NFET[[#This Row],[VDSMAX]]&lt;=30)</f>
        <v>1</v>
      </c>
      <c r="E23" s="20" t="b">
        <f>AND(Vi&lt;=36,Vi&gt;=20,Load_Switch_NFET[[#This Row],[VDSMAX]]=40)</f>
        <v>0</v>
      </c>
      <c r="F23" s="20" t="b">
        <f>AND(Vi&lt;=54,Vi&gt;=25,Load_Switch_NFET[[#This Row],[VDSMAX]]=60)</f>
        <v>0</v>
      </c>
      <c r="G23" s="20" t="b">
        <f>AND(Vi&lt;=72,Vi&gt;=36,Load_Switch_NFET[[#This Row],[VDSMAX]]=80)</f>
        <v>0</v>
      </c>
      <c r="H23" s="20" t="b">
        <f>AND(Vi&lt;=90,Vi&gt;=48,Load_Switch_NFET[[#This Row],[VDSMAX]]=100)</f>
        <v>0</v>
      </c>
      <c r="I23" s="20" t="b">
        <f t="shared" si="0"/>
        <v>1</v>
      </c>
      <c r="J23" s="20" t="b">
        <f>AND(((VGS_DR)&lt;2.5),('NFET Data'!$AC23&lt;&gt;"(Null)"))</f>
        <v>0</v>
      </c>
      <c r="K23" s="20" t="b">
        <f>AND(((VGS_DR)&gt;=2.5),((VGS_DR)&lt;3),OR(('NFET Data'!$AD23&lt;&gt;"(Null)"),('NFET Data'!$AC23&lt;&gt;"(Null)")))</f>
        <v>0</v>
      </c>
      <c r="L23" s="20" t="b">
        <f>AND(((VGS_DR)&gt;=3),((VGS_DR)&lt;4.5),OR(('NFET Data'!$AE23&lt;&gt;"(Null)"),('NFET Data'!$AD23&lt;&gt;"(Null)"),('NFET Data'!$AC23&lt;&gt;"(Null)")))</f>
        <v>0</v>
      </c>
      <c r="M23" s="20" t="b">
        <f>AND(((VGS_DR)&gt;=4.5),((VGS_DR)&lt;6),OR(('NFET Data'!$AF23&lt;&gt;"(Null)"),('NFET Data'!$AE23&lt;&gt;"(Null)"),('NFET Data'!$AD23&lt;&gt;"(Null)"),('NFET Data'!$AC23&lt;&gt;"(Null)")))</f>
        <v>1</v>
      </c>
      <c r="N23" s="20" t="b">
        <f>AND(((VGS_DR)&gt;=6),((VGS_DR)&lt;8),OR(('NFET Data'!$AG23&lt;&gt;"(Null)"),('NFET Data'!$AF23&lt;&gt;"(Null)"),('NFET Data'!$AE23&lt;&gt;"(Null)"),('NFET Data'!$AD23&lt;&gt;"(Null)"),('NFET Data'!$AC23&lt;&gt;"(Null)")))</f>
        <v>0</v>
      </c>
      <c r="O23" s="20" t="b">
        <f>AND(((VGS_DR)&gt;=8),((VGS_DR)&lt;10),OR(('NFET Data'!$AH23&lt;&gt;"(Null)"),('NFET Data'!$AG23&lt;&gt;"(Null)"),('NFET Data'!$AF23&lt;&gt;"(Null)"),('NFET Data'!$AE23&lt;&gt;"(Null)"),('NFET Data'!$AD23&lt;&gt;"(Null)"),('NFET Data'!$AC23&lt;&gt;"(Null)")))</f>
        <v>0</v>
      </c>
      <c r="P23" s="20" t="b">
        <f>AND(((VGS_DR)&gt;=10),OR(('NFET Data'!$AI23&lt;&gt;"(Null)"),('NFET Data'!$AH23&lt;&gt;"(Null)"),('NFET Data'!$AG23&lt;&gt;"(Null)"),('NFET Data'!$AF23&lt;&gt;"(Null)"),('NFET Data'!$AE23&lt;&gt;"(Null)"),('NFET Data'!$AD23&lt;&gt;"(Null)"),('NFET Data'!$AC23&lt;&gt;"(Null)")))</f>
        <v>0</v>
      </c>
      <c r="Q23" s="20" t="b">
        <f t="shared" si="1"/>
        <v>1</v>
      </c>
      <c r="R23" s="20" t="b">
        <f t="shared" si="2"/>
        <v>1</v>
      </c>
      <c r="V23" s="20" t="b">
        <f>((VGS_DR)&gt;=1.8)</f>
        <v>1</v>
      </c>
      <c r="W23" s="20" t="b">
        <f>((VGS_DR)&gt;=2.2)</f>
        <v>1</v>
      </c>
      <c r="X23" s="20" t="b">
        <f>((VGS_DR)&gt;=2.7)</f>
        <v>1</v>
      </c>
      <c r="Y23" s="20" t="b">
        <f>((VGS_DR)&gt;=4)</f>
        <v>1</v>
      </c>
      <c r="Z23" s="20" t="b">
        <f>((VGS_DR)&gt;=5.5)</f>
        <v>0</v>
      </c>
      <c r="AA23" s="20" t="b">
        <f>((VGS_DR)&gt;=7)</f>
        <v>0</v>
      </c>
      <c r="AB23" s="20" t="b">
        <f>((VGS_DR)&gt;=8.5)</f>
        <v>0</v>
      </c>
      <c r="AC23" s="20" t="e">
        <f>IF(AB26,LOOKUP(Part_Number3,Load_Switch_NFET[PARTNUMBER],Load_Switch_NFET[RDSON10])*1000,IF(AA26,LOOKUP(Part_Number3,Load_Switch_NFET[PARTNUMBER],Load_Switch_NFET[RDSON8])*1000,IF(Z26,LOOKUP(Part_Number3,Load_Switch_NFET[PARTNUMBER],Load_Switch_NFET[RDSON6])*1000,IF(Y26,LOOKUP(Part_Number3,Load_Switch_NFET[PARTNUMBER],Load_Switch_NFET[RDSON45])*1000,IF(X26,LOOKUP(Part_Number3,Load_Switch_NFET[PARTNUMBER],Load_Switch_NFET[RDSON3])*1000,IF(W26,LOOKUP(Part_Number3,Load_Switch_NFET[PARTNUMBER],Load_Switch_NFET[RDSON25])*1000,IF(V26,LOOKUP(Part_Number3,Load_Switch_NFET[PARTNUMBER],Load_Switch_NFET[RDSON18])*1000,"")))))))</f>
        <v>#N/A</v>
      </c>
    </row>
    <row r="24" spans="1:29" x14ac:dyDescent="0.25">
      <c r="A24" s="20" t="str">
        <f>IF(R24,Load_Switch_NFET[[#This Row],[PARTNUMBER]],"")</f>
        <v>CSD16406Q3</v>
      </c>
      <c r="B24" t="s">
        <v>148</v>
      </c>
      <c r="C24" s="20" t="b">
        <f>AND((Load_Switch_NFET[[#This Row],[VDSMAX]]&gt;=Vi*1.1),(Load_Switch_NFET[[#This Row],[VGSMAX]]&gt;=(VGS_DR)*1.1),(Load_Switch_NFET[[#This Row],[IDSMAX]]&gt;=Io),VGS_DR&gt;=1.8)</f>
        <v>1</v>
      </c>
      <c r="D24" s="20" t="b">
        <f>AND(Vi&lt;=27,Load_Switch_NFET[[#This Row],[VDSMAX]]&lt;=30)</f>
        <v>1</v>
      </c>
      <c r="E24" s="20" t="b">
        <f>AND(Vi&lt;=36,Vi&gt;=20,Load_Switch_NFET[[#This Row],[VDSMAX]]=40)</f>
        <v>0</v>
      </c>
      <c r="F24" s="20" t="b">
        <f>AND(Vi&lt;=54,Vi&gt;=25,Load_Switch_NFET[[#This Row],[VDSMAX]]=60)</f>
        <v>0</v>
      </c>
      <c r="G24" s="20" t="b">
        <f>AND(Vi&lt;=72,Vi&gt;=36,Load_Switch_NFET[[#This Row],[VDSMAX]]=80)</f>
        <v>0</v>
      </c>
      <c r="H24" s="20" t="b">
        <f>AND(Vi&lt;=90,Vi&gt;=48,Load_Switch_NFET[[#This Row],[VDSMAX]]=100)</f>
        <v>0</v>
      </c>
      <c r="I24" s="20" t="b">
        <f t="shared" si="0"/>
        <v>1</v>
      </c>
      <c r="J24" s="20" t="b">
        <f>AND(((VGS_DR)&lt;2.5),('NFET Data'!$AC24&lt;&gt;"(Null)"))</f>
        <v>0</v>
      </c>
      <c r="K24" s="20" t="b">
        <f>AND(((VGS_DR)&gt;=2.5),((VGS_DR)&lt;3),OR(('NFET Data'!$AD24&lt;&gt;"(Null)"),('NFET Data'!$AC24&lt;&gt;"(Null)")))</f>
        <v>0</v>
      </c>
      <c r="L24" s="20" t="b">
        <f>AND(((VGS_DR)&gt;=3),((VGS_DR)&lt;4.5),OR(('NFET Data'!$AE24&lt;&gt;"(Null)"),('NFET Data'!$AD24&lt;&gt;"(Null)"),('NFET Data'!$AC24&lt;&gt;"(Null)")))</f>
        <v>0</v>
      </c>
      <c r="M24" s="20" t="b">
        <f>AND(((VGS_DR)&gt;=4.5),((VGS_DR)&lt;6),OR(('NFET Data'!$AF24&lt;&gt;"(Null)"),('NFET Data'!$AE24&lt;&gt;"(Null)"),('NFET Data'!$AD24&lt;&gt;"(Null)"),('NFET Data'!$AC24&lt;&gt;"(Null)")))</f>
        <v>1</v>
      </c>
      <c r="N24" s="20" t="b">
        <f>AND(((VGS_DR)&gt;=6),((VGS_DR)&lt;8),OR(('NFET Data'!$AG24&lt;&gt;"(Null)"),('NFET Data'!$AF24&lt;&gt;"(Null)"),('NFET Data'!$AE24&lt;&gt;"(Null)"),('NFET Data'!$AD24&lt;&gt;"(Null)"),('NFET Data'!$AC24&lt;&gt;"(Null)")))</f>
        <v>0</v>
      </c>
      <c r="O24" s="20" t="b">
        <f>AND(((VGS_DR)&gt;=8),((VGS_DR)&lt;10),OR(('NFET Data'!$AH24&lt;&gt;"(Null)"),('NFET Data'!$AG24&lt;&gt;"(Null)"),('NFET Data'!$AF24&lt;&gt;"(Null)"),('NFET Data'!$AE24&lt;&gt;"(Null)"),('NFET Data'!$AD24&lt;&gt;"(Null)"),('NFET Data'!$AC24&lt;&gt;"(Null)")))</f>
        <v>0</v>
      </c>
      <c r="P24" s="20" t="b">
        <f>AND(((VGS_DR)&gt;=10),OR(('NFET Data'!$AI24&lt;&gt;"(Null)"),('NFET Data'!$AH24&lt;&gt;"(Null)"),('NFET Data'!$AG24&lt;&gt;"(Null)"),('NFET Data'!$AF24&lt;&gt;"(Null)"),('NFET Data'!$AE24&lt;&gt;"(Null)"),('NFET Data'!$AD24&lt;&gt;"(Null)"),('NFET Data'!$AC24&lt;&gt;"(Null)")))</f>
        <v>0</v>
      </c>
      <c r="Q24" s="20" t="b">
        <f t="shared" si="1"/>
        <v>1</v>
      </c>
      <c r="R24" s="20" t="b">
        <f t="shared" si="2"/>
        <v>1</v>
      </c>
      <c r="V24" s="20" t="e">
        <f>IF(LOOKUP(Part_Number3,Load_Switch_NFET[PARTNUMBER],Load_Switch_NFET[RDSON18])="(NULL)","0","1")</f>
        <v>#N/A</v>
      </c>
      <c r="W24" s="20" t="e">
        <f>IF(LOOKUP(Part_Number3,Load_Switch_NFET[PARTNUMBER],Load_Switch_NFET[RDSON25])="(NULL)","0","1")</f>
        <v>#N/A</v>
      </c>
      <c r="X24" s="20" t="e">
        <f>IF(LOOKUP(Part_Number3,Load_Switch_NFET[PARTNUMBER],Load_Switch_NFET[RDSON3])="(NULL)","0","1")</f>
        <v>#N/A</v>
      </c>
      <c r="Y24" s="20" t="e">
        <f>IF(LOOKUP(Part_Number3,Load_Switch_NFET[PARTNUMBER],Load_Switch_NFET[RDSON45])="(NULL)","0","1")</f>
        <v>#N/A</v>
      </c>
      <c r="Z24" s="20" t="e">
        <f>IF(LOOKUP(Part_Number3,Load_Switch_NFET[PARTNUMBER],Load_Switch_NFET[RDSON6])="(NULL)","0","1")</f>
        <v>#N/A</v>
      </c>
      <c r="AA24" s="20" t="e">
        <f>IF(LOOKUP(Part_Number3,Load_Switch_NFET[PARTNUMBER],Load_Switch_NFET[RDSON8])="(NULL)","0","1")</f>
        <v>#N/A</v>
      </c>
      <c r="AB24" s="20" t="e">
        <f>IF(LOOKUP(Part_Number3,Load_Switch_NFET[PARTNUMBER],Load_Switch_NFET[RDSON10])="(NULL)","0","1")</f>
        <v>#N/A</v>
      </c>
    </row>
    <row r="25" spans="1:29" x14ac:dyDescent="0.25">
      <c r="A25" s="20" t="str">
        <f>IF(R25,Load_Switch_NFET[[#This Row],[PARTNUMBER]],"")</f>
        <v>CSD16407Q5</v>
      </c>
      <c r="B25" t="s">
        <v>150</v>
      </c>
      <c r="C25" s="20" t="b">
        <f>AND((Load_Switch_NFET[[#This Row],[VDSMAX]]&gt;=Vi*1.1),(Load_Switch_NFET[[#This Row],[VGSMAX]]&gt;=(VGS_DR)*1.1),(Load_Switch_NFET[[#This Row],[IDSMAX]]&gt;=Io),VGS_DR&gt;=1.8)</f>
        <v>1</v>
      </c>
      <c r="D25" s="20" t="b">
        <f>AND(Vi&lt;=27,Load_Switch_NFET[[#This Row],[VDSMAX]]&lt;=30)</f>
        <v>1</v>
      </c>
      <c r="E25" s="20" t="b">
        <f>AND(Vi&lt;=36,Vi&gt;=20,Load_Switch_NFET[[#This Row],[VDSMAX]]=40)</f>
        <v>0</v>
      </c>
      <c r="F25" s="20" t="b">
        <f>AND(Vi&lt;=54,Vi&gt;=25,Load_Switch_NFET[[#This Row],[VDSMAX]]=60)</f>
        <v>0</v>
      </c>
      <c r="G25" s="20" t="b">
        <f>AND(Vi&lt;=72,Vi&gt;=36,Load_Switch_NFET[[#This Row],[VDSMAX]]=80)</f>
        <v>0</v>
      </c>
      <c r="H25" s="20" t="b">
        <f>AND(Vi&lt;=90,Vi&gt;=48,Load_Switch_NFET[[#This Row],[VDSMAX]]=100)</f>
        <v>0</v>
      </c>
      <c r="I25" s="20" t="b">
        <f t="shared" si="0"/>
        <v>1</v>
      </c>
      <c r="J25" s="20" t="b">
        <f>AND(((VGS_DR)&lt;2.5),('NFET Data'!$AC25&lt;&gt;"(Null)"))</f>
        <v>0</v>
      </c>
      <c r="K25" s="20" t="b">
        <f>AND(((VGS_DR)&gt;=2.5),((VGS_DR)&lt;3),OR(('NFET Data'!$AD25&lt;&gt;"(Null)"),('NFET Data'!$AC25&lt;&gt;"(Null)")))</f>
        <v>0</v>
      </c>
      <c r="L25" s="20" t="b">
        <f>AND(((VGS_DR)&gt;=3),((VGS_DR)&lt;4.5),OR(('NFET Data'!$AE25&lt;&gt;"(Null)"),('NFET Data'!$AD25&lt;&gt;"(Null)"),('NFET Data'!$AC25&lt;&gt;"(Null)")))</f>
        <v>0</v>
      </c>
      <c r="M25" s="20" t="b">
        <f>AND(((VGS_DR)&gt;=4.5),((VGS_DR)&lt;6),OR(('NFET Data'!$AF25&lt;&gt;"(Null)"),('NFET Data'!$AE25&lt;&gt;"(Null)"),('NFET Data'!$AD25&lt;&gt;"(Null)"),('NFET Data'!$AC25&lt;&gt;"(Null)")))</f>
        <v>1</v>
      </c>
      <c r="N25" s="20" t="b">
        <f>AND(((VGS_DR)&gt;=6),((VGS_DR)&lt;8),OR(('NFET Data'!$AG25&lt;&gt;"(Null)"),('NFET Data'!$AF25&lt;&gt;"(Null)"),('NFET Data'!$AE25&lt;&gt;"(Null)"),('NFET Data'!$AD25&lt;&gt;"(Null)"),('NFET Data'!$AC25&lt;&gt;"(Null)")))</f>
        <v>0</v>
      </c>
      <c r="O25" s="20" t="b">
        <f>AND(((VGS_DR)&gt;=8),((VGS_DR)&lt;10),OR(('NFET Data'!$AH25&lt;&gt;"(Null)"),('NFET Data'!$AG25&lt;&gt;"(Null)"),('NFET Data'!$AF25&lt;&gt;"(Null)"),('NFET Data'!$AE25&lt;&gt;"(Null)"),('NFET Data'!$AD25&lt;&gt;"(Null)"),('NFET Data'!$AC25&lt;&gt;"(Null)")))</f>
        <v>0</v>
      </c>
      <c r="P25" s="20" t="b">
        <f>AND(((VGS_DR)&gt;=10),OR(('NFET Data'!$AI25&lt;&gt;"(Null)"),('NFET Data'!$AH25&lt;&gt;"(Null)"),('NFET Data'!$AG25&lt;&gt;"(Null)"),('NFET Data'!$AF25&lt;&gt;"(Null)"),('NFET Data'!$AE25&lt;&gt;"(Null)"),('NFET Data'!$AD25&lt;&gt;"(Null)"),('NFET Data'!$AC25&lt;&gt;"(Null)")))</f>
        <v>0</v>
      </c>
      <c r="Q25" s="20" t="b">
        <f t="shared" si="1"/>
        <v>1</v>
      </c>
      <c r="R25" s="20" t="b">
        <f t="shared" si="2"/>
        <v>1</v>
      </c>
      <c r="V25" s="20" t="e">
        <f>AND(V23,V24="1")</f>
        <v>#N/A</v>
      </c>
      <c r="W25" s="20" t="e">
        <f>AND(W23,W24="1")</f>
        <v>#N/A</v>
      </c>
      <c r="X25" s="20" t="e">
        <f>AND(X23,X24="1")</f>
        <v>#N/A</v>
      </c>
      <c r="Y25" s="20" t="e">
        <f t="shared" ref="Y25:AB25" si="7">AND(Y23,Y24="1")</f>
        <v>#N/A</v>
      </c>
      <c r="Z25" s="20" t="e">
        <f t="shared" si="7"/>
        <v>#N/A</v>
      </c>
      <c r="AA25" s="20" t="e">
        <f t="shared" si="7"/>
        <v>#N/A</v>
      </c>
      <c r="AB25" s="20" t="e">
        <f t="shared" si="7"/>
        <v>#N/A</v>
      </c>
    </row>
    <row r="26" spans="1:29" x14ac:dyDescent="0.25">
      <c r="A26" s="20" t="str">
        <f>IF(R26,Load_Switch_NFET[[#This Row],[PARTNUMBER]],"")</f>
        <v>CSD16408Q5</v>
      </c>
      <c r="B26" t="s">
        <v>153</v>
      </c>
      <c r="C26" s="20" t="b">
        <f>AND((Load_Switch_NFET[[#This Row],[VDSMAX]]&gt;=Vi*1.1),(Load_Switch_NFET[[#This Row],[VGSMAX]]&gt;=(VGS_DR)*1.1),(Load_Switch_NFET[[#This Row],[IDSMAX]]&gt;=Io),VGS_DR&gt;=1.8)</f>
        <v>1</v>
      </c>
      <c r="D26" s="20" t="b">
        <f>AND(Vi&lt;=27,Load_Switch_NFET[[#This Row],[VDSMAX]]&lt;=30)</f>
        <v>1</v>
      </c>
      <c r="E26" s="20" t="b">
        <f>AND(Vi&lt;=36,Vi&gt;=20,Load_Switch_NFET[[#This Row],[VDSMAX]]=40)</f>
        <v>0</v>
      </c>
      <c r="F26" s="20" t="b">
        <f>AND(Vi&lt;=54,Vi&gt;=25,Load_Switch_NFET[[#This Row],[VDSMAX]]=60)</f>
        <v>0</v>
      </c>
      <c r="G26" s="20" t="b">
        <f>AND(Vi&lt;=72,Vi&gt;=36,Load_Switch_NFET[[#This Row],[VDSMAX]]=80)</f>
        <v>0</v>
      </c>
      <c r="H26" s="20" t="b">
        <f>AND(Vi&lt;=90,Vi&gt;=48,Load_Switch_NFET[[#This Row],[VDSMAX]]=100)</f>
        <v>0</v>
      </c>
      <c r="I26" s="20" t="b">
        <f t="shared" si="0"/>
        <v>1</v>
      </c>
      <c r="J26" s="20" t="b">
        <f>AND(((VGS_DR)&lt;2.5),('NFET Data'!$AC26&lt;&gt;"(Null)"))</f>
        <v>0</v>
      </c>
      <c r="K26" s="20" t="b">
        <f>AND(((VGS_DR)&gt;=2.5),((VGS_DR)&lt;3),OR(('NFET Data'!$AD26&lt;&gt;"(Null)"),('NFET Data'!$AC26&lt;&gt;"(Null)")))</f>
        <v>0</v>
      </c>
      <c r="L26" s="20" t="b">
        <f>AND(((VGS_DR)&gt;=3),((VGS_DR)&lt;4.5),OR(('NFET Data'!$AE26&lt;&gt;"(Null)"),('NFET Data'!$AD26&lt;&gt;"(Null)"),('NFET Data'!$AC26&lt;&gt;"(Null)")))</f>
        <v>0</v>
      </c>
      <c r="M26" s="20" t="b">
        <f>AND(((VGS_DR)&gt;=4.5),((VGS_DR)&lt;6),OR(('NFET Data'!$AF26&lt;&gt;"(Null)"),('NFET Data'!$AE26&lt;&gt;"(Null)"),('NFET Data'!$AD26&lt;&gt;"(Null)"),('NFET Data'!$AC26&lt;&gt;"(Null)")))</f>
        <v>1</v>
      </c>
      <c r="N26" s="20" t="b">
        <f>AND(((VGS_DR)&gt;=6),((VGS_DR)&lt;8),OR(('NFET Data'!$AG26&lt;&gt;"(Null)"),('NFET Data'!$AF26&lt;&gt;"(Null)"),('NFET Data'!$AE26&lt;&gt;"(Null)"),('NFET Data'!$AD26&lt;&gt;"(Null)"),('NFET Data'!$AC26&lt;&gt;"(Null)")))</f>
        <v>0</v>
      </c>
      <c r="O26" s="20" t="b">
        <f>AND(((VGS_DR)&gt;=8),((VGS_DR)&lt;10),OR(('NFET Data'!$AH26&lt;&gt;"(Null)"),('NFET Data'!$AG26&lt;&gt;"(Null)"),('NFET Data'!$AF26&lt;&gt;"(Null)"),('NFET Data'!$AE26&lt;&gt;"(Null)"),('NFET Data'!$AD26&lt;&gt;"(Null)"),('NFET Data'!$AC26&lt;&gt;"(Null)")))</f>
        <v>0</v>
      </c>
      <c r="P26" s="20" t="b">
        <f>AND(((VGS_DR)&gt;=10),OR(('NFET Data'!$AI26&lt;&gt;"(Null)"),('NFET Data'!$AH26&lt;&gt;"(Null)"),('NFET Data'!$AG26&lt;&gt;"(Null)"),('NFET Data'!$AF26&lt;&gt;"(Null)"),('NFET Data'!$AE26&lt;&gt;"(Null)"),('NFET Data'!$AD26&lt;&gt;"(Null)"),('NFET Data'!$AC26&lt;&gt;"(Null)")))</f>
        <v>0</v>
      </c>
      <c r="Q26" s="20" t="b">
        <f t="shared" si="1"/>
        <v>1</v>
      </c>
      <c r="R26" s="20" t="b">
        <f t="shared" si="2"/>
        <v>1</v>
      </c>
      <c r="U26" s="20" t="e">
        <f>OR(V25:AB25)</f>
        <v>#N/A</v>
      </c>
      <c r="V26" s="20" t="e">
        <f>AND($U$7,V23,V24="1")</f>
        <v>#N/A</v>
      </c>
      <c r="W26" s="20" t="e">
        <f t="shared" ref="W26:AB26" si="8">AND($U$7,W23,W24="1")</f>
        <v>#N/A</v>
      </c>
      <c r="X26" s="20" t="e">
        <f t="shared" si="8"/>
        <v>#N/A</v>
      </c>
      <c r="Y26" s="20" t="e">
        <f t="shared" si="8"/>
        <v>#N/A</v>
      </c>
      <c r="Z26" s="20" t="e">
        <f t="shared" si="8"/>
        <v>#N/A</v>
      </c>
      <c r="AA26" s="20" t="e">
        <f t="shared" si="8"/>
        <v>#N/A</v>
      </c>
      <c r="AB26" s="20" t="e">
        <f t="shared" si="8"/>
        <v>#N/A</v>
      </c>
    </row>
    <row r="27" spans="1:29" x14ac:dyDescent="0.25">
      <c r="A27" s="20" t="str">
        <f>IF(R27,Load_Switch_NFET[[#This Row],[PARTNUMBER]],"")</f>
        <v>CSD16409Q3</v>
      </c>
      <c r="B27" t="s">
        <v>156</v>
      </c>
      <c r="C27" s="20" t="b">
        <f>AND((Load_Switch_NFET[[#This Row],[VDSMAX]]&gt;=Vi*1.1),(Load_Switch_NFET[[#This Row],[VGSMAX]]&gt;=(VGS_DR)*1.1),(Load_Switch_NFET[[#This Row],[IDSMAX]]&gt;=Io),VGS_DR&gt;=1.8)</f>
        <v>1</v>
      </c>
      <c r="D27" s="20" t="b">
        <f>AND(Vi&lt;=27,Load_Switch_NFET[[#This Row],[VDSMAX]]&lt;=30)</f>
        <v>1</v>
      </c>
      <c r="E27" s="20" t="b">
        <f>AND(Vi&lt;=36,Vi&gt;=20,Load_Switch_NFET[[#This Row],[VDSMAX]]=40)</f>
        <v>0</v>
      </c>
      <c r="F27" s="20" t="b">
        <f>AND(Vi&lt;=54,Vi&gt;=25,Load_Switch_NFET[[#This Row],[VDSMAX]]=60)</f>
        <v>0</v>
      </c>
      <c r="G27" s="20" t="b">
        <f>AND(Vi&lt;=72,Vi&gt;=36,Load_Switch_NFET[[#This Row],[VDSMAX]]=80)</f>
        <v>0</v>
      </c>
      <c r="H27" s="20" t="b">
        <f>AND(Vi&lt;=90,Vi&gt;=48,Load_Switch_NFET[[#This Row],[VDSMAX]]=100)</f>
        <v>0</v>
      </c>
      <c r="I27" s="20" t="b">
        <f t="shared" si="0"/>
        <v>1</v>
      </c>
      <c r="J27" s="20" t="b">
        <f>AND(((VGS_DR)&lt;2.5),('NFET Data'!$AC27&lt;&gt;"(Null)"))</f>
        <v>0</v>
      </c>
      <c r="K27" s="20" t="b">
        <f>AND(((VGS_DR)&gt;=2.5),((VGS_DR)&lt;3),OR(('NFET Data'!$AD27&lt;&gt;"(Null)"),('NFET Data'!$AC27&lt;&gt;"(Null)")))</f>
        <v>0</v>
      </c>
      <c r="L27" s="20" t="b">
        <f>AND(((VGS_DR)&gt;=3),((VGS_DR)&lt;4.5),OR(('NFET Data'!$AE27&lt;&gt;"(Null)"),('NFET Data'!$AD27&lt;&gt;"(Null)"),('NFET Data'!$AC27&lt;&gt;"(Null)")))</f>
        <v>0</v>
      </c>
      <c r="M27" s="20" t="b">
        <f>AND(((VGS_DR)&gt;=4.5),((VGS_DR)&lt;6),OR(('NFET Data'!$AF27&lt;&gt;"(Null)"),('NFET Data'!$AE27&lt;&gt;"(Null)"),('NFET Data'!$AD27&lt;&gt;"(Null)"),('NFET Data'!$AC27&lt;&gt;"(Null)")))</f>
        <v>1</v>
      </c>
      <c r="N27" s="20" t="b">
        <f>AND(((VGS_DR)&gt;=6),((VGS_DR)&lt;8),OR(('NFET Data'!$AG27&lt;&gt;"(Null)"),('NFET Data'!$AF27&lt;&gt;"(Null)"),('NFET Data'!$AE27&lt;&gt;"(Null)"),('NFET Data'!$AD27&lt;&gt;"(Null)"),('NFET Data'!$AC27&lt;&gt;"(Null)")))</f>
        <v>0</v>
      </c>
      <c r="O27" s="20" t="b">
        <f>AND(((VGS_DR)&gt;=8),((VGS_DR)&lt;10),OR(('NFET Data'!$AH27&lt;&gt;"(Null)"),('NFET Data'!$AG27&lt;&gt;"(Null)"),('NFET Data'!$AF27&lt;&gt;"(Null)"),('NFET Data'!$AE27&lt;&gt;"(Null)"),('NFET Data'!$AD27&lt;&gt;"(Null)"),('NFET Data'!$AC27&lt;&gt;"(Null)")))</f>
        <v>0</v>
      </c>
      <c r="P27" s="20" t="b">
        <f>AND(((VGS_DR)&gt;=10),OR(('NFET Data'!$AI27&lt;&gt;"(Null)"),('NFET Data'!$AH27&lt;&gt;"(Null)"),('NFET Data'!$AG27&lt;&gt;"(Null)"),('NFET Data'!$AF27&lt;&gt;"(Null)"),('NFET Data'!$AE27&lt;&gt;"(Null)"),('NFET Data'!$AD27&lt;&gt;"(Null)"),('NFET Data'!$AC27&lt;&gt;"(Null)")))</f>
        <v>0</v>
      </c>
      <c r="Q27" s="20" t="b">
        <f t="shared" si="1"/>
        <v>1</v>
      </c>
      <c r="R27" s="20" t="b">
        <f t="shared" si="2"/>
        <v>1</v>
      </c>
    </row>
    <row r="28" spans="1:29" x14ac:dyDescent="0.25">
      <c r="A28" s="20" t="str">
        <f>IF(R28,Load_Switch_NFET[[#This Row],[PARTNUMBER]],"")</f>
        <v>CSD16410Q5A</v>
      </c>
      <c r="B28" t="s">
        <v>159</v>
      </c>
      <c r="C28" s="20" t="b">
        <f>AND((Load_Switch_NFET[[#This Row],[VDSMAX]]&gt;=Vi*1.1),(Load_Switch_NFET[[#This Row],[VGSMAX]]&gt;=(VGS_DR)*1.1),(Load_Switch_NFET[[#This Row],[IDSMAX]]&gt;=Io),VGS_DR&gt;=1.8)</f>
        <v>1</v>
      </c>
      <c r="D28" s="20" t="b">
        <f>AND(Vi&lt;=27,Load_Switch_NFET[[#This Row],[VDSMAX]]&lt;=30)</f>
        <v>1</v>
      </c>
      <c r="E28" s="20" t="b">
        <f>AND(Vi&lt;=36,Vi&gt;=20,Load_Switch_NFET[[#This Row],[VDSMAX]]=40)</f>
        <v>0</v>
      </c>
      <c r="F28" s="20" t="b">
        <f>AND(Vi&lt;=54,Vi&gt;=25,Load_Switch_NFET[[#This Row],[VDSMAX]]=60)</f>
        <v>0</v>
      </c>
      <c r="G28" s="20" t="b">
        <f>AND(Vi&lt;=72,Vi&gt;=36,Load_Switch_NFET[[#This Row],[VDSMAX]]=80)</f>
        <v>0</v>
      </c>
      <c r="H28" s="20" t="b">
        <f>AND(Vi&lt;=90,Vi&gt;=48,Load_Switch_NFET[[#This Row],[VDSMAX]]=100)</f>
        <v>0</v>
      </c>
      <c r="I28" s="20" t="b">
        <f t="shared" si="0"/>
        <v>1</v>
      </c>
      <c r="J28" s="20" t="b">
        <f>AND(((VGS_DR)&lt;2.5),('NFET Data'!$AC28&lt;&gt;"(Null)"))</f>
        <v>0</v>
      </c>
      <c r="K28" s="20" t="b">
        <f>AND(((VGS_DR)&gt;=2.5),((VGS_DR)&lt;3),OR(('NFET Data'!$AD28&lt;&gt;"(Null)"),('NFET Data'!$AC28&lt;&gt;"(Null)")))</f>
        <v>0</v>
      </c>
      <c r="L28" s="20" t="b">
        <f>AND(((VGS_DR)&gt;=3),((VGS_DR)&lt;4.5),OR(('NFET Data'!$AE28&lt;&gt;"(Null)"),('NFET Data'!$AD28&lt;&gt;"(Null)"),('NFET Data'!$AC28&lt;&gt;"(Null)")))</f>
        <v>0</v>
      </c>
      <c r="M28" s="20" t="b">
        <f>AND(((VGS_DR)&gt;=4.5),((VGS_DR)&lt;6),OR(('NFET Data'!$AF28&lt;&gt;"(Null)"),('NFET Data'!$AE28&lt;&gt;"(Null)"),('NFET Data'!$AD28&lt;&gt;"(Null)"),('NFET Data'!$AC28&lt;&gt;"(Null)")))</f>
        <v>1</v>
      </c>
      <c r="N28" s="20" t="b">
        <f>AND(((VGS_DR)&gt;=6),((VGS_DR)&lt;8),OR(('NFET Data'!$AG28&lt;&gt;"(Null)"),('NFET Data'!$AF28&lt;&gt;"(Null)"),('NFET Data'!$AE28&lt;&gt;"(Null)"),('NFET Data'!$AD28&lt;&gt;"(Null)"),('NFET Data'!$AC28&lt;&gt;"(Null)")))</f>
        <v>0</v>
      </c>
      <c r="O28" s="20" t="b">
        <f>AND(((VGS_DR)&gt;=8),((VGS_DR)&lt;10),OR(('NFET Data'!$AH28&lt;&gt;"(Null)"),('NFET Data'!$AG28&lt;&gt;"(Null)"),('NFET Data'!$AF28&lt;&gt;"(Null)"),('NFET Data'!$AE28&lt;&gt;"(Null)"),('NFET Data'!$AD28&lt;&gt;"(Null)"),('NFET Data'!$AC28&lt;&gt;"(Null)")))</f>
        <v>0</v>
      </c>
      <c r="P28" s="20" t="b">
        <f>AND(((VGS_DR)&gt;=10),OR(('NFET Data'!$AI28&lt;&gt;"(Null)"),('NFET Data'!$AH28&lt;&gt;"(Null)"),('NFET Data'!$AG28&lt;&gt;"(Null)"),('NFET Data'!$AF28&lt;&gt;"(Null)"),('NFET Data'!$AE28&lt;&gt;"(Null)"),('NFET Data'!$AD28&lt;&gt;"(Null)"),('NFET Data'!$AC28&lt;&gt;"(Null)")))</f>
        <v>0</v>
      </c>
      <c r="Q28" s="20" t="b">
        <f t="shared" si="1"/>
        <v>1</v>
      </c>
      <c r="R28" s="20" t="b">
        <f t="shared" si="2"/>
        <v>1</v>
      </c>
    </row>
    <row r="29" spans="1:29" x14ac:dyDescent="0.25">
      <c r="A29" s="20" t="str">
        <f>IF(R29,Load_Switch_NFET[[#This Row],[PARTNUMBER]],"")</f>
        <v>CSD16411Q3</v>
      </c>
      <c r="B29" t="s">
        <v>161</v>
      </c>
      <c r="C29" s="20" t="b">
        <f>AND((Load_Switch_NFET[[#This Row],[VDSMAX]]&gt;=Vi*1.1),(Load_Switch_NFET[[#This Row],[VGSMAX]]&gt;=(VGS_DR)*1.1),(Load_Switch_NFET[[#This Row],[IDSMAX]]&gt;=Io),VGS_DR&gt;=1.8)</f>
        <v>1</v>
      </c>
      <c r="D29" s="20" t="b">
        <f>AND(Vi&lt;=27,Load_Switch_NFET[[#This Row],[VDSMAX]]&lt;=30)</f>
        <v>1</v>
      </c>
      <c r="E29" s="20" t="b">
        <f>AND(Vi&lt;=36,Vi&gt;=20,Load_Switch_NFET[[#This Row],[VDSMAX]]=40)</f>
        <v>0</v>
      </c>
      <c r="F29" s="20" t="b">
        <f>AND(Vi&lt;=54,Vi&gt;=25,Load_Switch_NFET[[#This Row],[VDSMAX]]=60)</f>
        <v>0</v>
      </c>
      <c r="G29" s="20" t="b">
        <f>AND(Vi&lt;=72,Vi&gt;=36,Load_Switch_NFET[[#This Row],[VDSMAX]]=80)</f>
        <v>0</v>
      </c>
      <c r="H29" s="20" t="b">
        <f>AND(Vi&lt;=90,Vi&gt;=48,Load_Switch_NFET[[#This Row],[VDSMAX]]=100)</f>
        <v>0</v>
      </c>
      <c r="I29" s="20" t="b">
        <f t="shared" si="0"/>
        <v>1</v>
      </c>
      <c r="J29" s="20" t="b">
        <f>AND(((VGS_DR)&lt;2.5),('NFET Data'!$AC29&lt;&gt;"(Null)"))</f>
        <v>0</v>
      </c>
      <c r="K29" s="20" t="b">
        <f>AND(((VGS_DR)&gt;=2.5),((VGS_DR)&lt;3),OR(('NFET Data'!$AD29&lt;&gt;"(Null)"),('NFET Data'!$AC29&lt;&gt;"(Null)")))</f>
        <v>0</v>
      </c>
      <c r="L29" s="20" t="b">
        <f>AND(((VGS_DR)&gt;=3),((VGS_DR)&lt;4.5),OR(('NFET Data'!$AE29&lt;&gt;"(Null)"),('NFET Data'!$AD29&lt;&gt;"(Null)"),('NFET Data'!$AC29&lt;&gt;"(Null)")))</f>
        <v>0</v>
      </c>
      <c r="M29" s="20" t="b">
        <f>AND(((VGS_DR)&gt;=4.5),((VGS_DR)&lt;6),OR(('NFET Data'!$AF29&lt;&gt;"(Null)"),('NFET Data'!$AE29&lt;&gt;"(Null)"),('NFET Data'!$AD29&lt;&gt;"(Null)"),('NFET Data'!$AC29&lt;&gt;"(Null)")))</f>
        <v>1</v>
      </c>
      <c r="N29" s="20" t="b">
        <f>AND(((VGS_DR)&gt;=6),((VGS_DR)&lt;8),OR(('NFET Data'!$AG29&lt;&gt;"(Null)"),('NFET Data'!$AF29&lt;&gt;"(Null)"),('NFET Data'!$AE29&lt;&gt;"(Null)"),('NFET Data'!$AD29&lt;&gt;"(Null)"),('NFET Data'!$AC29&lt;&gt;"(Null)")))</f>
        <v>0</v>
      </c>
      <c r="O29" s="20" t="b">
        <f>AND(((VGS_DR)&gt;=8),((VGS_DR)&lt;10),OR(('NFET Data'!$AH29&lt;&gt;"(Null)"),('NFET Data'!$AG29&lt;&gt;"(Null)"),('NFET Data'!$AF29&lt;&gt;"(Null)"),('NFET Data'!$AE29&lt;&gt;"(Null)"),('NFET Data'!$AD29&lt;&gt;"(Null)"),('NFET Data'!$AC29&lt;&gt;"(Null)")))</f>
        <v>0</v>
      </c>
      <c r="P29" s="20" t="b">
        <f>AND(((VGS_DR)&gt;=10),OR(('NFET Data'!$AI29&lt;&gt;"(Null)"),('NFET Data'!$AH29&lt;&gt;"(Null)"),('NFET Data'!$AG29&lt;&gt;"(Null)"),('NFET Data'!$AF29&lt;&gt;"(Null)"),('NFET Data'!$AE29&lt;&gt;"(Null)"),('NFET Data'!$AD29&lt;&gt;"(Null)"),('NFET Data'!$AC29&lt;&gt;"(Null)")))</f>
        <v>0</v>
      </c>
      <c r="Q29" s="20" t="b">
        <f t="shared" si="1"/>
        <v>1</v>
      </c>
      <c r="R29" s="20" t="b">
        <f t="shared" si="2"/>
        <v>1</v>
      </c>
    </row>
    <row r="30" spans="1:29" x14ac:dyDescent="0.25">
      <c r="A30" s="20" t="str">
        <f>IF(R30,Load_Switch_NFET[[#This Row],[PARTNUMBER]],"")</f>
        <v>CSD16412Q5A</v>
      </c>
      <c r="B30" t="s">
        <v>163</v>
      </c>
      <c r="C30" s="20" t="b">
        <f>AND((Load_Switch_NFET[[#This Row],[VDSMAX]]&gt;=Vi*1.1),(Load_Switch_NFET[[#This Row],[VGSMAX]]&gt;=(VGS_DR)*1.1),(Load_Switch_NFET[[#This Row],[IDSMAX]]&gt;=Io),VGS_DR&gt;=1.8)</f>
        <v>1</v>
      </c>
      <c r="D30" s="20" t="b">
        <f>AND(Vi&lt;=27,Load_Switch_NFET[[#This Row],[VDSMAX]]&lt;=30)</f>
        <v>1</v>
      </c>
      <c r="E30" s="20" t="b">
        <f>AND(Vi&lt;=36,Vi&gt;=20,Load_Switch_NFET[[#This Row],[VDSMAX]]=40)</f>
        <v>0</v>
      </c>
      <c r="F30" s="20" t="b">
        <f>AND(Vi&lt;=54,Vi&gt;=25,Load_Switch_NFET[[#This Row],[VDSMAX]]=60)</f>
        <v>0</v>
      </c>
      <c r="G30" s="20" t="b">
        <f>AND(Vi&lt;=72,Vi&gt;=36,Load_Switch_NFET[[#This Row],[VDSMAX]]=80)</f>
        <v>0</v>
      </c>
      <c r="H30" s="20" t="b">
        <f>AND(Vi&lt;=90,Vi&gt;=48,Load_Switch_NFET[[#This Row],[VDSMAX]]=100)</f>
        <v>0</v>
      </c>
      <c r="I30" s="20" t="b">
        <f t="shared" si="0"/>
        <v>1</v>
      </c>
      <c r="J30" s="20" t="b">
        <f>AND(((VGS_DR)&lt;2.5),('NFET Data'!$AC30&lt;&gt;"(Null)"))</f>
        <v>0</v>
      </c>
      <c r="K30" s="20" t="b">
        <f>AND(((VGS_DR)&gt;=2.5),((VGS_DR)&lt;3),OR(('NFET Data'!$AD30&lt;&gt;"(Null)"),('NFET Data'!$AC30&lt;&gt;"(Null)")))</f>
        <v>0</v>
      </c>
      <c r="L30" s="20" t="b">
        <f>AND(((VGS_DR)&gt;=3),((VGS_DR)&lt;4.5),OR(('NFET Data'!$AE30&lt;&gt;"(Null)"),('NFET Data'!$AD30&lt;&gt;"(Null)"),('NFET Data'!$AC30&lt;&gt;"(Null)")))</f>
        <v>0</v>
      </c>
      <c r="M30" s="20" t="b">
        <f>AND(((VGS_DR)&gt;=4.5),((VGS_DR)&lt;6),OR(('NFET Data'!$AF30&lt;&gt;"(Null)"),('NFET Data'!$AE30&lt;&gt;"(Null)"),('NFET Data'!$AD30&lt;&gt;"(Null)"),('NFET Data'!$AC30&lt;&gt;"(Null)")))</f>
        <v>1</v>
      </c>
      <c r="N30" s="20" t="b">
        <f>AND(((VGS_DR)&gt;=6),((VGS_DR)&lt;8),OR(('NFET Data'!$AG30&lt;&gt;"(Null)"),('NFET Data'!$AF30&lt;&gt;"(Null)"),('NFET Data'!$AE30&lt;&gt;"(Null)"),('NFET Data'!$AD30&lt;&gt;"(Null)"),('NFET Data'!$AC30&lt;&gt;"(Null)")))</f>
        <v>0</v>
      </c>
      <c r="O30" s="20" t="b">
        <f>AND(((VGS_DR)&gt;=8),((VGS_DR)&lt;10),OR(('NFET Data'!$AH30&lt;&gt;"(Null)"),('NFET Data'!$AG30&lt;&gt;"(Null)"),('NFET Data'!$AF30&lt;&gt;"(Null)"),('NFET Data'!$AE30&lt;&gt;"(Null)"),('NFET Data'!$AD30&lt;&gt;"(Null)"),('NFET Data'!$AC30&lt;&gt;"(Null)")))</f>
        <v>0</v>
      </c>
      <c r="P30" s="20" t="b">
        <f>AND(((VGS_DR)&gt;=10),OR(('NFET Data'!$AI30&lt;&gt;"(Null)"),('NFET Data'!$AH30&lt;&gt;"(Null)"),('NFET Data'!$AG30&lt;&gt;"(Null)"),('NFET Data'!$AF30&lt;&gt;"(Null)"),('NFET Data'!$AE30&lt;&gt;"(Null)"),('NFET Data'!$AD30&lt;&gt;"(Null)"),('NFET Data'!$AC30&lt;&gt;"(Null)")))</f>
        <v>0</v>
      </c>
      <c r="Q30" s="20" t="b">
        <f t="shared" si="1"/>
        <v>1</v>
      </c>
      <c r="R30" s="20" t="b">
        <f t="shared" si="2"/>
        <v>1</v>
      </c>
    </row>
    <row r="31" spans="1:29" x14ac:dyDescent="0.25">
      <c r="A31" s="20" t="str">
        <f>IF(R31,Load_Switch_NFET[[#This Row],[PARTNUMBER]],"")</f>
        <v>CSD16413Q5A</v>
      </c>
      <c r="B31" t="s">
        <v>166</v>
      </c>
      <c r="C31" s="20" t="b">
        <f>AND((Load_Switch_NFET[[#This Row],[VDSMAX]]&gt;=Vi*1.1),(Load_Switch_NFET[[#This Row],[VGSMAX]]&gt;=(VGS_DR)*1.1),(Load_Switch_NFET[[#This Row],[IDSMAX]]&gt;=Io),VGS_DR&gt;=1.8)</f>
        <v>1</v>
      </c>
      <c r="D31" s="20" t="b">
        <f>AND(Vi&lt;=27,Load_Switch_NFET[[#This Row],[VDSMAX]]&lt;=30)</f>
        <v>1</v>
      </c>
      <c r="E31" s="20" t="b">
        <f>AND(Vi&lt;=36,Vi&gt;=20,Load_Switch_NFET[[#This Row],[VDSMAX]]=40)</f>
        <v>0</v>
      </c>
      <c r="F31" s="20" t="b">
        <f>AND(Vi&lt;=54,Vi&gt;=25,Load_Switch_NFET[[#This Row],[VDSMAX]]=60)</f>
        <v>0</v>
      </c>
      <c r="G31" s="20" t="b">
        <f>AND(Vi&lt;=72,Vi&gt;=36,Load_Switch_NFET[[#This Row],[VDSMAX]]=80)</f>
        <v>0</v>
      </c>
      <c r="H31" s="20" t="b">
        <f>AND(Vi&lt;=90,Vi&gt;=48,Load_Switch_NFET[[#This Row],[VDSMAX]]=100)</f>
        <v>0</v>
      </c>
      <c r="I31" s="20" t="b">
        <f t="shared" si="0"/>
        <v>1</v>
      </c>
      <c r="J31" s="20" t="b">
        <f>AND(((VGS_DR)&lt;2.5),('NFET Data'!$AC31&lt;&gt;"(Null)"))</f>
        <v>0</v>
      </c>
      <c r="K31" s="20" t="b">
        <f>AND(((VGS_DR)&gt;=2.5),((VGS_DR)&lt;3),OR(('NFET Data'!$AD31&lt;&gt;"(Null)"),('NFET Data'!$AC31&lt;&gt;"(Null)")))</f>
        <v>0</v>
      </c>
      <c r="L31" s="20" t="b">
        <f>AND(((VGS_DR)&gt;=3),((VGS_DR)&lt;4.5),OR(('NFET Data'!$AE31&lt;&gt;"(Null)"),('NFET Data'!$AD31&lt;&gt;"(Null)"),('NFET Data'!$AC31&lt;&gt;"(Null)")))</f>
        <v>0</v>
      </c>
      <c r="M31" s="20" t="b">
        <f>AND(((VGS_DR)&gt;=4.5),((VGS_DR)&lt;6),OR(('NFET Data'!$AF31&lt;&gt;"(Null)"),('NFET Data'!$AE31&lt;&gt;"(Null)"),('NFET Data'!$AD31&lt;&gt;"(Null)"),('NFET Data'!$AC31&lt;&gt;"(Null)")))</f>
        <v>1</v>
      </c>
      <c r="N31" s="20" t="b">
        <f>AND(((VGS_DR)&gt;=6),((VGS_DR)&lt;8),OR(('NFET Data'!$AG31&lt;&gt;"(Null)"),('NFET Data'!$AF31&lt;&gt;"(Null)"),('NFET Data'!$AE31&lt;&gt;"(Null)"),('NFET Data'!$AD31&lt;&gt;"(Null)"),('NFET Data'!$AC31&lt;&gt;"(Null)")))</f>
        <v>0</v>
      </c>
      <c r="O31" s="20" t="b">
        <f>AND(((VGS_DR)&gt;=8),((VGS_DR)&lt;10),OR(('NFET Data'!$AH31&lt;&gt;"(Null)"),('NFET Data'!$AG31&lt;&gt;"(Null)"),('NFET Data'!$AF31&lt;&gt;"(Null)"),('NFET Data'!$AE31&lt;&gt;"(Null)"),('NFET Data'!$AD31&lt;&gt;"(Null)"),('NFET Data'!$AC31&lt;&gt;"(Null)")))</f>
        <v>0</v>
      </c>
      <c r="P31" s="20" t="b">
        <f>AND(((VGS_DR)&gt;=10),OR(('NFET Data'!$AI31&lt;&gt;"(Null)"),('NFET Data'!$AH31&lt;&gt;"(Null)"),('NFET Data'!$AG31&lt;&gt;"(Null)"),('NFET Data'!$AF31&lt;&gt;"(Null)"),('NFET Data'!$AE31&lt;&gt;"(Null)"),('NFET Data'!$AD31&lt;&gt;"(Null)"),('NFET Data'!$AC31&lt;&gt;"(Null)")))</f>
        <v>0</v>
      </c>
      <c r="Q31" s="20" t="b">
        <f t="shared" si="1"/>
        <v>1</v>
      </c>
      <c r="R31" s="20" t="b">
        <f t="shared" si="2"/>
        <v>1</v>
      </c>
    </row>
    <row r="32" spans="1:29" x14ac:dyDescent="0.25">
      <c r="A32" s="20" t="str">
        <f>IF(R32,Load_Switch_NFET[[#This Row],[PARTNUMBER]],"")</f>
        <v>CSD16414Q5</v>
      </c>
      <c r="B32" t="s">
        <v>168</v>
      </c>
      <c r="C32" s="20" t="b">
        <f>AND((Load_Switch_NFET[[#This Row],[VDSMAX]]&gt;=Vi*1.1),(Load_Switch_NFET[[#This Row],[VGSMAX]]&gt;=(VGS_DR)*1.1),(Load_Switch_NFET[[#This Row],[IDSMAX]]&gt;=Io),VGS_DR&gt;=1.8)</f>
        <v>1</v>
      </c>
      <c r="D32" s="20" t="b">
        <f>AND(Vi&lt;=27,Load_Switch_NFET[[#This Row],[VDSMAX]]&lt;=30)</f>
        <v>1</v>
      </c>
      <c r="E32" s="20" t="b">
        <f>AND(Vi&lt;=36,Vi&gt;=20,Load_Switch_NFET[[#This Row],[VDSMAX]]=40)</f>
        <v>0</v>
      </c>
      <c r="F32" s="20" t="b">
        <f>AND(Vi&lt;=54,Vi&gt;=25,Load_Switch_NFET[[#This Row],[VDSMAX]]=60)</f>
        <v>0</v>
      </c>
      <c r="G32" s="20" t="b">
        <f>AND(Vi&lt;=72,Vi&gt;=36,Load_Switch_NFET[[#This Row],[VDSMAX]]=80)</f>
        <v>0</v>
      </c>
      <c r="H32" s="20" t="b">
        <f>AND(Vi&lt;=90,Vi&gt;=48,Load_Switch_NFET[[#This Row],[VDSMAX]]=100)</f>
        <v>0</v>
      </c>
      <c r="I32" s="20" t="b">
        <f t="shared" si="0"/>
        <v>1</v>
      </c>
      <c r="J32" s="20" t="b">
        <f>AND(((VGS_DR)&lt;2.5),('NFET Data'!$AC32&lt;&gt;"(Null)"))</f>
        <v>0</v>
      </c>
      <c r="K32" s="20" t="b">
        <f>AND(((VGS_DR)&gt;=2.5),((VGS_DR)&lt;3),OR(('NFET Data'!$AD32&lt;&gt;"(Null)"),('NFET Data'!$AC32&lt;&gt;"(Null)")))</f>
        <v>0</v>
      </c>
      <c r="L32" s="20" t="b">
        <f>AND(((VGS_DR)&gt;=3),((VGS_DR)&lt;4.5),OR(('NFET Data'!$AE32&lt;&gt;"(Null)"),('NFET Data'!$AD32&lt;&gt;"(Null)"),('NFET Data'!$AC32&lt;&gt;"(Null)")))</f>
        <v>0</v>
      </c>
      <c r="M32" s="20" t="b">
        <f>AND(((VGS_DR)&gt;=4.5),((VGS_DR)&lt;6),OR(('NFET Data'!$AF32&lt;&gt;"(Null)"),('NFET Data'!$AE32&lt;&gt;"(Null)"),('NFET Data'!$AD32&lt;&gt;"(Null)"),('NFET Data'!$AC32&lt;&gt;"(Null)")))</f>
        <v>1</v>
      </c>
      <c r="N32" s="20" t="b">
        <f>AND(((VGS_DR)&gt;=6),((VGS_DR)&lt;8),OR(('NFET Data'!$AG32&lt;&gt;"(Null)"),('NFET Data'!$AF32&lt;&gt;"(Null)"),('NFET Data'!$AE32&lt;&gt;"(Null)"),('NFET Data'!$AD32&lt;&gt;"(Null)"),('NFET Data'!$AC32&lt;&gt;"(Null)")))</f>
        <v>0</v>
      </c>
      <c r="O32" s="20" t="b">
        <f>AND(((VGS_DR)&gt;=8),((VGS_DR)&lt;10),OR(('NFET Data'!$AH32&lt;&gt;"(Null)"),('NFET Data'!$AG32&lt;&gt;"(Null)"),('NFET Data'!$AF32&lt;&gt;"(Null)"),('NFET Data'!$AE32&lt;&gt;"(Null)"),('NFET Data'!$AD32&lt;&gt;"(Null)"),('NFET Data'!$AC32&lt;&gt;"(Null)")))</f>
        <v>0</v>
      </c>
      <c r="P32" s="20" t="b">
        <f>AND(((VGS_DR)&gt;=10),OR(('NFET Data'!$AI32&lt;&gt;"(Null)"),('NFET Data'!$AH32&lt;&gt;"(Null)"),('NFET Data'!$AG32&lt;&gt;"(Null)"),('NFET Data'!$AF32&lt;&gt;"(Null)"),('NFET Data'!$AE32&lt;&gt;"(Null)"),('NFET Data'!$AD32&lt;&gt;"(Null)"),('NFET Data'!$AC32&lt;&gt;"(Null)")))</f>
        <v>0</v>
      </c>
      <c r="Q32" s="20" t="b">
        <f t="shared" si="1"/>
        <v>1</v>
      </c>
      <c r="R32" s="20" t="b">
        <f t="shared" si="2"/>
        <v>1</v>
      </c>
    </row>
    <row r="33" spans="1:18" x14ac:dyDescent="0.25">
      <c r="A33" s="20" t="str">
        <f>IF(R33,Load_Switch_NFET[[#This Row],[PARTNUMBER]],"")</f>
        <v>CSD16415Q5</v>
      </c>
      <c r="B33" t="s">
        <v>171</v>
      </c>
      <c r="C33" s="20" t="b">
        <f>AND((Load_Switch_NFET[[#This Row],[VDSMAX]]&gt;=Vi*1.1),(Load_Switch_NFET[[#This Row],[VGSMAX]]&gt;=(VGS_DR)*1.1),(Load_Switch_NFET[[#This Row],[IDSMAX]]&gt;=Io),VGS_DR&gt;=1.8)</f>
        <v>1</v>
      </c>
      <c r="D33" s="20" t="b">
        <f>AND(Vi&lt;=27,Load_Switch_NFET[[#This Row],[VDSMAX]]&lt;=30)</f>
        <v>1</v>
      </c>
      <c r="E33" s="20" t="b">
        <f>AND(Vi&lt;=36,Vi&gt;=20,Load_Switch_NFET[[#This Row],[VDSMAX]]=40)</f>
        <v>0</v>
      </c>
      <c r="F33" s="20" t="b">
        <f>AND(Vi&lt;=54,Vi&gt;=25,Load_Switch_NFET[[#This Row],[VDSMAX]]=60)</f>
        <v>0</v>
      </c>
      <c r="G33" s="20" t="b">
        <f>AND(Vi&lt;=72,Vi&gt;=36,Load_Switch_NFET[[#This Row],[VDSMAX]]=80)</f>
        <v>0</v>
      </c>
      <c r="H33" s="20" t="b">
        <f>AND(Vi&lt;=90,Vi&gt;=48,Load_Switch_NFET[[#This Row],[VDSMAX]]=100)</f>
        <v>0</v>
      </c>
      <c r="I33" s="20" t="b">
        <f t="shared" si="0"/>
        <v>1</v>
      </c>
      <c r="J33" s="20" t="b">
        <f>AND(((VGS_DR)&lt;2.5),('NFET Data'!$AC33&lt;&gt;"(Null)"))</f>
        <v>0</v>
      </c>
      <c r="K33" s="20" t="b">
        <f>AND(((VGS_DR)&gt;=2.5),((VGS_DR)&lt;3),OR(('NFET Data'!$AD33&lt;&gt;"(Null)"),('NFET Data'!$AC33&lt;&gt;"(Null)")))</f>
        <v>0</v>
      </c>
      <c r="L33" s="20" t="b">
        <f>AND(((VGS_DR)&gt;=3),((VGS_DR)&lt;4.5),OR(('NFET Data'!$AE33&lt;&gt;"(Null)"),('NFET Data'!$AD33&lt;&gt;"(Null)"),('NFET Data'!$AC33&lt;&gt;"(Null)")))</f>
        <v>0</v>
      </c>
      <c r="M33" s="20" t="b">
        <f>AND(((VGS_DR)&gt;=4.5),((VGS_DR)&lt;6),OR(('NFET Data'!$AF33&lt;&gt;"(Null)"),('NFET Data'!$AE33&lt;&gt;"(Null)"),('NFET Data'!$AD33&lt;&gt;"(Null)"),('NFET Data'!$AC33&lt;&gt;"(Null)")))</f>
        <v>1</v>
      </c>
      <c r="N33" s="20" t="b">
        <f>AND(((VGS_DR)&gt;=6),((VGS_DR)&lt;8),OR(('NFET Data'!$AG33&lt;&gt;"(Null)"),('NFET Data'!$AF33&lt;&gt;"(Null)"),('NFET Data'!$AE33&lt;&gt;"(Null)"),('NFET Data'!$AD33&lt;&gt;"(Null)"),('NFET Data'!$AC33&lt;&gt;"(Null)")))</f>
        <v>0</v>
      </c>
      <c r="O33" s="20" t="b">
        <f>AND(((VGS_DR)&gt;=8),((VGS_DR)&lt;10),OR(('NFET Data'!$AH33&lt;&gt;"(Null)"),('NFET Data'!$AG33&lt;&gt;"(Null)"),('NFET Data'!$AF33&lt;&gt;"(Null)"),('NFET Data'!$AE33&lt;&gt;"(Null)"),('NFET Data'!$AD33&lt;&gt;"(Null)"),('NFET Data'!$AC33&lt;&gt;"(Null)")))</f>
        <v>0</v>
      </c>
      <c r="P33" s="20" t="b">
        <f>AND(((VGS_DR)&gt;=10),OR(('NFET Data'!$AI33&lt;&gt;"(Null)"),('NFET Data'!$AH33&lt;&gt;"(Null)"),('NFET Data'!$AG33&lt;&gt;"(Null)"),('NFET Data'!$AF33&lt;&gt;"(Null)"),('NFET Data'!$AE33&lt;&gt;"(Null)"),('NFET Data'!$AD33&lt;&gt;"(Null)"),('NFET Data'!$AC33&lt;&gt;"(Null)")))</f>
        <v>0</v>
      </c>
      <c r="Q33" s="20" t="b">
        <f t="shared" si="1"/>
        <v>1</v>
      </c>
      <c r="R33" s="20" t="b">
        <f t="shared" si="2"/>
        <v>1</v>
      </c>
    </row>
    <row r="34" spans="1:18" x14ac:dyDescent="0.25">
      <c r="A34" s="20" t="str">
        <f>IF(R34,Load_Switch_NFET[[#This Row],[PARTNUMBER]],"")</f>
        <v>CSD16556Q5B</v>
      </c>
      <c r="B34" t="s">
        <v>175</v>
      </c>
      <c r="C34" s="20" t="b">
        <f>AND((Load_Switch_NFET[[#This Row],[VDSMAX]]&gt;=Vi*1.1),(Load_Switch_NFET[[#This Row],[VGSMAX]]&gt;=(VGS_DR)*1.1),(Load_Switch_NFET[[#This Row],[IDSMAX]]&gt;=Io),VGS_DR&gt;=1.8)</f>
        <v>1</v>
      </c>
      <c r="D34" s="20" t="b">
        <f>AND(Vi&lt;=27,Load_Switch_NFET[[#This Row],[VDSMAX]]&lt;=30)</f>
        <v>1</v>
      </c>
      <c r="E34" s="20" t="b">
        <f>AND(Vi&lt;=36,Vi&gt;=20,Load_Switch_NFET[[#This Row],[VDSMAX]]=40)</f>
        <v>0</v>
      </c>
      <c r="F34" s="20" t="b">
        <f>AND(Vi&lt;=54,Vi&gt;=25,Load_Switch_NFET[[#This Row],[VDSMAX]]=60)</f>
        <v>0</v>
      </c>
      <c r="G34" s="20" t="b">
        <f>AND(Vi&lt;=72,Vi&gt;=36,Load_Switch_NFET[[#This Row],[VDSMAX]]=80)</f>
        <v>0</v>
      </c>
      <c r="H34" s="20" t="b">
        <f>AND(Vi&lt;=90,Vi&gt;=48,Load_Switch_NFET[[#This Row],[VDSMAX]]=100)</f>
        <v>0</v>
      </c>
      <c r="I34" s="20" t="b">
        <f t="shared" si="0"/>
        <v>1</v>
      </c>
      <c r="J34" s="20" t="b">
        <f>AND(((VGS_DR)&lt;2.5),('NFET Data'!$AC34&lt;&gt;"(Null)"))</f>
        <v>0</v>
      </c>
      <c r="K34" s="20" t="b">
        <f>AND(((VGS_DR)&gt;=2.5),((VGS_DR)&lt;3),OR(('NFET Data'!$AD34&lt;&gt;"(Null)"),('NFET Data'!$AC34&lt;&gt;"(Null)")))</f>
        <v>0</v>
      </c>
      <c r="L34" s="20" t="b">
        <f>AND(((VGS_DR)&gt;=3),((VGS_DR)&lt;4.5),OR(('NFET Data'!$AE34&lt;&gt;"(Null)"),('NFET Data'!$AD34&lt;&gt;"(Null)"),('NFET Data'!$AC34&lt;&gt;"(Null)")))</f>
        <v>0</v>
      </c>
      <c r="M34" s="20" t="b">
        <f>AND(((VGS_DR)&gt;=4.5),((VGS_DR)&lt;6),OR(('NFET Data'!$AF34&lt;&gt;"(Null)"),('NFET Data'!$AE34&lt;&gt;"(Null)"),('NFET Data'!$AD34&lt;&gt;"(Null)"),('NFET Data'!$AC34&lt;&gt;"(Null)")))</f>
        <v>1</v>
      </c>
      <c r="N34" s="20" t="b">
        <f>AND(((VGS_DR)&gt;=6),((VGS_DR)&lt;8),OR(('NFET Data'!$AG34&lt;&gt;"(Null)"),('NFET Data'!$AF34&lt;&gt;"(Null)"),('NFET Data'!$AE34&lt;&gt;"(Null)"),('NFET Data'!$AD34&lt;&gt;"(Null)"),('NFET Data'!$AC34&lt;&gt;"(Null)")))</f>
        <v>0</v>
      </c>
      <c r="O34" s="20" t="b">
        <f>AND(((VGS_DR)&gt;=8),((VGS_DR)&lt;10),OR(('NFET Data'!$AH34&lt;&gt;"(Null)"),('NFET Data'!$AG34&lt;&gt;"(Null)"),('NFET Data'!$AF34&lt;&gt;"(Null)"),('NFET Data'!$AE34&lt;&gt;"(Null)"),('NFET Data'!$AD34&lt;&gt;"(Null)"),('NFET Data'!$AC34&lt;&gt;"(Null)")))</f>
        <v>0</v>
      </c>
      <c r="P34" s="20" t="b">
        <f>AND(((VGS_DR)&gt;=10),OR(('NFET Data'!$AI34&lt;&gt;"(Null)"),('NFET Data'!$AH34&lt;&gt;"(Null)"),('NFET Data'!$AG34&lt;&gt;"(Null)"),('NFET Data'!$AF34&lt;&gt;"(Null)"),('NFET Data'!$AE34&lt;&gt;"(Null)"),('NFET Data'!$AD34&lt;&gt;"(Null)"),('NFET Data'!$AC34&lt;&gt;"(Null)")))</f>
        <v>0</v>
      </c>
      <c r="Q34" s="20" t="b">
        <f t="shared" si="1"/>
        <v>1</v>
      </c>
      <c r="R34" s="20" t="b">
        <f t="shared" si="2"/>
        <v>1</v>
      </c>
    </row>
    <row r="35" spans="1:18" x14ac:dyDescent="0.25">
      <c r="A35" s="20" t="str">
        <f>IF(R35,Load_Switch_NFET[[#This Row],[PARTNUMBER]],"")</f>
        <v>CSD16570Q5B</v>
      </c>
      <c r="B35" t="s">
        <v>177</v>
      </c>
      <c r="C35" s="20" t="b">
        <f>AND((Load_Switch_NFET[[#This Row],[VDSMAX]]&gt;=Vi*1.1),(Load_Switch_NFET[[#This Row],[VGSMAX]]&gt;=(VGS_DR)*1.1),(Load_Switch_NFET[[#This Row],[IDSMAX]]&gt;=Io),VGS_DR&gt;=1.8)</f>
        <v>1</v>
      </c>
      <c r="D35" s="20" t="b">
        <f>AND(Vi&lt;=27,Load_Switch_NFET[[#This Row],[VDSMAX]]&lt;=30)</f>
        <v>1</v>
      </c>
      <c r="E35" s="20" t="b">
        <f>AND(Vi&lt;=36,Vi&gt;=20,Load_Switch_NFET[[#This Row],[VDSMAX]]=40)</f>
        <v>0</v>
      </c>
      <c r="F35" s="20" t="b">
        <f>AND(Vi&lt;=54,Vi&gt;=25,Load_Switch_NFET[[#This Row],[VDSMAX]]=60)</f>
        <v>0</v>
      </c>
      <c r="G35" s="20" t="b">
        <f>AND(Vi&lt;=72,Vi&gt;=36,Load_Switch_NFET[[#This Row],[VDSMAX]]=80)</f>
        <v>0</v>
      </c>
      <c r="H35" s="20" t="b">
        <f>AND(Vi&lt;=90,Vi&gt;=48,Load_Switch_NFET[[#This Row],[VDSMAX]]=100)</f>
        <v>0</v>
      </c>
      <c r="I35" s="20" t="b">
        <f t="shared" si="0"/>
        <v>1</v>
      </c>
      <c r="J35" s="20" t="b">
        <f>AND(((VGS_DR)&lt;2.5),('NFET Data'!$AC35&lt;&gt;"(Null)"))</f>
        <v>0</v>
      </c>
      <c r="K35" s="20" t="b">
        <f>AND(((VGS_DR)&gt;=2.5),((VGS_DR)&lt;3),OR(('NFET Data'!$AD35&lt;&gt;"(Null)"),('NFET Data'!$AC35&lt;&gt;"(Null)")))</f>
        <v>0</v>
      </c>
      <c r="L35" s="20" t="b">
        <f>AND(((VGS_DR)&gt;=3),((VGS_DR)&lt;4.5),OR(('NFET Data'!$AE35&lt;&gt;"(Null)"),('NFET Data'!$AD35&lt;&gt;"(Null)"),('NFET Data'!$AC35&lt;&gt;"(Null)")))</f>
        <v>0</v>
      </c>
      <c r="M35" s="20" t="b">
        <f>AND(((VGS_DR)&gt;=4.5),((VGS_DR)&lt;6),OR(('NFET Data'!$AF35&lt;&gt;"(Null)"),('NFET Data'!$AE35&lt;&gt;"(Null)"),('NFET Data'!$AD35&lt;&gt;"(Null)"),('NFET Data'!$AC35&lt;&gt;"(Null)")))</f>
        <v>1</v>
      </c>
      <c r="N35" s="20" t="b">
        <f>AND(((VGS_DR)&gt;=6),((VGS_DR)&lt;8),OR(('NFET Data'!$AG35&lt;&gt;"(Null)"),('NFET Data'!$AF35&lt;&gt;"(Null)"),('NFET Data'!$AE35&lt;&gt;"(Null)"),('NFET Data'!$AD35&lt;&gt;"(Null)"),('NFET Data'!$AC35&lt;&gt;"(Null)")))</f>
        <v>0</v>
      </c>
      <c r="O35" s="20" t="b">
        <f>AND(((VGS_DR)&gt;=8),((VGS_DR)&lt;10),OR(('NFET Data'!$AH35&lt;&gt;"(Null)"),('NFET Data'!$AG35&lt;&gt;"(Null)"),('NFET Data'!$AF35&lt;&gt;"(Null)"),('NFET Data'!$AE35&lt;&gt;"(Null)"),('NFET Data'!$AD35&lt;&gt;"(Null)"),('NFET Data'!$AC35&lt;&gt;"(Null)")))</f>
        <v>0</v>
      </c>
      <c r="P35" s="20" t="b">
        <f>AND(((VGS_DR)&gt;=10),OR(('NFET Data'!$AI35&lt;&gt;"(Null)"),('NFET Data'!$AH35&lt;&gt;"(Null)"),('NFET Data'!$AG35&lt;&gt;"(Null)"),('NFET Data'!$AF35&lt;&gt;"(Null)"),('NFET Data'!$AE35&lt;&gt;"(Null)"),('NFET Data'!$AD35&lt;&gt;"(Null)"),('NFET Data'!$AC35&lt;&gt;"(Null)")))</f>
        <v>0</v>
      </c>
      <c r="Q35" s="20" t="b">
        <f t="shared" si="1"/>
        <v>1</v>
      </c>
      <c r="R35" s="20" t="b">
        <f t="shared" si="2"/>
        <v>1</v>
      </c>
    </row>
    <row r="36" spans="1:18" x14ac:dyDescent="0.25">
      <c r="A36" s="20" t="str">
        <f>IF(R36,Load_Switch_NFET[[#This Row],[PARTNUMBER]],"")</f>
        <v>CSD17301Q5A</v>
      </c>
      <c r="B36" t="s">
        <v>179</v>
      </c>
      <c r="C36" s="20" t="b">
        <f>AND((Load_Switch_NFET[[#This Row],[VDSMAX]]&gt;=Vi*1.1),(Load_Switch_NFET[[#This Row],[VGSMAX]]&gt;=(VGS_DR)*1.1),(Load_Switch_NFET[[#This Row],[IDSMAX]]&gt;=Io),VGS_DR&gt;=1.8)</f>
        <v>1</v>
      </c>
      <c r="D36" s="20" t="b">
        <f>AND(Vi&lt;=27,Load_Switch_NFET[[#This Row],[VDSMAX]]&lt;=30)</f>
        <v>1</v>
      </c>
      <c r="E36" s="20" t="b">
        <f>AND(Vi&lt;=36,Vi&gt;=20,Load_Switch_NFET[[#This Row],[VDSMAX]]=40)</f>
        <v>0</v>
      </c>
      <c r="F36" s="20" t="b">
        <f>AND(Vi&lt;=54,Vi&gt;=25,Load_Switch_NFET[[#This Row],[VDSMAX]]=60)</f>
        <v>0</v>
      </c>
      <c r="G36" s="20" t="b">
        <f>AND(Vi&lt;=72,Vi&gt;=36,Load_Switch_NFET[[#This Row],[VDSMAX]]=80)</f>
        <v>0</v>
      </c>
      <c r="H36" s="20" t="b">
        <f>AND(Vi&lt;=90,Vi&gt;=48,Load_Switch_NFET[[#This Row],[VDSMAX]]=100)</f>
        <v>0</v>
      </c>
      <c r="I36" s="20" t="b">
        <f t="shared" si="0"/>
        <v>1</v>
      </c>
      <c r="J36" s="20" t="b">
        <f>AND(((VGS_DR)&lt;2.5),('NFET Data'!$AC36&lt;&gt;"(Null)"))</f>
        <v>0</v>
      </c>
      <c r="K36" s="20" t="b">
        <f>AND(((VGS_DR)&gt;=2.5),((VGS_DR)&lt;3),OR(('NFET Data'!$AD36&lt;&gt;"(Null)"),('NFET Data'!$AC36&lt;&gt;"(Null)")))</f>
        <v>0</v>
      </c>
      <c r="L36" s="20" t="b">
        <f>AND(((VGS_DR)&gt;=3),((VGS_DR)&lt;4.5),OR(('NFET Data'!$AE36&lt;&gt;"(Null)"),('NFET Data'!$AD36&lt;&gt;"(Null)"),('NFET Data'!$AC36&lt;&gt;"(Null)")))</f>
        <v>0</v>
      </c>
      <c r="M36" s="20" t="b">
        <f>AND(((VGS_DR)&gt;=4.5),((VGS_DR)&lt;6),OR(('NFET Data'!$AF36&lt;&gt;"(Null)"),('NFET Data'!$AE36&lt;&gt;"(Null)"),('NFET Data'!$AD36&lt;&gt;"(Null)"),('NFET Data'!$AC36&lt;&gt;"(Null)")))</f>
        <v>1</v>
      </c>
      <c r="N36" s="20" t="b">
        <f>AND(((VGS_DR)&gt;=6),((VGS_DR)&lt;8),OR(('NFET Data'!$AG36&lt;&gt;"(Null)"),('NFET Data'!$AF36&lt;&gt;"(Null)"),('NFET Data'!$AE36&lt;&gt;"(Null)"),('NFET Data'!$AD36&lt;&gt;"(Null)"),('NFET Data'!$AC36&lt;&gt;"(Null)")))</f>
        <v>0</v>
      </c>
      <c r="O36" s="20" t="b">
        <f>AND(((VGS_DR)&gt;=8),((VGS_DR)&lt;10),OR(('NFET Data'!$AH36&lt;&gt;"(Null)"),('NFET Data'!$AG36&lt;&gt;"(Null)"),('NFET Data'!$AF36&lt;&gt;"(Null)"),('NFET Data'!$AE36&lt;&gt;"(Null)"),('NFET Data'!$AD36&lt;&gt;"(Null)"),('NFET Data'!$AC36&lt;&gt;"(Null)")))</f>
        <v>0</v>
      </c>
      <c r="P36" s="20" t="b">
        <f>AND(((VGS_DR)&gt;=10),OR(('NFET Data'!$AI36&lt;&gt;"(Null)"),('NFET Data'!$AH36&lt;&gt;"(Null)"),('NFET Data'!$AG36&lt;&gt;"(Null)"),('NFET Data'!$AF36&lt;&gt;"(Null)"),('NFET Data'!$AE36&lt;&gt;"(Null)"),('NFET Data'!$AD36&lt;&gt;"(Null)"),('NFET Data'!$AC36&lt;&gt;"(Null)")))</f>
        <v>0</v>
      </c>
      <c r="Q36" s="20" t="b">
        <f t="shared" si="1"/>
        <v>1</v>
      </c>
      <c r="R36" s="20" t="b">
        <f t="shared" si="2"/>
        <v>1</v>
      </c>
    </row>
    <row r="37" spans="1:18" x14ac:dyDescent="0.25">
      <c r="A37" s="20" t="str">
        <f>IF(R37,Load_Switch_NFET[[#This Row],[PARTNUMBER]],"")</f>
        <v>CSD17302Q5A</v>
      </c>
      <c r="B37" t="s">
        <v>182</v>
      </c>
      <c r="C37" s="20" t="b">
        <f>AND((Load_Switch_NFET[[#This Row],[VDSMAX]]&gt;=Vi*1.1),(Load_Switch_NFET[[#This Row],[VGSMAX]]&gt;=(VGS_DR)*1.1),(Load_Switch_NFET[[#This Row],[IDSMAX]]&gt;=Io),VGS_DR&gt;=1.8)</f>
        <v>1</v>
      </c>
      <c r="D37" s="20" t="b">
        <f>AND(Vi&lt;=27,Load_Switch_NFET[[#This Row],[VDSMAX]]&lt;=30)</f>
        <v>1</v>
      </c>
      <c r="E37" s="20" t="b">
        <f>AND(Vi&lt;=36,Vi&gt;=20,Load_Switch_NFET[[#This Row],[VDSMAX]]=40)</f>
        <v>0</v>
      </c>
      <c r="F37" s="20" t="b">
        <f>AND(Vi&lt;=54,Vi&gt;=25,Load_Switch_NFET[[#This Row],[VDSMAX]]=60)</f>
        <v>0</v>
      </c>
      <c r="G37" s="20" t="b">
        <f>AND(Vi&lt;=72,Vi&gt;=36,Load_Switch_NFET[[#This Row],[VDSMAX]]=80)</f>
        <v>0</v>
      </c>
      <c r="H37" s="20" t="b">
        <f>AND(Vi&lt;=90,Vi&gt;=48,Load_Switch_NFET[[#This Row],[VDSMAX]]=100)</f>
        <v>0</v>
      </c>
      <c r="I37" s="20" t="b">
        <f t="shared" si="0"/>
        <v>1</v>
      </c>
      <c r="J37" s="20" t="b">
        <f>AND(((VGS_DR)&lt;2.5),('NFET Data'!$AC37&lt;&gt;"(Null)"))</f>
        <v>0</v>
      </c>
      <c r="K37" s="20" t="b">
        <f>AND(((VGS_DR)&gt;=2.5),((VGS_DR)&lt;3),OR(('NFET Data'!$AD37&lt;&gt;"(Null)"),('NFET Data'!$AC37&lt;&gt;"(Null)")))</f>
        <v>0</v>
      </c>
      <c r="L37" s="20" t="b">
        <f>AND(((VGS_DR)&gt;=3),((VGS_DR)&lt;4.5),OR(('NFET Data'!$AE37&lt;&gt;"(Null)"),('NFET Data'!$AD37&lt;&gt;"(Null)"),('NFET Data'!$AC37&lt;&gt;"(Null)")))</f>
        <v>0</v>
      </c>
      <c r="M37" s="20" t="b">
        <f>AND(((VGS_DR)&gt;=4.5),((VGS_DR)&lt;6),OR(('NFET Data'!$AF37&lt;&gt;"(Null)"),('NFET Data'!$AE37&lt;&gt;"(Null)"),('NFET Data'!$AD37&lt;&gt;"(Null)"),('NFET Data'!$AC37&lt;&gt;"(Null)")))</f>
        <v>1</v>
      </c>
      <c r="N37" s="20" t="b">
        <f>AND(((VGS_DR)&gt;=6),((VGS_DR)&lt;8),OR(('NFET Data'!$AG37&lt;&gt;"(Null)"),('NFET Data'!$AF37&lt;&gt;"(Null)"),('NFET Data'!$AE37&lt;&gt;"(Null)"),('NFET Data'!$AD37&lt;&gt;"(Null)"),('NFET Data'!$AC37&lt;&gt;"(Null)")))</f>
        <v>0</v>
      </c>
      <c r="O37" s="20" t="b">
        <f>AND(((VGS_DR)&gt;=8),((VGS_DR)&lt;10),OR(('NFET Data'!$AH37&lt;&gt;"(Null)"),('NFET Data'!$AG37&lt;&gt;"(Null)"),('NFET Data'!$AF37&lt;&gt;"(Null)"),('NFET Data'!$AE37&lt;&gt;"(Null)"),('NFET Data'!$AD37&lt;&gt;"(Null)"),('NFET Data'!$AC37&lt;&gt;"(Null)")))</f>
        <v>0</v>
      </c>
      <c r="P37" s="20" t="b">
        <f>AND(((VGS_DR)&gt;=10),OR(('NFET Data'!$AI37&lt;&gt;"(Null)"),('NFET Data'!$AH37&lt;&gt;"(Null)"),('NFET Data'!$AG37&lt;&gt;"(Null)"),('NFET Data'!$AF37&lt;&gt;"(Null)"),('NFET Data'!$AE37&lt;&gt;"(Null)"),('NFET Data'!$AD37&lt;&gt;"(Null)"),('NFET Data'!$AC37&lt;&gt;"(Null)")))</f>
        <v>0</v>
      </c>
      <c r="Q37" s="20" t="b">
        <f t="shared" si="1"/>
        <v>1</v>
      </c>
      <c r="R37" s="20" t="b">
        <f t="shared" si="2"/>
        <v>1</v>
      </c>
    </row>
    <row r="38" spans="1:18" x14ac:dyDescent="0.25">
      <c r="A38" s="20" t="str">
        <f>IF(R38,Load_Switch_NFET[[#This Row],[PARTNUMBER]],"")</f>
        <v>CSD17303Q5</v>
      </c>
      <c r="B38" t="s">
        <v>184</v>
      </c>
      <c r="C38" s="20" t="b">
        <f>AND((Load_Switch_NFET[[#This Row],[VDSMAX]]&gt;=Vi*1.1),(Load_Switch_NFET[[#This Row],[VGSMAX]]&gt;=(VGS_DR)*1.1),(Load_Switch_NFET[[#This Row],[IDSMAX]]&gt;=Io),VGS_DR&gt;=1.8)</f>
        <v>1</v>
      </c>
      <c r="D38" s="20" t="b">
        <f>AND(Vi&lt;=27,Load_Switch_NFET[[#This Row],[VDSMAX]]&lt;=30)</f>
        <v>1</v>
      </c>
      <c r="E38" s="20" t="b">
        <f>AND(Vi&lt;=36,Vi&gt;=20,Load_Switch_NFET[[#This Row],[VDSMAX]]=40)</f>
        <v>0</v>
      </c>
      <c r="F38" s="20" t="b">
        <f>AND(Vi&lt;=54,Vi&gt;=25,Load_Switch_NFET[[#This Row],[VDSMAX]]=60)</f>
        <v>0</v>
      </c>
      <c r="G38" s="20" t="b">
        <f>AND(Vi&lt;=72,Vi&gt;=36,Load_Switch_NFET[[#This Row],[VDSMAX]]=80)</f>
        <v>0</v>
      </c>
      <c r="H38" s="20" t="b">
        <f>AND(Vi&lt;=90,Vi&gt;=48,Load_Switch_NFET[[#This Row],[VDSMAX]]=100)</f>
        <v>0</v>
      </c>
      <c r="I38" s="20" t="b">
        <f t="shared" si="0"/>
        <v>1</v>
      </c>
      <c r="J38" s="20" t="b">
        <f>AND(((VGS_DR)&lt;2.5),('NFET Data'!$AC38&lt;&gt;"(Null)"))</f>
        <v>0</v>
      </c>
      <c r="K38" s="20" t="b">
        <f>AND(((VGS_DR)&gt;=2.5),((VGS_DR)&lt;3),OR(('NFET Data'!$AD38&lt;&gt;"(Null)"),('NFET Data'!$AC38&lt;&gt;"(Null)")))</f>
        <v>0</v>
      </c>
      <c r="L38" s="20" t="b">
        <f>AND(((VGS_DR)&gt;=3),((VGS_DR)&lt;4.5),OR(('NFET Data'!$AE38&lt;&gt;"(Null)"),('NFET Data'!$AD38&lt;&gt;"(Null)"),('NFET Data'!$AC38&lt;&gt;"(Null)")))</f>
        <v>0</v>
      </c>
      <c r="M38" s="20" t="b">
        <f>AND(((VGS_DR)&gt;=4.5),((VGS_DR)&lt;6),OR(('NFET Data'!$AF38&lt;&gt;"(Null)"),('NFET Data'!$AE38&lt;&gt;"(Null)"),('NFET Data'!$AD38&lt;&gt;"(Null)"),('NFET Data'!$AC38&lt;&gt;"(Null)")))</f>
        <v>1</v>
      </c>
      <c r="N38" s="20" t="b">
        <f>AND(((VGS_DR)&gt;=6),((VGS_DR)&lt;8),OR(('NFET Data'!$AG38&lt;&gt;"(Null)"),('NFET Data'!$AF38&lt;&gt;"(Null)"),('NFET Data'!$AE38&lt;&gt;"(Null)"),('NFET Data'!$AD38&lt;&gt;"(Null)"),('NFET Data'!$AC38&lt;&gt;"(Null)")))</f>
        <v>0</v>
      </c>
      <c r="O38" s="20" t="b">
        <f>AND(((VGS_DR)&gt;=8),((VGS_DR)&lt;10),OR(('NFET Data'!$AH38&lt;&gt;"(Null)"),('NFET Data'!$AG38&lt;&gt;"(Null)"),('NFET Data'!$AF38&lt;&gt;"(Null)"),('NFET Data'!$AE38&lt;&gt;"(Null)"),('NFET Data'!$AD38&lt;&gt;"(Null)"),('NFET Data'!$AC38&lt;&gt;"(Null)")))</f>
        <v>0</v>
      </c>
      <c r="P38" s="20" t="b">
        <f>AND(((VGS_DR)&gt;=10),OR(('NFET Data'!$AI38&lt;&gt;"(Null)"),('NFET Data'!$AH38&lt;&gt;"(Null)"),('NFET Data'!$AG38&lt;&gt;"(Null)"),('NFET Data'!$AF38&lt;&gt;"(Null)"),('NFET Data'!$AE38&lt;&gt;"(Null)"),('NFET Data'!$AD38&lt;&gt;"(Null)"),('NFET Data'!$AC38&lt;&gt;"(Null)")))</f>
        <v>0</v>
      </c>
      <c r="Q38" s="20" t="b">
        <f t="shared" si="1"/>
        <v>1</v>
      </c>
      <c r="R38" s="20" t="b">
        <f t="shared" si="2"/>
        <v>1</v>
      </c>
    </row>
    <row r="39" spans="1:18" x14ac:dyDescent="0.25">
      <c r="A39" s="20" t="str">
        <f>IF(R39,Load_Switch_NFET[[#This Row],[PARTNUMBER]],"")</f>
        <v>CSD17304Q3</v>
      </c>
      <c r="B39" t="s">
        <v>186</v>
      </c>
      <c r="C39" s="20" t="b">
        <f>AND((Load_Switch_NFET[[#This Row],[VDSMAX]]&gt;=Vi*1.1),(Load_Switch_NFET[[#This Row],[VGSMAX]]&gt;=(VGS_DR)*1.1),(Load_Switch_NFET[[#This Row],[IDSMAX]]&gt;=Io),VGS_DR&gt;=1.8)</f>
        <v>1</v>
      </c>
      <c r="D39" s="20" t="b">
        <f>AND(Vi&lt;=27,Load_Switch_NFET[[#This Row],[VDSMAX]]&lt;=30)</f>
        <v>1</v>
      </c>
      <c r="E39" s="20" t="b">
        <f>AND(Vi&lt;=36,Vi&gt;=20,Load_Switch_NFET[[#This Row],[VDSMAX]]=40)</f>
        <v>0</v>
      </c>
      <c r="F39" s="20" t="b">
        <f>AND(Vi&lt;=54,Vi&gt;=25,Load_Switch_NFET[[#This Row],[VDSMAX]]=60)</f>
        <v>0</v>
      </c>
      <c r="G39" s="20" t="b">
        <f>AND(Vi&lt;=72,Vi&gt;=36,Load_Switch_NFET[[#This Row],[VDSMAX]]=80)</f>
        <v>0</v>
      </c>
      <c r="H39" s="20" t="b">
        <f>AND(Vi&lt;=90,Vi&gt;=48,Load_Switch_NFET[[#This Row],[VDSMAX]]=100)</f>
        <v>0</v>
      </c>
      <c r="I39" s="20" t="b">
        <f t="shared" si="0"/>
        <v>1</v>
      </c>
      <c r="J39" s="20" t="b">
        <f>AND(((VGS_DR)&lt;2.5),('NFET Data'!$AC39&lt;&gt;"(Null)"))</f>
        <v>0</v>
      </c>
      <c r="K39" s="20" t="b">
        <f>AND(((VGS_DR)&gt;=2.5),((VGS_DR)&lt;3),OR(('NFET Data'!$AD39&lt;&gt;"(Null)"),('NFET Data'!$AC39&lt;&gt;"(Null)")))</f>
        <v>0</v>
      </c>
      <c r="L39" s="20" t="b">
        <f>AND(((VGS_DR)&gt;=3),((VGS_DR)&lt;4.5),OR(('NFET Data'!$AE39&lt;&gt;"(Null)"),('NFET Data'!$AD39&lt;&gt;"(Null)"),('NFET Data'!$AC39&lt;&gt;"(Null)")))</f>
        <v>0</v>
      </c>
      <c r="M39" s="20" t="b">
        <f>AND(((VGS_DR)&gt;=4.5),((VGS_DR)&lt;6),OR(('NFET Data'!$AF39&lt;&gt;"(Null)"),('NFET Data'!$AE39&lt;&gt;"(Null)"),('NFET Data'!$AD39&lt;&gt;"(Null)"),('NFET Data'!$AC39&lt;&gt;"(Null)")))</f>
        <v>1</v>
      </c>
      <c r="N39" s="20" t="b">
        <f>AND(((VGS_DR)&gt;=6),((VGS_DR)&lt;8),OR(('NFET Data'!$AG39&lt;&gt;"(Null)"),('NFET Data'!$AF39&lt;&gt;"(Null)"),('NFET Data'!$AE39&lt;&gt;"(Null)"),('NFET Data'!$AD39&lt;&gt;"(Null)"),('NFET Data'!$AC39&lt;&gt;"(Null)")))</f>
        <v>0</v>
      </c>
      <c r="O39" s="20" t="b">
        <f>AND(((VGS_DR)&gt;=8),((VGS_DR)&lt;10),OR(('NFET Data'!$AH39&lt;&gt;"(Null)"),('NFET Data'!$AG39&lt;&gt;"(Null)"),('NFET Data'!$AF39&lt;&gt;"(Null)"),('NFET Data'!$AE39&lt;&gt;"(Null)"),('NFET Data'!$AD39&lt;&gt;"(Null)"),('NFET Data'!$AC39&lt;&gt;"(Null)")))</f>
        <v>0</v>
      </c>
      <c r="P39" s="20" t="b">
        <f>AND(((VGS_DR)&gt;=10),OR(('NFET Data'!$AI39&lt;&gt;"(Null)"),('NFET Data'!$AH39&lt;&gt;"(Null)"),('NFET Data'!$AG39&lt;&gt;"(Null)"),('NFET Data'!$AF39&lt;&gt;"(Null)"),('NFET Data'!$AE39&lt;&gt;"(Null)"),('NFET Data'!$AD39&lt;&gt;"(Null)"),('NFET Data'!$AC39&lt;&gt;"(Null)")))</f>
        <v>0</v>
      </c>
      <c r="Q39" s="20" t="b">
        <f t="shared" si="1"/>
        <v>1</v>
      </c>
      <c r="R39" s="20" t="b">
        <f t="shared" si="2"/>
        <v>1</v>
      </c>
    </row>
    <row r="40" spans="1:18" x14ac:dyDescent="0.25">
      <c r="A40" s="20" t="str">
        <f>IF(R40,Load_Switch_NFET[[#This Row],[PARTNUMBER]],"")</f>
        <v>CSD17305Q5A</v>
      </c>
      <c r="B40" t="s">
        <v>188</v>
      </c>
      <c r="C40" s="20" t="b">
        <f>AND((Load_Switch_NFET[[#This Row],[VDSMAX]]&gt;=Vi*1.1),(Load_Switch_NFET[[#This Row],[VGSMAX]]&gt;=(VGS_DR)*1.1),(Load_Switch_NFET[[#This Row],[IDSMAX]]&gt;=Io),VGS_DR&gt;=1.8)</f>
        <v>1</v>
      </c>
      <c r="D40" s="20" t="b">
        <f>AND(Vi&lt;=27,Load_Switch_NFET[[#This Row],[VDSMAX]]&lt;=30)</f>
        <v>1</v>
      </c>
      <c r="E40" s="20" t="b">
        <f>AND(Vi&lt;=36,Vi&gt;=20,Load_Switch_NFET[[#This Row],[VDSMAX]]=40)</f>
        <v>0</v>
      </c>
      <c r="F40" s="20" t="b">
        <f>AND(Vi&lt;=54,Vi&gt;=25,Load_Switch_NFET[[#This Row],[VDSMAX]]=60)</f>
        <v>0</v>
      </c>
      <c r="G40" s="20" t="b">
        <f>AND(Vi&lt;=72,Vi&gt;=36,Load_Switch_NFET[[#This Row],[VDSMAX]]=80)</f>
        <v>0</v>
      </c>
      <c r="H40" s="20" t="b">
        <f>AND(Vi&lt;=90,Vi&gt;=48,Load_Switch_NFET[[#This Row],[VDSMAX]]=100)</f>
        <v>0</v>
      </c>
      <c r="I40" s="20" t="b">
        <f t="shared" si="0"/>
        <v>1</v>
      </c>
      <c r="J40" s="20" t="b">
        <f>AND(((VGS_DR)&lt;2.5),('NFET Data'!$AC40&lt;&gt;"(Null)"))</f>
        <v>0</v>
      </c>
      <c r="K40" s="20" t="b">
        <f>AND(((VGS_DR)&gt;=2.5),((VGS_DR)&lt;3),OR(('NFET Data'!$AD40&lt;&gt;"(Null)"),('NFET Data'!$AC40&lt;&gt;"(Null)")))</f>
        <v>0</v>
      </c>
      <c r="L40" s="20" t="b">
        <f>AND(((VGS_DR)&gt;=3),((VGS_DR)&lt;4.5),OR(('NFET Data'!$AE40&lt;&gt;"(Null)"),('NFET Data'!$AD40&lt;&gt;"(Null)"),('NFET Data'!$AC40&lt;&gt;"(Null)")))</f>
        <v>0</v>
      </c>
      <c r="M40" s="20" t="b">
        <f>AND(((VGS_DR)&gt;=4.5),((VGS_DR)&lt;6),OR(('NFET Data'!$AF40&lt;&gt;"(Null)"),('NFET Data'!$AE40&lt;&gt;"(Null)"),('NFET Data'!$AD40&lt;&gt;"(Null)"),('NFET Data'!$AC40&lt;&gt;"(Null)")))</f>
        <v>1</v>
      </c>
      <c r="N40" s="20" t="b">
        <f>AND(((VGS_DR)&gt;=6),((VGS_DR)&lt;8),OR(('NFET Data'!$AG40&lt;&gt;"(Null)"),('NFET Data'!$AF40&lt;&gt;"(Null)"),('NFET Data'!$AE40&lt;&gt;"(Null)"),('NFET Data'!$AD40&lt;&gt;"(Null)"),('NFET Data'!$AC40&lt;&gt;"(Null)")))</f>
        <v>0</v>
      </c>
      <c r="O40" s="20" t="b">
        <f>AND(((VGS_DR)&gt;=8),((VGS_DR)&lt;10),OR(('NFET Data'!$AH40&lt;&gt;"(Null)"),('NFET Data'!$AG40&lt;&gt;"(Null)"),('NFET Data'!$AF40&lt;&gt;"(Null)"),('NFET Data'!$AE40&lt;&gt;"(Null)"),('NFET Data'!$AD40&lt;&gt;"(Null)"),('NFET Data'!$AC40&lt;&gt;"(Null)")))</f>
        <v>0</v>
      </c>
      <c r="P40" s="20" t="b">
        <f>AND(((VGS_DR)&gt;=10),OR(('NFET Data'!$AI40&lt;&gt;"(Null)"),('NFET Data'!$AH40&lt;&gt;"(Null)"),('NFET Data'!$AG40&lt;&gt;"(Null)"),('NFET Data'!$AF40&lt;&gt;"(Null)"),('NFET Data'!$AE40&lt;&gt;"(Null)"),('NFET Data'!$AD40&lt;&gt;"(Null)"),('NFET Data'!$AC40&lt;&gt;"(Null)")))</f>
        <v>0</v>
      </c>
      <c r="Q40" s="20" t="b">
        <f t="shared" si="1"/>
        <v>1</v>
      </c>
      <c r="R40" s="20" t="b">
        <f t="shared" si="2"/>
        <v>1</v>
      </c>
    </row>
    <row r="41" spans="1:18" x14ac:dyDescent="0.25">
      <c r="A41" s="20" t="str">
        <f>IF(R41,Load_Switch_NFET[[#This Row],[PARTNUMBER]],"")</f>
        <v>CSD17306Q5A</v>
      </c>
      <c r="B41" t="s">
        <v>190</v>
      </c>
      <c r="C41" s="20" t="b">
        <f>AND((Load_Switch_NFET[[#This Row],[VDSMAX]]&gt;=Vi*1.1),(Load_Switch_NFET[[#This Row],[VGSMAX]]&gt;=(VGS_DR)*1.1),(Load_Switch_NFET[[#This Row],[IDSMAX]]&gt;=Io),VGS_DR&gt;=1.8)</f>
        <v>1</v>
      </c>
      <c r="D41" s="20" t="b">
        <f>AND(Vi&lt;=27,Load_Switch_NFET[[#This Row],[VDSMAX]]&lt;=30)</f>
        <v>1</v>
      </c>
      <c r="E41" s="20" t="b">
        <f>AND(Vi&lt;=36,Vi&gt;=20,Load_Switch_NFET[[#This Row],[VDSMAX]]=40)</f>
        <v>0</v>
      </c>
      <c r="F41" s="20" t="b">
        <f>AND(Vi&lt;=54,Vi&gt;=25,Load_Switch_NFET[[#This Row],[VDSMAX]]=60)</f>
        <v>0</v>
      </c>
      <c r="G41" s="20" t="b">
        <f>AND(Vi&lt;=72,Vi&gt;=36,Load_Switch_NFET[[#This Row],[VDSMAX]]=80)</f>
        <v>0</v>
      </c>
      <c r="H41" s="20" t="b">
        <f>AND(Vi&lt;=90,Vi&gt;=48,Load_Switch_NFET[[#This Row],[VDSMAX]]=100)</f>
        <v>0</v>
      </c>
      <c r="I41" s="20" t="b">
        <f t="shared" si="0"/>
        <v>1</v>
      </c>
      <c r="J41" s="20" t="b">
        <f>AND(((VGS_DR)&lt;2.5),('NFET Data'!$AC41&lt;&gt;"(Null)"))</f>
        <v>0</v>
      </c>
      <c r="K41" s="20" t="b">
        <f>AND(((VGS_DR)&gt;=2.5),((VGS_DR)&lt;3),OR(('NFET Data'!$AD41&lt;&gt;"(Null)"),('NFET Data'!$AC41&lt;&gt;"(Null)")))</f>
        <v>0</v>
      </c>
      <c r="L41" s="20" t="b">
        <f>AND(((VGS_DR)&gt;=3),((VGS_DR)&lt;4.5),OR(('NFET Data'!$AE41&lt;&gt;"(Null)"),('NFET Data'!$AD41&lt;&gt;"(Null)"),('NFET Data'!$AC41&lt;&gt;"(Null)")))</f>
        <v>0</v>
      </c>
      <c r="M41" s="20" t="b">
        <f>AND(((VGS_DR)&gt;=4.5),((VGS_DR)&lt;6),OR(('NFET Data'!$AF41&lt;&gt;"(Null)"),('NFET Data'!$AE41&lt;&gt;"(Null)"),('NFET Data'!$AD41&lt;&gt;"(Null)"),('NFET Data'!$AC41&lt;&gt;"(Null)")))</f>
        <v>1</v>
      </c>
      <c r="N41" s="20" t="b">
        <f>AND(((VGS_DR)&gt;=6),((VGS_DR)&lt;8),OR(('NFET Data'!$AG41&lt;&gt;"(Null)"),('NFET Data'!$AF41&lt;&gt;"(Null)"),('NFET Data'!$AE41&lt;&gt;"(Null)"),('NFET Data'!$AD41&lt;&gt;"(Null)"),('NFET Data'!$AC41&lt;&gt;"(Null)")))</f>
        <v>0</v>
      </c>
      <c r="O41" s="20" t="b">
        <f>AND(((VGS_DR)&gt;=8),((VGS_DR)&lt;10),OR(('NFET Data'!$AH41&lt;&gt;"(Null)"),('NFET Data'!$AG41&lt;&gt;"(Null)"),('NFET Data'!$AF41&lt;&gt;"(Null)"),('NFET Data'!$AE41&lt;&gt;"(Null)"),('NFET Data'!$AD41&lt;&gt;"(Null)"),('NFET Data'!$AC41&lt;&gt;"(Null)")))</f>
        <v>0</v>
      </c>
      <c r="P41" s="20" t="b">
        <f>AND(((VGS_DR)&gt;=10),OR(('NFET Data'!$AI41&lt;&gt;"(Null)"),('NFET Data'!$AH41&lt;&gt;"(Null)"),('NFET Data'!$AG41&lt;&gt;"(Null)"),('NFET Data'!$AF41&lt;&gt;"(Null)"),('NFET Data'!$AE41&lt;&gt;"(Null)"),('NFET Data'!$AD41&lt;&gt;"(Null)"),('NFET Data'!$AC41&lt;&gt;"(Null)")))</f>
        <v>0</v>
      </c>
      <c r="Q41" s="20" t="b">
        <f t="shared" si="1"/>
        <v>1</v>
      </c>
      <c r="R41" s="20" t="b">
        <f t="shared" si="2"/>
        <v>1</v>
      </c>
    </row>
    <row r="42" spans="1:18" x14ac:dyDescent="0.25">
      <c r="A42" s="20" t="str">
        <f>IF(R42,Load_Switch_NFET[[#This Row],[PARTNUMBER]],"")</f>
        <v>CSD17307Q5A</v>
      </c>
      <c r="B42" t="s">
        <v>192</v>
      </c>
      <c r="C42" s="20" t="b">
        <f>AND((Load_Switch_NFET[[#This Row],[VDSMAX]]&gt;=Vi*1.1),(Load_Switch_NFET[[#This Row],[VGSMAX]]&gt;=(VGS_DR)*1.1),(Load_Switch_NFET[[#This Row],[IDSMAX]]&gt;=Io),VGS_DR&gt;=1.8)</f>
        <v>1</v>
      </c>
      <c r="D42" s="20" t="b">
        <f>AND(Vi&lt;=27,Load_Switch_NFET[[#This Row],[VDSMAX]]&lt;=30)</f>
        <v>1</v>
      </c>
      <c r="E42" s="20" t="b">
        <f>AND(Vi&lt;=36,Vi&gt;=20,Load_Switch_NFET[[#This Row],[VDSMAX]]=40)</f>
        <v>0</v>
      </c>
      <c r="F42" s="20" t="b">
        <f>AND(Vi&lt;=54,Vi&gt;=25,Load_Switch_NFET[[#This Row],[VDSMAX]]=60)</f>
        <v>0</v>
      </c>
      <c r="G42" s="20" t="b">
        <f>AND(Vi&lt;=72,Vi&gt;=36,Load_Switch_NFET[[#This Row],[VDSMAX]]=80)</f>
        <v>0</v>
      </c>
      <c r="H42" s="20" t="b">
        <f>AND(Vi&lt;=90,Vi&gt;=48,Load_Switch_NFET[[#This Row],[VDSMAX]]=100)</f>
        <v>0</v>
      </c>
      <c r="I42" s="20" t="b">
        <f t="shared" si="0"/>
        <v>1</v>
      </c>
      <c r="J42" s="20" t="b">
        <f>AND(((VGS_DR)&lt;2.5),('NFET Data'!$AC42&lt;&gt;"(Null)"))</f>
        <v>0</v>
      </c>
      <c r="K42" s="20" t="b">
        <f>AND(((VGS_DR)&gt;=2.5),((VGS_DR)&lt;3),OR(('NFET Data'!$AD42&lt;&gt;"(Null)"),('NFET Data'!$AC42&lt;&gt;"(Null)")))</f>
        <v>0</v>
      </c>
      <c r="L42" s="20" t="b">
        <f>AND(((VGS_DR)&gt;=3),((VGS_DR)&lt;4.5),OR(('NFET Data'!$AE42&lt;&gt;"(Null)"),('NFET Data'!$AD42&lt;&gt;"(Null)"),('NFET Data'!$AC42&lt;&gt;"(Null)")))</f>
        <v>0</v>
      </c>
      <c r="M42" s="20" t="b">
        <f>AND(((VGS_DR)&gt;=4.5),((VGS_DR)&lt;6),OR(('NFET Data'!$AF42&lt;&gt;"(Null)"),('NFET Data'!$AE42&lt;&gt;"(Null)"),('NFET Data'!$AD42&lt;&gt;"(Null)"),('NFET Data'!$AC42&lt;&gt;"(Null)")))</f>
        <v>1</v>
      </c>
      <c r="N42" s="20" t="b">
        <f>AND(((VGS_DR)&gt;=6),((VGS_DR)&lt;8),OR(('NFET Data'!$AG42&lt;&gt;"(Null)"),('NFET Data'!$AF42&lt;&gt;"(Null)"),('NFET Data'!$AE42&lt;&gt;"(Null)"),('NFET Data'!$AD42&lt;&gt;"(Null)"),('NFET Data'!$AC42&lt;&gt;"(Null)")))</f>
        <v>0</v>
      </c>
      <c r="O42" s="20" t="b">
        <f>AND(((VGS_DR)&gt;=8),((VGS_DR)&lt;10),OR(('NFET Data'!$AH42&lt;&gt;"(Null)"),('NFET Data'!$AG42&lt;&gt;"(Null)"),('NFET Data'!$AF42&lt;&gt;"(Null)"),('NFET Data'!$AE42&lt;&gt;"(Null)"),('NFET Data'!$AD42&lt;&gt;"(Null)"),('NFET Data'!$AC42&lt;&gt;"(Null)")))</f>
        <v>0</v>
      </c>
      <c r="P42" s="20" t="b">
        <f>AND(((VGS_DR)&gt;=10),OR(('NFET Data'!$AI42&lt;&gt;"(Null)"),('NFET Data'!$AH42&lt;&gt;"(Null)"),('NFET Data'!$AG42&lt;&gt;"(Null)"),('NFET Data'!$AF42&lt;&gt;"(Null)"),('NFET Data'!$AE42&lt;&gt;"(Null)"),('NFET Data'!$AD42&lt;&gt;"(Null)"),('NFET Data'!$AC42&lt;&gt;"(Null)")))</f>
        <v>0</v>
      </c>
      <c r="Q42" s="20" t="b">
        <f t="shared" si="1"/>
        <v>1</v>
      </c>
      <c r="R42" s="20" t="b">
        <f t="shared" si="2"/>
        <v>1</v>
      </c>
    </row>
    <row r="43" spans="1:18" x14ac:dyDescent="0.25">
      <c r="A43" s="20" t="str">
        <f>IF(R43,Load_Switch_NFET[[#This Row],[PARTNUMBER]],"")</f>
        <v>CSD17308Q3</v>
      </c>
      <c r="B43" t="s">
        <v>194</v>
      </c>
      <c r="C43" s="20" t="b">
        <f>AND((Load_Switch_NFET[[#This Row],[VDSMAX]]&gt;=Vi*1.1),(Load_Switch_NFET[[#This Row],[VGSMAX]]&gt;=(VGS_DR)*1.1),(Load_Switch_NFET[[#This Row],[IDSMAX]]&gt;=Io),VGS_DR&gt;=1.8)</f>
        <v>1</v>
      </c>
      <c r="D43" s="20" t="b">
        <f>AND(Vi&lt;=27,Load_Switch_NFET[[#This Row],[VDSMAX]]&lt;=30)</f>
        <v>1</v>
      </c>
      <c r="E43" s="20" t="b">
        <f>AND(Vi&lt;=36,Vi&gt;=20,Load_Switch_NFET[[#This Row],[VDSMAX]]=40)</f>
        <v>0</v>
      </c>
      <c r="F43" s="20" t="b">
        <f>AND(Vi&lt;=54,Vi&gt;=25,Load_Switch_NFET[[#This Row],[VDSMAX]]=60)</f>
        <v>0</v>
      </c>
      <c r="G43" s="20" t="b">
        <f>AND(Vi&lt;=72,Vi&gt;=36,Load_Switch_NFET[[#This Row],[VDSMAX]]=80)</f>
        <v>0</v>
      </c>
      <c r="H43" s="20" t="b">
        <f>AND(Vi&lt;=90,Vi&gt;=48,Load_Switch_NFET[[#This Row],[VDSMAX]]=100)</f>
        <v>0</v>
      </c>
      <c r="I43" s="20" t="b">
        <f t="shared" si="0"/>
        <v>1</v>
      </c>
      <c r="J43" s="20" t="b">
        <f>AND(((VGS_DR)&lt;2.5),('NFET Data'!$AC43&lt;&gt;"(Null)"))</f>
        <v>0</v>
      </c>
      <c r="K43" s="20" t="b">
        <f>AND(((VGS_DR)&gt;=2.5),((VGS_DR)&lt;3),OR(('NFET Data'!$AD43&lt;&gt;"(Null)"),('NFET Data'!$AC43&lt;&gt;"(Null)")))</f>
        <v>0</v>
      </c>
      <c r="L43" s="20" t="b">
        <f>AND(((VGS_DR)&gt;=3),((VGS_DR)&lt;4.5),OR(('NFET Data'!$AE43&lt;&gt;"(Null)"),('NFET Data'!$AD43&lt;&gt;"(Null)"),('NFET Data'!$AC43&lt;&gt;"(Null)")))</f>
        <v>0</v>
      </c>
      <c r="M43" s="20" t="b">
        <f>AND(((VGS_DR)&gt;=4.5),((VGS_DR)&lt;6),OR(('NFET Data'!$AF43&lt;&gt;"(Null)"),('NFET Data'!$AE43&lt;&gt;"(Null)"),('NFET Data'!$AD43&lt;&gt;"(Null)"),('NFET Data'!$AC43&lt;&gt;"(Null)")))</f>
        <v>1</v>
      </c>
      <c r="N43" s="20" t="b">
        <f>AND(((VGS_DR)&gt;=6),((VGS_DR)&lt;8),OR(('NFET Data'!$AG43&lt;&gt;"(Null)"),('NFET Data'!$AF43&lt;&gt;"(Null)"),('NFET Data'!$AE43&lt;&gt;"(Null)"),('NFET Data'!$AD43&lt;&gt;"(Null)"),('NFET Data'!$AC43&lt;&gt;"(Null)")))</f>
        <v>0</v>
      </c>
      <c r="O43" s="20" t="b">
        <f>AND(((VGS_DR)&gt;=8),((VGS_DR)&lt;10),OR(('NFET Data'!$AH43&lt;&gt;"(Null)"),('NFET Data'!$AG43&lt;&gt;"(Null)"),('NFET Data'!$AF43&lt;&gt;"(Null)"),('NFET Data'!$AE43&lt;&gt;"(Null)"),('NFET Data'!$AD43&lt;&gt;"(Null)"),('NFET Data'!$AC43&lt;&gt;"(Null)")))</f>
        <v>0</v>
      </c>
      <c r="P43" s="20" t="b">
        <f>AND(((VGS_DR)&gt;=10),OR(('NFET Data'!$AI43&lt;&gt;"(Null)"),('NFET Data'!$AH43&lt;&gt;"(Null)"),('NFET Data'!$AG43&lt;&gt;"(Null)"),('NFET Data'!$AF43&lt;&gt;"(Null)"),('NFET Data'!$AE43&lt;&gt;"(Null)"),('NFET Data'!$AD43&lt;&gt;"(Null)"),('NFET Data'!$AC43&lt;&gt;"(Null)")))</f>
        <v>0</v>
      </c>
      <c r="Q43" s="20" t="b">
        <f t="shared" si="1"/>
        <v>1</v>
      </c>
      <c r="R43" s="20" t="b">
        <f t="shared" si="2"/>
        <v>1</v>
      </c>
    </row>
    <row r="44" spans="1:18" x14ac:dyDescent="0.25">
      <c r="A44" s="20" t="str">
        <f>IF(R44,Load_Switch_NFET[[#This Row],[PARTNUMBER]],"")</f>
        <v>CSD17309Q3</v>
      </c>
      <c r="B44" t="s">
        <v>196</v>
      </c>
      <c r="C44" s="20" t="b">
        <f>AND((Load_Switch_NFET[[#This Row],[VDSMAX]]&gt;=Vi*1.1),(Load_Switch_NFET[[#This Row],[VGSMAX]]&gt;=(VGS_DR)*1.1),(Load_Switch_NFET[[#This Row],[IDSMAX]]&gt;=Io),VGS_DR&gt;=1.8)</f>
        <v>1</v>
      </c>
      <c r="D44" s="20" t="b">
        <f>AND(Vi&lt;=27,Load_Switch_NFET[[#This Row],[VDSMAX]]&lt;=30)</f>
        <v>1</v>
      </c>
      <c r="E44" s="20" t="b">
        <f>AND(Vi&lt;=36,Vi&gt;=20,Load_Switch_NFET[[#This Row],[VDSMAX]]=40)</f>
        <v>0</v>
      </c>
      <c r="F44" s="20" t="b">
        <f>AND(Vi&lt;=54,Vi&gt;=25,Load_Switch_NFET[[#This Row],[VDSMAX]]=60)</f>
        <v>0</v>
      </c>
      <c r="G44" s="20" t="b">
        <f>AND(Vi&lt;=72,Vi&gt;=36,Load_Switch_NFET[[#This Row],[VDSMAX]]=80)</f>
        <v>0</v>
      </c>
      <c r="H44" s="20" t="b">
        <f>AND(Vi&lt;=90,Vi&gt;=48,Load_Switch_NFET[[#This Row],[VDSMAX]]=100)</f>
        <v>0</v>
      </c>
      <c r="I44" s="20" t="b">
        <f t="shared" si="0"/>
        <v>1</v>
      </c>
      <c r="J44" s="20" t="b">
        <f>AND(((VGS_DR)&lt;2.5),('NFET Data'!$AC44&lt;&gt;"(Null)"))</f>
        <v>0</v>
      </c>
      <c r="K44" s="20" t="b">
        <f>AND(((VGS_DR)&gt;=2.5),((VGS_DR)&lt;3),OR(('NFET Data'!$AD44&lt;&gt;"(Null)"),('NFET Data'!$AC44&lt;&gt;"(Null)")))</f>
        <v>0</v>
      </c>
      <c r="L44" s="20" t="b">
        <f>AND(((VGS_DR)&gt;=3),((VGS_DR)&lt;4.5),OR(('NFET Data'!$AE44&lt;&gt;"(Null)"),('NFET Data'!$AD44&lt;&gt;"(Null)"),('NFET Data'!$AC44&lt;&gt;"(Null)")))</f>
        <v>0</v>
      </c>
      <c r="M44" s="20" t="b">
        <f>AND(((VGS_DR)&gt;=4.5),((VGS_DR)&lt;6),OR(('NFET Data'!$AF44&lt;&gt;"(Null)"),('NFET Data'!$AE44&lt;&gt;"(Null)"),('NFET Data'!$AD44&lt;&gt;"(Null)"),('NFET Data'!$AC44&lt;&gt;"(Null)")))</f>
        <v>1</v>
      </c>
      <c r="N44" s="20" t="b">
        <f>AND(((VGS_DR)&gt;=6),((VGS_DR)&lt;8),OR(('NFET Data'!$AG44&lt;&gt;"(Null)"),('NFET Data'!$AF44&lt;&gt;"(Null)"),('NFET Data'!$AE44&lt;&gt;"(Null)"),('NFET Data'!$AD44&lt;&gt;"(Null)"),('NFET Data'!$AC44&lt;&gt;"(Null)")))</f>
        <v>0</v>
      </c>
      <c r="O44" s="20" t="b">
        <f>AND(((VGS_DR)&gt;=8),((VGS_DR)&lt;10),OR(('NFET Data'!$AH44&lt;&gt;"(Null)"),('NFET Data'!$AG44&lt;&gt;"(Null)"),('NFET Data'!$AF44&lt;&gt;"(Null)"),('NFET Data'!$AE44&lt;&gt;"(Null)"),('NFET Data'!$AD44&lt;&gt;"(Null)"),('NFET Data'!$AC44&lt;&gt;"(Null)")))</f>
        <v>0</v>
      </c>
      <c r="P44" s="20" t="b">
        <f>AND(((VGS_DR)&gt;=10),OR(('NFET Data'!$AI44&lt;&gt;"(Null)"),('NFET Data'!$AH44&lt;&gt;"(Null)"),('NFET Data'!$AG44&lt;&gt;"(Null)"),('NFET Data'!$AF44&lt;&gt;"(Null)"),('NFET Data'!$AE44&lt;&gt;"(Null)"),('NFET Data'!$AD44&lt;&gt;"(Null)"),('NFET Data'!$AC44&lt;&gt;"(Null)")))</f>
        <v>0</v>
      </c>
      <c r="Q44" s="20" t="b">
        <f t="shared" si="1"/>
        <v>1</v>
      </c>
      <c r="R44" s="20" t="b">
        <f t="shared" si="2"/>
        <v>1</v>
      </c>
    </row>
    <row r="45" spans="1:18" x14ac:dyDescent="0.25">
      <c r="A45" s="20" t="str">
        <f>IF(R45,Load_Switch_NFET[[#This Row],[PARTNUMBER]],"")</f>
        <v>CSD17310Q5A</v>
      </c>
      <c r="B45" t="s">
        <v>198</v>
      </c>
      <c r="C45" s="20" t="b">
        <f>AND((Load_Switch_NFET[[#This Row],[VDSMAX]]&gt;=Vi*1.1),(Load_Switch_NFET[[#This Row],[VGSMAX]]&gt;=(VGS_DR)*1.1),(Load_Switch_NFET[[#This Row],[IDSMAX]]&gt;=Io),VGS_DR&gt;=1.8)</f>
        <v>1</v>
      </c>
      <c r="D45" s="20" t="b">
        <f>AND(Vi&lt;=27,Load_Switch_NFET[[#This Row],[VDSMAX]]&lt;=30)</f>
        <v>1</v>
      </c>
      <c r="E45" s="20" t="b">
        <f>AND(Vi&lt;=36,Vi&gt;=20,Load_Switch_NFET[[#This Row],[VDSMAX]]=40)</f>
        <v>0</v>
      </c>
      <c r="F45" s="20" t="b">
        <f>AND(Vi&lt;=54,Vi&gt;=25,Load_Switch_NFET[[#This Row],[VDSMAX]]=60)</f>
        <v>0</v>
      </c>
      <c r="G45" s="20" t="b">
        <f>AND(Vi&lt;=72,Vi&gt;=36,Load_Switch_NFET[[#This Row],[VDSMAX]]=80)</f>
        <v>0</v>
      </c>
      <c r="H45" s="20" t="b">
        <f>AND(Vi&lt;=90,Vi&gt;=48,Load_Switch_NFET[[#This Row],[VDSMAX]]=100)</f>
        <v>0</v>
      </c>
      <c r="I45" s="20" t="b">
        <f t="shared" si="0"/>
        <v>1</v>
      </c>
      <c r="J45" s="20" t="b">
        <f>AND(((VGS_DR)&lt;2.5),('NFET Data'!$AC45&lt;&gt;"(Null)"))</f>
        <v>0</v>
      </c>
      <c r="K45" s="20" t="b">
        <f>AND(((VGS_DR)&gt;=2.5),((VGS_DR)&lt;3),OR(('NFET Data'!$AD45&lt;&gt;"(Null)"),('NFET Data'!$AC45&lt;&gt;"(Null)")))</f>
        <v>0</v>
      </c>
      <c r="L45" s="20" t="b">
        <f>AND(((VGS_DR)&gt;=3),((VGS_DR)&lt;4.5),OR(('NFET Data'!$AE45&lt;&gt;"(Null)"),('NFET Data'!$AD45&lt;&gt;"(Null)"),('NFET Data'!$AC45&lt;&gt;"(Null)")))</f>
        <v>0</v>
      </c>
      <c r="M45" s="20" t="b">
        <f>AND(((VGS_DR)&gt;=4.5),((VGS_DR)&lt;6),OR(('NFET Data'!$AF45&lt;&gt;"(Null)"),('NFET Data'!$AE45&lt;&gt;"(Null)"),('NFET Data'!$AD45&lt;&gt;"(Null)"),('NFET Data'!$AC45&lt;&gt;"(Null)")))</f>
        <v>1</v>
      </c>
      <c r="N45" s="20" t="b">
        <f>AND(((VGS_DR)&gt;=6),((VGS_DR)&lt;8),OR(('NFET Data'!$AG45&lt;&gt;"(Null)"),('NFET Data'!$AF45&lt;&gt;"(Null)"),('NFET Data'!$AE45&lt;&gt;"(Null)"),('NFET Data'!$AD45&lt;&gt;"(Null)"),('NFET Data'!$AC45&lt;&gt;"(Null)")))</f>
        <v>0</v>
      </c>
      <c r="O45" s="20" t="b">
        <f>AND(((VGS_DR)&gt;=8),((VGS_DR)&lt;10),OR(('NFET Data'!$AH45&lt;&gt;"(Null)"),('NFET Data'!$AG45&lt;&gt;"(Null)"),('NFET Data'!$AF45&lt;&gt;"(Null)"),('NFET Data'!$AE45&lt;&gt;"(Null)"),('NFET Data'!$AD45&lt;&gt;"(Null)"),('NFET Data'!$AC45&lt;&gt;"(Null)")))</f>
        <v>0</v>
      </c>
      <c r="P45" s="20" t="b">
        <f>AND(((VGS_DR)&gt;=10),OR(('NFET Data'!$AI45&lt;&gt;"(Null)"),('NFET Data'!$AH45&lt;&gt;"(Null)"),('NFET Data'!$AG45&lt;&gt;"(Null)"),('NFET Data'!$AF45&lt;&gt;"(Null)"),('NFET Data'!$AE45&lt;&gt;"(Null)"),('NFET Data'!$AD45&lt;&gt;"(Null)"),('NFET Data'!$AC45&lt;&gt;"(Null)")))</f>
        <v>0</v>
      </c>
      <c r="Q45" s="20" t="b">
        <f t="shared" si="1"/>
        <v>1</v>
      </c>
      <c r="R45" s="20" t="b">
        <f t="shared" si="2"/>
        <v>1</v>
      </c>
    </row>
    <row r="46" spans="1:18" x14ac:dyDescent="0.25">
      <c r="A46" s="20" t="str">
        <f>IF(R46,Load_Switch_NFET[[#This Row],[PARTNUMBER]],"")</f>
        <v>CSD17311Q5</v>
      </c>
      <c r="B46" t="s">
        <v>201</v>
      </c>
      <c r="C46" s="20" t="b">
        <f>AND((Load_Switch_NFET[[#This Row],[VDSMAX]]&gt;=Vi*1.1),(Load_Switch_NFET[[#This Row],[VGSMAX]]&gt;=(VGS_DR)*1.1),(Load_Switch_NFET[[#This Row],[IDSMAX]]&gt;=Io),VGS_DR&gt;=1.8)</f>
        <v>1</v>
      </c>
      <c r="D46" s="20" t="b">
        <f>AND(Vi&lt;=27,Load_Switch_NFET[[#This Row],[VDSMAX]]&lt;=30)</f>
        <v>1</v>
      </c>
      <c r="E46" s="20" t="b">
        <f>AND(Vi&lt;=36,Vi&gt;=20,Load_Switch_NFET[[#This Row],[VDSMAX]]=40)</f>
        <v>0</v>
      </c>
      <c r="F46" s="20" t="b">
        <f>AND(Vi&lt;=54,Vi&gt;=25,Load_Switch_NFET[[#This Row],[VDSMAX]]=60)</f>
        <v>0</v>
      </c>
      <c r="G46" s="20" t="b">
        <f>AND(Vi&lt;=72,Vi&gt;=36,Load_Switch_NFET[[#This Row],[VDSMAX]]=80)</f>
        <v>0</v>
      </c>
      <c r="H46" s="20" t="b">
        <f>AND(Vi&lt;=90,Vi&gt;=48,Load_Switch_NFET[[#This Row],[VDSMAX]]=100)</f>
        <v>0</v>
      </c>
      <c r="I46" s="20" t="b">
        <f t="shared" si="0"/>
        <v>1</v>
      </c>
      <c r="J46" s="20" t="b">
        <f>AND(((VGS_DR)&lt;2.5),('NFET Data'!$AC46&lt;&gt;"(Null)"))</f>
        <v>0</v>
      </c>
      <c r="K46" s="20" t="b">
        <f>AND(((VGS_DR)&gt;=2.5),((VGS_DR)&lt;3),OR(('NFET Data'!$AD46&lt;&gt;"(Null)"),('NFET Data'!$AC46&lt;&gt;"(Null)")))</f>
        <v>0</v>
      </c>
      <c r="L46" s="20" t="b">
        <f>AND(((VGS_DR)&gt;=3),((VGS_DR)&lt;4.5),OR(('NFET Data'!$AE46&lt;&gt;"(Null)"),('NFET Data'!$AD46&lt;&gt;"(Null)"),('NFET Data'!$AC46&lt;&gt;"(Null)")))</f>
        <v>0</v>
      </c>
      <c r="M46" s="20" t="b">
        <f>AND(((VGS_DR)&gt;=4.5),((VGS_DR)&lt;6),OR(('NFET Data'!$AF46&lt;&gt;"(Null)"),('NFET Data'!$AE46&lt;&gt;"(Null)"),('NFET Data'!$AD46&lt;&gt;"(Null)"),('NFET Data'!$AC46&lt;&gt;"(Null)")))</f>
        <v>1</v>
      </c>
      <c r="N46" s="20" t="b">
        <f>AND(((VGS_DR)&gt;=6),((VGS_DR)&lt;8),OR(('NFET Data'!$AG46&lt;&gt;"(Null)"),('NFET Data'!$AF46&lt;&gt;"(Null)"),('NFET Data'!$AE46&lt;&gt;"(Null)"),('NFET Data'!$AD46&lt;&gt;"(Null)"),('NFET Data'!$AC46&lt;&gt;"(Null)")))</f>
        <v>0</v>
      </c>
      <c r="O46" s="20" t="b">
        <f>AND(((VGS_DR)&gt;=8),((VGS_DR)&lt;10),OR(('NFET Data'!$AH46&lt;&gt;"(Null)"),('NFET Data'!$AG46&lt;&gt;"(Null)"),('NFET Data'!$AF46&lt;&gt;"(Null)"),('NFET Data'!$AE46&lt;&gt;"(Null)"),('NFET Data'!$AD46&lt;&gt;"(Null)"),('NFET Data'!$AC46&lt;&gt;"(Null)")))</f>
        <v>0</v>
      </c>
      <c r="P46" s="20" t="b">
        <f>AND(((VGS_DR)&gt;=10),OR(('NFET Data'!$AI46&lt;&gt;"(Null)"),('NFET Data'!$AH46&lt;&gt;"(Null)"),('NFET Data'!$AG46&lt;&gt;"(Null)"),('NFET Data'!$AF46&lt;&gt;"(Null)"),('NFET Data'!$AE46&lt;&gt;"(Null)"),('NFET Data'!$AD46&lt;&gt;"(Null)"),('NFET Data'!$AC46&lt;&gt;"(Null)")))</f>
        <v>0</v>
      </c>
      <c r="Q46" s="20" t="b">
        <f t="shared" si="1"/>
        <v>1</v>
      </c>
      <c r="R46" s="20" t="b">
        <f t="shared" si="2"/>
        <v>1</v>
      </c>
    </row>
    <row r="47" spans="1:18" x14ac:dyDescent="0.25">
      <c r="A47" s="20" t="str">
        <f>IF(R47,Load_Switch_NFET[[#This Row],[PARTNUMBER]],"")</f>
        <v>CSD17312Q5</v>
      </c>
      <c r="B47" t="s">
        <v>399</v>
      </c>
      <c r="C47" s="20" t="b">
        <f>AND((Load_Switch_NFET[[#This Row],[VDSMAX]]&gt;=Vi*1.1),(Load_Switch_NFET[[#This Row],[VGSMAX]]&gt;=(VGS_DR)*1.1),(Load_Switch_NFET[[#This Row],[IDSMAX]]&gt;=Io),VGS_DR&gt;=1.8)</f>
        <v>1</v>
      </c>
      <c r="D47" s="20" t="b">
        <f>AND(Vi&lt;=27,Load_Switch_NFET[[#This Row],[VDSMAX]]&lt;=30)</f>
        <v>1</v>
      </c>
      <c r="E47" s="20" t="b">
        <f>AND(Vi&lt;=36,Vi&gt;=20,Load_Switch_NFET[[#This Row],[VDSMAX]]=40)</f>
        <v>0</v>
      </c>
      <c r="F47" s="20" t="b">
        <f>AND(Vi&lt;=54,Vi&gt;=25,Load_Switch_NFET[[#This Row],[VDSMAX]]=60)</f>
        <v>0</v>
      </c>
      <c r="G47" s="20" t="b">
        <f>AND(Vi&lt;=72,Vi&gt;=36,Load_Switch_NFET[[#This Row],[VDSMAX]]=80)</f>
        <v>0</v>
      </c>
      <c r="H47" s="20" t="b">
        <f>AND(Vi&lt;=90,Vi&gt;=48,Load_Switch_NFET[[#This Row],[VDSMAX]]=100)</f>
        <v>0</v>
      </c>
      <c r="I47" s="20" t="b">
        <f t="shared" si="0"/>
        <v>1</v>
      </c>
      <c r="J47" s="20" t="b">
        <f>AND(((VGS_DR)&lt;2.5),('NFET Data'!$AC47&lt;&gt;"(Null)"))</f>
        <v>0</v>
      </c>
      <c r="K47" s="20" t="b">
        <f>AND(((VGS_DR)&gt;=2.5),((VGS_DR)&lt;3),OR(('NFET Data'!$AD47&lt;&gt;"(Null)"),('NFET Data'!$AC47&lt;&gt;"(Null)")))</f>
        <v>0</v>
      </c>
      <c r="L47" s="20" t="b">
        <f>AND(((VGS_DR)&gt;=3),((VGS_DR)&lt;4.5),OR(('NFET Data'!$AE47&lt;&gt;"(Null)"),('NFET Data'!$AD47&lt;&gt;"(Null)"),('NFET Data'!$AC47&lt;&gt;"(Null)")))</f>
        <v>0</v>
      </c>
      <c r="M47" s="20" t="b">
        <f>AND(((VGS_DR)&gt;=4.5),((VGS_DR)&lt;6),OR(('NFET Data'!$AF47&lt;&gt;"(Null)"),('NFET Data'!$AE47&lt;&gt;"(Null)"),('NFET Data'!$AD47&lt;&gt;"(Null)"),('NFET Data'!$AC47&lt;&gt;"(Null)")))</f>
        <v>1</v>
      </c>
      <c r="N47" s="20" t="b">
        <f>AND(((VGS_DR)&gt;=6),((VGS_DR)&lt;8),OR(('NFET Data'!$AG47&lt;&gt;"(Null)"),('NFET Data'!$AF47&lt;&gt;"(Null)"),('NFET Data'!$AE47&lt;&gt;"(Null)"),('NFET Data'!$AD47&lt;&gt;"(Null)"),('NFET Data'!$AC47&lt;&gt;"(Null)")))</f>
        <v>0</v>
      </c>
      <c r="O47" s="20" t="b">
        <f>AND(((VGS_DR)&gt;=8),((VGS_DR)&lt;10),OR(('NFET Data'!$AH47&lt;&gt;"(Null)"),('NFET Data'!$AG47&lt;&gt;"(Null)"),('NFET Data'!$AF47&lt;&gt;"(Null)"),('NFET Data'!$AE47&lt;&gt;"(Null)"),('NFET Data'!$AD47&lt;&gt;"(Null)"),('NFET Data'!$AC47&lt;&gt;"(Null)")))</f>
        <v>0</v>
      </c>
      <c r="P47" s="20" t="b">
        <f>AND(((VGS_DR)&gt;=10),OR(('NFET Data'!$AI47&lt;&gt;"(Null)"),('NFET Data'!$AH47&lt;&gt;"(Null)"),('NFET Data'!$AG47&lt;&gt;"(Null)"),('NFET Data'!$AF47&lt;&gt;"(Null)"),('NFET Data'!$AE47&lt;&gt;"(Null)"),('NFET Data'!$AD47&lt;&gt;"(Null)"),('NFET Data'!$AC47&lt;&gt;"(Null)")))</f>
        <v>0</v>
      </c>
      <c r="Q47" s="20" t="b">
        <f t="shared" si="1"/>
        <v>1</v>
      </c>
      <c r="R47" s="20" t="b">
        <f t="shared" si="2"/>
        <v>1</v>
      </c>
    </row>
    <row r="48" spans="1:18" x14ac:dyDescent="0.25">
      <c r="A48" s="20" t="str">
        <f>IF(R48,Load_Switch_NFET[[#This Row],[PARTNUMBER]],"")</f>
        <v>CSD17313Q2</v>
      </c>
      <c r="B48" t="s">
        <v>204</v>
      </c>
      <c r="C48" s="20" t="b">
        <f>AND((Load_Switch_NFET[[#This Row],[VDSMAX]]&gt;=Vi*1.1),(Load_Switch_NFET[[#This Row],[VGSMAX]]&gt;=(VGS_DR)*1.1),(Load_Switch_NFET[[#This Row],[IDSMAX]]&gt;=Io),VGS_DR&gt;=1.8)</f>
        <v>1</v>
      </c>
      <c r="D48" s="20" t="b">
        <f>AND(Vi&lt;=27,Load_Switch_NFET[[#This Row],[VDSMAX]]&lt;=30)</f>
        <v>1</v>
      </c>
      <c r="E48" s="20" t="b">
        <f>AND(Vi&lt;=36,Vi&gt;=20,Load_Switch_NFET[[#This Row],[VDSMAX]]=40)</f>
        <v>0</v>
      </c>
      <c r="F48" s="20" t="b">
        <f>AND(Vi&lt;=54,Vi&gt;=25,Load_Switch_NFET[[#This Row],[VDSMAX]]=60)</f>
        <v>0</v>
      </c>
      <c r="G48" s="20" t="b">
        <f>AND(Vi&lt;=72,Vi&gt;=36,Load_Switch_NFET[[#This Row],[VDSMAX]]=80)</f>
        <v>0</v>
      </c>
      <c r="H48" s="20" t="b">
        <f>AND(Vi&lt;=90,Vi&gt;=48,Load_Switch_NFET[[#This Row],[VDSMAX]]=100)</f>
        <v>0</v>
      </c>
      <c r="I48" s="20" t="b">
        <f t="shared" si="0"/>
        <v>1</v>
      </c>
      <c r="J48" s="20" t="b">
        <f>AND(((VGS_DR)&lt;2.5),('NFET Data'!$AC48&lt;&gt;"(Null)"))</f>
        <v>0</v>
      </c>
      <c r="K48" s="20" t="b">
        <f>AND(((VGS_DR)&gt;=2.5),((VGS_DR)&lt;3),OR(('NFET Data'!$AD48&lt;&gt;"(Null)"),('NFET Data'!$AC48&lt;&gt;"(Null)")))</f>
        <v>0</v>
      </c>
      <c r="L48" s="20" t="b">
        <f>AND(((VGS_DR)&gt;=3),((VGS_DR)&lt;4.5),OR(('NFET Data'!$AE48&lt;&gt;"(Null)"),('NFET Data'!$AD48&lt;&gt;"(Null)"),('NFET Data'!$AC48&lt;&gt;"(Null)")))</f>
        <v>0</v>
      </c>
      <c r="M48" s="20" t="b">
        <f>AND(((VGS_DR)&gt;=4.5),((VGS_DR)&lt;6),OR(('NFET Data'!$AF48&lt;&gt;"(Null)"),('NFET Data'!$AE48&lt;&gt;"(Null)"),('NFET Data'!$AD48&lt;&gt;"(Null)"),('NFET Data'!$AC48&lt;&gt;"(Null)")))</f>
        <v>1</v>
      </c>
      <c r="N48" s="20" t="b">
        <f>AND(((VGS_DR)&gt;=6),((VGS_DR)&lt;8),OR(('NFET Data'!$AG48&lt;&gt;"(Null)"),('NFET Data'!$AF48&lt;&gt;"(Null)"),('NFET Data'!$AE48&lt;&gt;"(Null)"),('NFET Data'!$AD48&lt;&gt;"(Null)"),('NFET Data'!$AC48&lt;&gt;"(Null)")))</f>
        <v>0</v>
      </c>
      <c r="O48" s="20" t="b">
        <f>AND(((VGS_DR)&gt;=8),((VGS_DR)&lt;10),OR(('NFET Data'!$AH48&lt;&gt;"(Null)"),('NFET Data'!$AG48&lt;&gt;"(Null)"),('NFET Data'!$AF48&lt;&gt;"(Null)"),('NFET Data'!$AE48&lt;&gt;"(Null)"),('NFET Data'!$AD48&lt;&gt;"(Null)"),('NFET Data'!$AC48&lt;&gt;"(Null)")))</f>
        <v>0</v>
      </c>
      <c r="P48" s="20" t="b">
        <f>AND(((VGS_DR)&gt;=10),OR(('NFET Data'!$AI48&lt;&gt;"(Null)"),('NFET Data'!$AH48&lt;&gt;"(Null)"),('NFET Data'!$AG48&lt;&gt;"(Null)"),('NFET Data'!$AF48&lt;&gt;"(Null)"),('NFET Data'!$AE48&lt;&gt;"(Null)"),('NFET Data'!$AD48&lt;&gt;"(Null)"),('NFET Data'!$AC48&lt;&gt;"(Null)")))</f>
        <v>0</v>
      </c>
      <c r="Q48" s="20" t="b">
        <f t="shared" si="1"/>
        <v>1</v>
      </c>
      <c r="R48" s="20" t="b">
        <f t="shared" si="2"/>
        <v>1</v>
      </c>
    </row>
    <row r="49" spans="1:18" x14ac:dyDescent="0.25">
      <c r="A49" s="20" t="str">
        <f>IF(R49,Load_Switch_NFET[[#This Row],[PARTNUMBER]],"")</f>
        <v>CSD17318Q2</v>
      </c>
      <c r="B49" t="s">
        <v>206</v>
      </c>
      <c r="C49" s="20" t="b">
        <f>AND((Load_Switch_NFET[[#This Row],[VDSMAX]]&gt;=Vi*1.1),(Load_Switch_NFET[[#This Row],[VGSMAX]]&gt;=(VGS_DR)*1.1),(Load_Switch_NFET[[#This Row],[IDSMAX]]&gt;=Io),VGS_DR&gt;=1.8)</f>
        <v>1</v>
      </c>
      <c r="D49" s="20" t="b">
        <f>AND(Vi&lt;=27,Load_Switch_NFET[[#This Row],[VDSMAX]]&lt;=30)</f>
        <v>1</v>
      </c>
      <c r="E49" s="20" t="b">
        <f>AND(Vi&lt;=36,Vi&gt;=20,Load_Switch_NFET[[#This Row],[VDSMAX]]=40)</f>
        <v>0</v>
      </c>
      <c r="F49" s="20" t="b">
        <f>AND(Vi&lt;=54,Vi&gt;=25,Load_Switch_NFET[[#This Row],[VDSMAX]]=60)</f>
        <v>0</v>
      </c>
      <c r="G49" s="20" t="b">
        <f>AND(Vi&lt;=72,Vi&gt;=36,Load_Switch_NFET[[#This Row],[VDSMAX]]=80)</f>
        <v>0</v>
      </c>
      <c r="H49" s="20" t="b">
        <f>AND(Vi&lt;=90,Vi&gt;=48,Load_Switch_NFET[[#This Row],[VDSMAX]]=100)</f>
        <v>0</v>
      </c>
      <c r="I49" s="20" t="b">
        <f t="shared" si="0"/>
        <v>1</v>
      </c>
      <c r="J49" s="20" t="b">
        <f>AND(((VGS_DR)&lt;2.5),('NFET Data'!$AC49&lt;&gt;"(Null)"))</f>
        <v>0</v>
      </c>
      <c r="K49" s="20" t="b">
        <f>AND(((VGS_DR)&gt;=2.5),((VGS_DR)&lt;3),OR(('NFET Data'!$AD49&lt;&gt;"(Null)"),('NFET Data'!$AC49&lt;&gt;"(Null)")))</f>
        <v>0</v>
      </c>
      <c r="L49" s="20" t="b">
        <f>AND(((VGS_DR)&gt;=3),((VGS_DR)&lt;4.5),OR(('NFET Data'!$AE49&lt;&gt;"(Null)"),('NFET Data'!$AD49&lt;&gt;"(Null)"),('NFET Data'!$AC49&lt;&gt;"(Null)")))</f>
        <v>0</v>
      </c>
      <c r="M49" s="20" t="b">
        <f>AND(((VGS_DR)&gt;=4.5),((VGS_DR)&lt;6),OR(('NFET Data'!$AF49&lt;&gt;"(Null)"),('NFET Data'!$AE49&lt;&gt;"(Null)"),('NFET Data'!$AD49&lt;&gt;"(Null)"),('NFET Data'!$AC49&lt;&gt;"(Null)")))</f>
        <v>1</v>
      </c>
      <c r="N49" s="20" t="b">
        <f>AND(((VGS_DR)&gt;=6),((VGS_DR)&lt;8),OR(('NFET Data'!$AG49&lt;&gt;"(Null)"),('NFET Data'!$AF49&lt;&gt;"(Null)"),('NFET Data'!$AE49&lt;&gt;"(Null)"),('NFET Data'!$AD49&lt;&gt;"(Null)"),('NFET Data'!$AC49&lt;&gt;"(Null)")))</f>
        <v>0</v>
      </c>
      <c r="O49" s="20" t="b">
        <f>AND(((VGS_DR)&gt;=8),((VGS_DR)&lt;10),OR(('NFET Data'!$AH49&lt;&gt;"(Null)"),('NFET Data'!$AG49&lt;&gt;"(Null)"),('NFET Data'!$AF49&lt;&gt;"(Null)"),('NFET Data'!$AE49&lt;&gt;"(Null)"),('NFET Data'!$AD49&lt;&gt;"(Null)"),('NFET Data'!$AC49&lt;&gt;"(Null)")))</f>
        <v>0</v>
      </c>
      <c r="P49" s="20" t="b">
        <f>AND(((VGS_DR)&gt;=10),OR(('NFET Data'!$AI49&lt;&gt;"(Null)"),('NFET Data'!$AH49&lt;&gt;"(Null)"),('NFET Data'!$AG49&lt;&gt;"(Null)"),('NFET Data'!$AF49&lt;&gt;"(Null)"),('NFET Data'!$AE49&lt;&gt;"(Null)"),('NFET Data'!$AD49&lt;&gt;"(Null)"),('NFET Data'!$AC49&lt;&gt;"(Null)")))</f>
        <v>0</v>
      </c>
      <c r="Q49" s="20" t="b">
        <f t="shared" si="1"/>
        <v>1</v>
      </c>
      <c r="R49" s="20" t="b">
        <f t="shared" si="2"/>
        <v>1</v>
      </c>
    </row>
    <row r="50" spans="1:18" x14ac:dyDescent="0.25">
      <c r="A50" s="20" t="str">
        <f>IF(R50,Load_Switch_NFET[[#This Row],[PARTNUMBER]],"")</f>
        <v>CSD17322Q5A</v>
      </c>
      <c r="B50" t="s">
        <v>487</v>
      </c>
      <c r="C50" s="20" t="b">
        <f>AND((Load_Switch_NFET[[#This Row],[VDSMAX]]&gt;=Vi*1.1),(Load_Switch_NFET[[#This Row],[VGSMAX]]&gt;=(VGS_DR)*1.1),(Load_Switch_NFET[[#This Row],[IDSMAX]]&gt;=Io),VGS_DR&gt;=1.8)</f>
        <v>1</v>
      </c>
      <c r="D50" s="20" t="b">
        <f>AND(Vi&lt;=27,Load_Switch_NFET[[#This Row],[VDSMAX]]&lt;=30)</f>
        <v>1</v>
      </c>
      <c r="E50" s="20" t="b">
        <f>AND(Vi&lt;=36,Vi&gt;=20,Load_Switch_NFET[[#This Row],[VDSMAX]]=40)</f>
        <v>0</v>
      </c>
      <c r="F50" s="20" t="b">
        <f>AND(Vi&lt;=54,Vi&gt;=25,Load_Switch_NFET[[#This Row],[VDSMAX]]=60)</f>
        <v>0</v>
      </c>
      <c r="G50" s="20" t="b">
        <f>AND(Vi&lt;=72,Vi&gt;=36,Load_Switch_NFET[[#This Row],[VDSMAX]]=80)</f>
        <v>0</v>
      </c>
      <c r="H50" s="20" t="b">
        <f>AND(Vi&lt;=90,Vi&gt;=48,Load_Switch_NFET[[#This Row],[VDSMAX]]=100)</f>
        <v>0</v>
      </c>
      <c r="I50" s="20" t="b">
        <f t="shared" si="0"/>
        <v>1</v>
      </c>
      <c r="J50" s="20" t="b">
        <f>AND(((VGS_DR)&lt;2.5),('NFET Data'!$AC50&lt;&gt;"(Null)"))</f>
        <v>0</v>
      </c>
      <c r="K50" s="20" t="b">
        <f>AND(((VGS_DR)&gt;=2.5),((VGS_DR)&lt;3),OR(('NFET Data'!$AD50&lt;&gt;"(Null)"),('NFET Data'!$AC50&lt;&gt;"(Null)")))</f>
        <v>0</v>
      </c>
      <c r="L50" s="20" t="b">
        <f>AND(((VGS_DR)&gt;=3),((VGS_DR)&lt;4.5),OR(('NFET Data'!$AE50&lt;&gt;"(Null)"),('NFET Data'!$AD50&lt;&gt;"(Null)"),('NFET Data'!$AC50&lt;&gt;"(Null)")))</f>
        <v>0</v>
      </c>
      <c r="M50" s="20" t="b">
        <f>AND(((VGS_DR)&gt;=4.5),((VGS_DR)&lt;6),OR(('NFET Data'!$AF50&lt;&gt;"(Null)"),('NFET Data'!$AE50&lt;&gt;"(Null)"),('NFET Data'!$AD50&lt;&gt;"(Null)"),('NFET Data'!$AC50&lt;&gt;"(Null)")))</f>
        <v>1</v>
      </c>
      <c r="N50" s="20" t="b">
        <f>AND(((VGS_DR)&gt;=6),((VGS_DR)&lt;8),OR(('NFET Data'!$AG50&lt;&gt;"(Null)"),('NFET Data'!$AF50&lt;&gt;"(Null)"),('NFET Data'!$AE50&lt;&gt;"(Null)"),('NFET Data'!$AD50&lt;&gt;"(Null)"),('NFET Data'!$AC50&lt;&gt;"(Null)")))</f>
        <v>0</v>
      </c>
      <c r="O50" s="20" t="b">
        <f>AND(((VGS_DR)&gt;=8),((VGS_DR)&lt;10),OR(('NFET Data'!$AH50&lt;&gt;"(Null)"),('NFET Data'!$AG50&lt;&gt;"(Null)"),('NFET Data'!$AF50&lt;&gt;"(Null)"),('NFET Data'!$AE50&lt;&gt;"(Null)"),('NFET Data'!$AD50&lt;&gt;"(Null)"),('NFET Data'!$AC50&lt;&gt;"(Null)")))</f>
        <v>0</v>
      </c>
      <c r="P50" s="20" t="b">
        <f>AND(((VGS_DR)&gt;=10),OR(('NFET Data'!$AI50&lt;&gt;"(Null)"),('NFET Data'!$AH50&lt;&gt;"(Null)"),('NFET Data'!$AG50&lt;&gt;"(Null)"),('NFET Data'!$AF50&lt;&gt;"(Null)"),('NFET Data'!$AE50&lt;&gt;"(Null)"),('NFET Data'!$AD50&lt;&gt;"(Null)"),('NFET Data'!$AC50&lt;&gt;"(Null)")))</f>
        <v>0</v>
      </c>
      <c r="Q50" s="20" t="b">
        <f t="shared" si="1"/>
        <v>1</v>
      </c>
      <c r="R50" s="20" t="b">
        <f t="shared" si="2"/>
        <v>1</v>
      </c>
    </row>
    <row r="51" spans="1:18" x14ac:dyDescent="0.25">
      <c r="A51" s="20" t="str">
        <f>IF(R51,Load_Switch_NFET[[#This Row],[PARTNUMBER]],"")</f>
        <v>CSD17327Q5A</v>
      </c>
      <c r="B51" t="s">
        <v>489</v>
      </c>
      <c r="C51" s="20" t="b">
        <f>AND((Load_Switch_NFET[[#This Row],[VDSMAX]]&gt;=Vi*1.1),(Load_Switch_NFET[[#This Row],[VGSMAX]]&gt;=(VGS_DR)*1.1),(Load_Switch_NFET[[#This Row],[IDSMAX]]&gt;=Io),VGS_DR&gt;=1.8)</f>
        <v>1</v>
      </c>
      <c r="D51" s="20" t="b">
        <f>AND(Vi&lt;=27,Load_Switch_NFET[[#This Row],[VDSMAX]]&lt;=30)</f>
        <v>1</v>
      </c>
      <c r="E51" s="20" t="b">
        <f>AND(Vi&lt;=36,Vi&gt;=20,Load_Switch_NFET[[#This Row],[VDSMAX]]=40)</f>
        <v>0</v>
      </c>
      <c r="F51" s="20" t="b">
        <f>AND(Vi&lt;=54,Vi&gt;=25,Load_Switch_NFET[[#This Row],[VDSMAX]]=60)</f>
        <v>0</v>
      </c>
      <c r="G51" s="20" t="b">
        <f>AND(Vi&lt;=72,Vi&gt;=36,Load_Switch_NFET[[#This Row],[VDSMAX]]=80)</f>
        <v>0</v>
      </c>
      <c r="H51" s="20" t="b">
        <f>AND(Vi&lt;=90,Vi&gt;=48,Load_Switch_NFET[[#This Row],[VDSMAX]]=100)</f>
        <v>0</v>
      </c>
      <c r="I51" s="20" t="b">
        <f t="shared" si="0"/>
        <v>1</v>
      </c>
      <c r="J51" s="20" t="b">
        <f>AND(((VGS_DR)&lt;2.5),('NFET Data'!$AC51&lt;&gt;"(Null)"))</f>
        <v>0</v>
      </c>
      <c r="K51" s="20" t="b">
        <f>AND(((VGS_DR)&gt;=2.5),((VGS_DR)&lt;3),OR(('NFET Data'!$AD51&lt;&gt;"(Null)"),('NFET Data'!$AC51&lt;&gt;"(Null)")))</f>
        <v>0</v>
      </c>
      <c r="L51" s="20" t="b">
        <f>AND(((VGS_DR)&gt;=3),((VGS_DR)&lt;4.5),OR(('NFET Data'!$AE51&lt;&gt;"(Null)"),('NFET Data'!$AD51&lt;&gt;"(Null)"),('NFET Data'!$AC51&lt;&gt;"(Null)")))</f>
        <v>0</v>
      </c>
      <c r="M51" s="20" t="b">
        <f>AND(((VGS_DR)&gt;=4.5),((VGS_DR)&lt;6),OR(('NFET Data'!$AF51&lt;&gt;"(Null)"),('NFET Data'!$AE51&lt;&gt;"(Null)"),('NFET Data'!$AD51&lt;&gt;"(Null)"),('NFET Data'!$AC51&lt;&gt;"(Null)")))</f>
        <v>1</v>
      </c>
      <c r="N51" s="20" t="b">
        <f>AND(((VGS_DR)&gt;=6),((VGS_DR)&lt;8),OR(('NFET Data'!$AG51&lt;&gt;"(Null)"),('NFET Data'!$AF51&lt;&gt;"(Null)"),('NFET Data'!$AE51&lt;&gt;"(Null)"),('NFET Data'!$AD51&lt;&gt;"(Null)"),('NFET Data'!$AC51&lt;&gt;"(Null)")))</f>
        <v>0</v>
      </c>
      <c r="O51" s="20" t="b">
        <f>AND(((VGS_DR)&gt;=8),((VGS_DR)&lt;10),OR(('NFET Data'!$AH51&lt;&gt;"(Null)"),('NFET Data'!$AG51&lt;&gt;"(Null)"),('NFET Data'!$AF51&lt;&gt;"(Null)"),('NFET Data'!$AE51&lt;&gt;"(Null)"),('NFET Data'!$AD51&lt;&gt;"(Null)"),('NFET Data'!$AC51&lt;&gt;"(Null)")))</f>
        <v>0</v>
      </c>
      <c r="P51" s="20" t="b">
        <f>AND(((VGS_DR)&gt;=10),OR(('NFET Data'!$AI51&lt;&gt;"(Null)"),('NFET Data'!$AH51&lt;&gt;"(Null)"),('NFET Data'!$AG51&lt;&gt;"(Null)"),('NFET Data'!$AF51&lt;&gt;"(Null)"),('NFET Data'!$AE51&lt;&gt;"(Null)"),('NFET Data'!$AD51&lt;&gt;"(Null)"),('NFET Data'!$AC51&lt;&gt;"(Null)")))</f>
        <v>0</v>
      </c>
      <c r="Q51" s="20" t="b">
        <f t="shared" si="1"/>
        <v>1</v>
      </c>
      <c r="R51" s="20" t="b">
        <f t="shared" si="2"/>
        <v>1</v>
      </c>
    </row>
    <row r="52" spans="1:18" x14ac:dyDescent="0.25">
      <c r="A52" s="20" t="str">
        <f>IF(R52,Load_Switch_NFET[[#This Row],[PARTNUMBER]],"")</f>
        <v>CSD17381F4</v>
      </c>
      <c r="B52" t="s">
        <v>493</v>
      </c>
      <c r="C52" s="20" t="b">
        <f>AND((Load_Switch_NFET[[#This Row],[VDSMAX]]&gt;=Vi*1.1),(Load_Switch_NFET[[#This Row],[VGSMAX]]&gt;=(VGS_DR)*1.1),(Load_Switch_NFET[[#This Row],[IDSMAX]]&gt;=Io),VGS_DR&gt;=1.8)</f>
        <v>1</v>
      </c>
      <c r="D52" s="20" t="b">
        <f>AND(Vi&lt;=27,Load_Switch_NFET[[#This Row],[VDSMAX]]&lt;=30)</f>
        <v>1</v>
      </c>
      <c r="E52" s="20" t="b">
        <f>AND(Vi&lt;=36,Vi&gt;=20,Load_Switch_NFET[[#This Row],[VDSMAX]]=40)</f>
        <v>0</v>
      </c>
      <c r="F52" s="20" t="b">
        <f>AND(Vi&lt;=54,Vi&gt;=25,Load_Switch_NFET[[#This Row],[VDSMAX]]=60)</f>
        <v>0</v>
      </c>
      <c r="G52" s="20" t="b">
        <f>AND(Vi&lt;=72,Vi&gt;=36,Load_Switch_NFET[[#This Row],[VDSMAX]]=80)</f>
        <v>0</v>
      </c>
      <c r="H52" s="20" t="b">
        <f>AND(Vi&lt;=90,Vi&gt;=48,Load_Switch_NFET[[#This Row],[VDSMAX]]=100)</f>
        <v>0</v>
      </c>
      <c r="I52" s="20" t="b">
        <f t="shared" si="0"/>
        <v>1</v>
      </c>
      <c r="J52" s="20" t="b">
        <f>AND(((VGS_DR)&lt;2.5),('NFET Data'!$AC52&lt;&gt;"(Null)"))</f>
        <v>0</v>
      </c>
      <c r="K52" s="20" t="b">
        <f>AND(((VGS_DR)&gt;=2.5),((VGS_DR)&lt;3),OR(('NFET Data'!$AD52&lt;&gt;"(Null)"),('NFET Data'!$AC52&lt;&gt;"(Null)")))</f>
        <v>0</v>
      </c>
      <c r="L52" s="20" t="b">
        <f>AND(((VGS_DR)&gt;=3),((VGS_DR)&lt;4.5),OR(('NFET Data'!$AE52&lt;&gt;"(Null)"),('NFET Data'!$AD52&lt;&gt;"(Null)"),('NFET Data'!$AC52&lt;&gt;"(Null)")))</f>
        <v>0</v>
      </c>
      <c r="M52" s="20" t="b">
        <f>AND(((VGS_DR)&gt;=4.5),((VGS_DR)&lt;6),OR(('NFET Data'!$AF52&lt;&gt;"(Null)"),('NFET Data'!$AE52&lt;&gt;"(Null)"),('NFET Data'!$AD52&lt;&gt;"(Null)"),('NFET Data'!$AC52&lt;&gt;"(Null)")))</f>
        <v>1</v>
      </c>
      <c r="N52" s="20" t="b">
        <f>AND(((VGS_DR)&gt;=6),((VGS_DR)&lt;8),OR(('NFET Data'!$AG52&lt;&gt;"(Null)"),('NFET Data'!$AF52&lt;&gt;"(Null)"),('NFET Data'!$AE52&lt;&gt;"(Null)"),('NFET Data'!$AD52&lt;&gt;"(Null)"),('NFET Data'!$AC52&lt;&gt;"(Null)")))</f>
        <v>0</v>
      </c>
      <c r="O52" s="20" t="b">
        <f>AND(((VGS_DR)&gt;=8),((VGS_DR)&lt;10),OR(('NFET Data'!$AH52&lt;&gt;"(Null)"),('NFET Data'!$AG52&lt;&gt;"(Null)"),('NFET Data'!$AF52&lt;&gt;"(Null)"),('NFET Data'!$AE52&lt;&gt;"(Null)"),('NFET Data'!$AD52&lt;&gt;"(Null)"),('NFET Data'!$AC52&lt;&gt;"(Null)")))</f>
        <v>0</v>
      </c>
      <c r="P52" s="20" t="b">
        <f>AND(((VGS_DR)&gt;=10),OR(('NFET Data'!$AI52&lt;&gt;"(Null)"),('NFET Data'!$AH52&lt;&gt;"(Null)"),('NFET Data'!$AG52&lt;&gt;"(Null)"),('NFET Data'!$AF52&lt;&gt;"(Null)"),('NFET Data'!$AE52&lt;&gt;"(Null)"),('NFET Data'!$AD52&lt;&gt;"(Null)"),('NFET Data'!$AC52&lt;&gt;"(Null)")))</f>
        <v>0</v>
      </c>
      <c r="Q52" s="20" t="b">
        <f t="shared" si="1"/>
        <v>1</v>
      </c>
      <c r="R52" s="20" t="b">
        <f t="shared" si="2"/>
        <v>1</v>
      </c>
    </row>
    <row r="53" spans="1:18" x14ac:dyDescent="0.25">
      <c r="A53" s="20" t="str">
        <f>IF(R53,Load_Switch_NFET[[#This Row],[PARTNUMBER]],"")</f>
        <v>CSD17382F4</v>
      </c>
      <c r="B53" t="s">
        <v>635</v>
      </c>
      <c r="C53" s="20" t="b">
        <f>AND((Load_Switch_NFET[[#This Row],[VDSMAX]]&gt;=Vi*1.1),(Load_Switch_NFET[[#This Row],[VGSMAX]]&gt;=(VGS_DR)*1.1),(Load_Switch_NFET[[#This Row],[IDSMAX]]&gt;=Io),VGS_DR&gt;=1.8)</f>
        <v>1</v>
      </c>
      <c r="D53" s="20" t="b">
        <f>AND(Vi&lt;=27,Load_Switch_NFET[[#This Row],[VDSMAX]]&lt;=30)</f>
        <v>1</v>
      </c>
      <c r="E53" s="20" t="b">
        <f>AND(Vi&lt;=36,Vi&gt;=20,Load_Switch_NFET[[#This Row],[VDSMAX]]=40)</f>
        <v>0</v>
      </c>
      <c r="F53" s="20" t="b">
        <f>AND(Vi&lt;=54,Vi&gt;=25,Load_Switch_NFET[[#This Row],[VDSMAX]]=60)</f>
        <v>0</v>
      </c>
      <c r="G53" s="20" t="b">
        <f>AND(Vi&lt;=72,Vi&gt;=36,Load_Switch_NFET[[#This Row],[VDSMAX]]=80)</f>
        <v>0</v>
      </c>
      <c r="H53" s="20" t="b">
        <f>AND(Vi&lt;=90,Vi&gt;=48,Load_Switch_NFET[[#This Row],[VDSMAX]]=100)</f>
        <v>0</v>
      </c>
      <c r="I53" s="20" t="b">
        <f t="shared" si="0"/>
        <v>1</v>
      </c>
      <c r="J53" s="20" t="b">
        <f>AND(((VGS_DR)&lt;2.5),('NFET Data'!$AC53&lt;&gt;"(Null)"))</f>
        <v>0</v>
      </c>
      <c r="K53" s="20" t="b">
        <f>AND(((VGS_DR)&gt;=2.5),((VGS_DR)&lt;3),OR(('NFET Data'!$AD53&lt;&gt;"(Null)"),('NFET Data'!$AC53&lt;&gt;"(Null)")))</f>
        <v>0</v>
      </c>
      <c r="L53" s="20" t="b">
        <f>AND(((VGS_DR)&gt;=3),((VGS_DR)&lt;4.5),OR(('NFET Data'!$AE53&lt;&gt;"(Null)"),('NFET Data'!$AD53&lt;&gt;"(Null)"),('NFET Data'!$AC53&lt;&gt;"(Null)")))</f>
        <v>0</v>
      </c>
      <c r="M53" s="20" t="b">
        <f>AND(((VGS_DR)&gt;=4.5),((VGS_DR)&lt;6),OR(('NFET Data'!$AF53&lt;&gt;"(Null)"),('NFET Data'!$AE53&lt;&gt;"(Null)"),('NFET Data'!$AD53&lt;&gt;"(Null)"),('NFET Data'!$AC53&lt;&gt;"(Null)")))</f>
        <v>1</v>
      </c>
      <c r="N53" s="20" t="b">
        <f>AND(((VGS_DR)&gt;=6),((VGS_DR)&lt;8),OR(('NFET Data'!$AG53&lt;&gt;"(Null)"),('NFET Data'!$AF53&lt;&gt;"(Null)"),('NFET Data'!$AE53&lt;&gt;"(Null)"),('NFET Data'!$AD53&lt;&gt;"(Null)"),('NFET Data'!$AC53&lt;&gt;"(Null)")))</f>
        <v>0</v>
      </c>
      <c r="O53" s="20" t="b">
        <f>AND(((VGS_DR)&gt;=8),((VGS_DR)&lt;10),OR(('NFET Data'!$AH53&lt;&gt;"(Null)"),('NFET Data'!$AG53&lt;&gt;"(Null)"),('NFET Data'!$AF53&lt;&gt;"(Null)"),('NFET Data'!$AE53&lt;&gt;"(Null)"),('NFET Data'!$AD53&lt;&gt;"(Null)"),('NFET Data'!$AC53&lt;&gt;"(Null)")))</f>
        <v>0</v>
      </c>
      <c r="P53" s="20" t="b">
        <f>AND(((VGS_DR)&gt;=10),OR(('NFET Data'!$AI53&lt;&gt;"(Null)"),('NFET Data'!$AH53&lt;&gt;"(Null)"),('NFET Data'!$AG53&lt;&gt;"(Null)"),('NFET Data'!$AF53&lt;&gt;"(Null)"),('NFET Data'!$AE53&lt;&gt;"(Null)"),('NFET Data'!$AD53&lt;&gt;"(Null)"),('NFET Data'!$AC53&lt;&gt;"(Null)")))</f>
        <v>0</v>
      </c>
      <c r="Q53" s="20" t="b">
        <f t="shared" si="1"/>
        <v>1</v>
      </c>
      <c r="R53" s="20" t="b">
        <f t="shared" si="2"/>
        <v>1</v>
      </c>
    </row>
    <row r="54" spans="1:18" x14ac:dyDescent="0.25">
      <c r="A54" s="20" t="str">
        <f>IF(R54,Load_Switch_NFET[[#This Row],[PARTNUMBER]],"")</f>
        <v/>
      </c>
      <c r="B54" t="s">
        <v>636</v>
      </c>
      <c r="C54" s="20" t="b">
        <f>AND((Load_Switch_NFET[[#This Row],[VDSMAX]]&gt;=Vi*1.1),(Load_Switch_NFET[[#This Row],[VGSMAX]]&gt;=(VGS_DR)*1.1),(Load_Switch_NFET[[#This Row],[IDSMAX]]&gt;=Io),VGS_DR&gt;=1.8)</f>
        <v>0</v>
      </c>
      <c r="D54" s="20" t="b">
        <f>AND(Vi&lt;=27,Load_Switch_NFET[[#This Row],[VDSMAX]]&lt;=30)</f>
        <v>1</v>
      </c>
      <c r="E54" s="20" t="b">
        <f>AND(Vi&lt;=36,Vi&gt;=20,Load_Switch_NFET[[#This Row],[VDSMAX]]=40)</f>
        <v>0</v>
      </c>
      <c r="F54" s="20" t="b">
        <f>AND(Vi&lt;=54,Vi&gt;=25,Load_Switch_NFET[[#This Row],[VDSMAX]]=60)</f>
        <v>0</v>
      </c>
      <c r="G54" s="20" t="b">
        <f>AND(Vi&lt;=72,Vi&gt;=36,Load_Switch_NFET[[#This Row],[VDSMAX]]=80)</f>
        <v>0</v>
      </c>
      <c r="H54" s="20" t="b">
        <f>AND(Vi&lt;=90,Vi&gt;=48,Load_Switch_NFET[[#This Row],[VDSMAX]]=100)</f>
        <v>0</v>
      </c>
      <c r="I54" s="20" t="b">
        <f t="shared" si="0"/>
        <v>1</v>
      </c>
      <c r="J54" s="20" t="b">
        <f>AND(((VGS_DR)&lt;2.5),('NFET Data'!$AC54&lt;&gt;"(Null)"))</f>
        <v>0</v>
      </c>
      <c r="K54" s="20" t="b">
        <f>AND(((VGS_DR)&gt;=2.5),((VGS_DR)&lt;3),OR(('NFET Data'!$AD54&lt;&gt;"(Null)"),('NFET Data'!$AC54&lt;&gt;"(Null)")))</f>
        <v>0</v>
      </c>
      <c r="L54" s="20" t="b">
        <f>AND(((VGS_DR)&gt;=3),((VGS_DR)&lt;4.5),OR(('NFET Data'!$AE54&lt;&gt;"(Null)"),('NFET Data'!$AD54&lt;&gt;"(Null)"),('NFET Data'!$AC54&lt;&gt;"(Null)")))</f>
        <v>0</v>
      </c>
      <c r="M54" s="20" t="b">
        <f>AND(((VGS_DR)&gt;=4.5),((VGS_DR)&lt;6),OR(('NFET Data'!$AF54&lt;&gt;"(Null)"),('NFET Data'!$AE54&lt;&gt;"(Null)"),('NFET Data'!$AD54&lt;&gt;"(Null)"),('NFET Data'!$AC54&lt;&gt;"(Null)")))</f>
        <v>1</v>
      </c>
      <c r="N54" s="20" t="b">
        <f>AND(((VGS_DR)&gt;=6),((VGS_DR)&lt;8),OR(('NFET Data'!$AG54&lt;&gt;"(Null)"),('NFET Data'!$AF54&lt;&gt;"(Null)"),('NFET Data'!$AE54&lt;&gt;"(Null)"),('NFET Data'!$AD54&lt;&gt;"(Null)"),('NFET Data'!$AC54&lt;&gt;"(Null)")))</f>
        <v>0</v>
      </c>
      <c r="O54" s="20" t="b">
        <f>AND(((VGS_DR)&gt;=8),((VGS_DR)&lt;10),OR(('NFET Data'!$AH54&lt;&gt;"(Null)"),('NFET Data'!$AG54&lt;&gt;"(Null)"),('NFET Data'!$AF54&lt;&gt;"(Null)"),('NFET Data'!$AE54&lt;&gt;"(Null)"),('NFET Data'!$AD54&lt;&gt;"(Null)"),('NFET Data'!$AC54&lt;&gt;"(Null)")))</f>
        <v>0</v>
      </c>
      <c r="P54" s="20" t="b">
        <f>AND(((VGS_DR)&gt;=10),OR(('NFET Data'!$AI54&lt;&gt;"(Null)"),('NFET Data'!$AH54&lt;&gt;"(Null)"),('NFET Data'!$AG54&lt;&gt;"(Null)"),('NFET Data'!$AF54&lt;&gt;"(Null)"),('NFET Data'!$AE54&lt;&gt;"(Null)"),('NFET Data'!$AD54&lt;&gt;"(Null)"),('NFET Data'!$AC54&lt;&gt;"(Null)")))</f>
        <v>0</v>
      </c>
      <c r="Q54" s="20" t="b">
        <f t="shared" si="1"/>
        <v>1</v>
      </c>
      <c r="R54" s="20" t="b">
        <f t="shared" si="2"/>
        <v>0</v>
      </c>
    </row>
    <row r="55" spans="1:18" x14ac:dyDescent="0.25">
      <c r="A55" s="20" t="str">
        <f>IF(R55,Load_Switch_NFET[[#This Row],[PARTNUMBER]],"")</f>
        <v>CSD17484F4</v>
      </c>
      <c r="B55" t="s">
        <v>637</v>
      </c>
      <c r="C55" s="20" t="b">
        <f>AND((Load_Switch_NFET[[#This Row],[VDSMAX]]&gt;=Vi*1.1),(Load_Switch_NFET[[#This Row],[VGSMAX]]&gt;=(VGS_DR)*1.1),(Load_Switch_NFET[[#This Row],[IDSMAX]]&gt;=Io),VGS_DR&gt;=1.8)</f>
        <v>1</v>
      </c>
      <c r="D55" s="20" t="b">
        <f>AND(Vi&lt;=27,Load_Switch_NFET[[#This Row],[VDSMAX]]&lt;=30)</f>
        <v>1</v>
      </c>
      <c r="E55" s="20" t="b">
        <f>AND(Vi&lt;=36,Vi&gt;=20,Load_Switch_NFET[[#This Row],[VDSMAX]]=40)</f>
        <v>0</v>
      </c>
      <c r="F55" s="20" t="b">
        <f>AND(Vi&lt;=54,Vi&gt;=25,Load_Switch_NFET[[#This Row],[VDSMAX]]=60)</f>
        <v>0</v>
      </c>
      <c r="G55" s="20" t="b">
        <f>AND(Vi&lt;=72,Vi&gt;=36,Load_Switch_NFET[[#This Row],[VDSMAX]]=80)</f>
        <v>0</v>
      </c>
      <c r="H55" s="20" t="b">
        <f>AND(Vi&lt;=90,Vi&gt;=48,Load_Switch_NFET[[#This Row],[VDSMAX]]=100)</f>
        <v>0</v>
      </c>
      <c r="I55" s="20" t="b">
        <f t="shared" si="0"/>
        <v>1</v>
      </c>
      <c r="J55" s="20" t="b">
        <f>AND(((VGS_DR)&lt;2.5),('NFET Data'!$AC55&lt;&gt;"(Null)"))</f>
        <v>0</v>
      </c>
      <c r="K55" s="20" t="b">
        <f>AND(((VGS_DR)&gt;=2.5),((VGS_DR)&lt;3),OR(('NFET Data'!$AD55&lt;&gt;"(Null)"),('NFET Data'!$AC55&lt;&gt;"(Null)")))</f>
        <v>0</v>
      </c>
      <c r="L55" s="20" t="b">
        <f>AND(((VGS_DR)&gt;=3),((VGS_DR)&lt;4.5),OR(('NFET Data'!$AE55&lt;&gt;"(Null)"),('NFET Data'!$AD55&lt;&gt;"(Null)"),('NFET Data'!$AC55&lt;&gt;"(Null)")))</f>
        <v>0</v>
      </c>
      <c r="M55" s="20" t="b">
        <f>AND(((VGS_DR)&gt;=4.5),((VGS_DR)&lt;6),OR(('NFET Data'!$AF55&lt;&gt;"(Null)"),('NFET Data'!$AE55&lt;&gt;"(Null)"),('NFET Data'!$AD55&lt;&gt;"(Null)"),('NFET Data'!$AC55&lt;&gt;"(Null)")))</f>
        <v>1</v>
      </c>
      <c r="N55" s="20" t="b">
        <f>AND(((VGS_DR)&gt;=6),((VGS_DR)&lt;8),OR(('NFET Data'!$AG55&lt;&gt;"(Null)"),('NFET Data'!$AF55&lt;&gt;"(Null)"),('NFET Data'!$AE55&lt;&gt;"(Null)"),('NFET Data'!$AD55&lt;&gt;"(Null)"),('NFET Data'!$AC55&lt;&gt;"(Null)")))</f>
        <v>0</v>
      </c>
      <c r="O55" s="20" t="b">
        <f>AND(((VGS_DR)&gt;=8),((VGS_DR)&lt;10),OR(('NFET Data'!$AH55&lt;&gt;"(Null)"),('NFET Data'!$AG55&lt;&gt;"(Null)"),('NFET Data'!$AF55&lt;&gt;"(Null)"),('NFET Data'!$AE55&lt;&gt;"(Null)"),('NFET Data'!$AD55&lt;&gt;"(Null)"),('NFET Data'!$AC55&lt;&gt;"(Null)")))</f>
        <v>0</v>
      </c>
      <c r="P55" s="20" t="b">
        <f>AND(((VGS_DR)&gt;=10),OR(('NFET Data'!$AI55&lt;&gt;"(Null)"),('NFET Data'!$AH55&lt;&gt;"(Null)"),('NFET Data'!$AG55&lt;&gt;"(Null)"),('NFET Data'!$AF55&lt;&gt;"(Null)"),('NFET Data'!$AE55&lt;&gt;"(Null)"),('NFET Data'!$AD55&lt;&gt;"(Null)"),('NFET Data'!$AC55&lt;&gt;"(Null)")))</f>
        <v>0</v>
      </c>
      <c r="Q55" s="20" t="b">
        <f t="shared" si="1"/>
        <v>1</v>
      </c>
      <c r="R55" s="20" t="b">
        <f t="shared" si="2"/>
        <v>1</v>
      </c>
    </row>
    <row r="56" spans="1:18" x14ac:dyDescent="0.25">
      <c r="A56" s="20" t="str">
        <f>IF(R56,Load_Switch_NFET[[#This Row],[PARTNUMBER]],"")</f>
        <v>CSD17501Q5A</v>
      </c>
      <c r="B56" t="s">
        <v>638</v>
      </c>
      <c r="C56" s="20" t="b">
        <f>AND((Load_Switch_NFET[[#This Row],[VDSMAX]]&gt;=Vi*1.1),(Load_Switch_NFET[[#This Row],[VGSMAX]]&gt;=(VGS_DR)*1.1),(Load_Switch_NFET[[#This Row],[IDSMAX]]&gt;=Io),VGS_DR&gt;=1.8)</f>
        <v>1</v>
      </c>
      <c r="D56" s="20" t="b">
        <f>AND(Vi&lt;=27,Load_Switch_NFET[[#This Row],[VDSMAX]]&lt;=30)</f>
        <v>1</v>
      </c>
      <c r="E56" s="20" t="b">
        <f>AND(Vi&lt;=36,Vi&gt;=20,Load_Switch_NFET[[#This Row],[VDSMAX]]=40)</f>
        <v>0</v>
      </c>
      <c r="F56" s="20" t="b">
        <f>AND(Vi&lt;=54,Vi&gt;=25,Load_Switch_NFET[[#This Row],[VDSMAX]]=60)</f>
        <v>0</v>
      </c>
      <c r="G56" s="20" t="b">
        <f>AND(Vi&lt;=72,Vi&gt;=36,Load_Switch_NFET[[#This Row],[VDSMAX]]=80)</f>
        <v>0</v>
      </c>
      <c r="H56" s="20" t="b">
        <f>AND(Vi&lt;=90,Vi&gt;=48,Load_Switch_NFET[[#This Row],[VDSMAX]]=100)</f>
        <v>0</v>
      </c>
      <c r="I56" s="20" t="b">
        <f t="shared" si="0"/>
        <v>1</v>
      </c>
      <c r="J56" s="20" t="b">
        <f>AND(((VGS_DR)&lt;2.5),('NFET Data'!$AC56&lt;&gt;"(Null)"))</f>
        <v>0</v>
      </c>
      <c r="K56" s="20" t="b">
        <f>AND(((VGS_DR)&gt;=2.5),((VGS_DR)&lt;3),OR(('NFET Data'!$AD56&lt;&gt;"(Null)"),('NFET Data'!$AC56&lt;&gt;"(Null)")))</f>
        <v>0</v>
      </c>
      <c r="L56" s="20" t="b">
        <f>AND(((VGS_DR)&gt;=3),((VGS_DR)&lt;4.5),OR(('NFET Data'!$AE56&lt;&gt;"(Null)"),('NFET Data'!$AD56&lt;&gt;"(Null)"),('NFET Data'!$AC56&lt;&gt;"(Null)")))</f>
        <v>0</v>
      </c>
      <c r="M56" s="20" t="b">
        <f>AND(((VGS_DR)&gt;=4.5),((VGS_DR)&lt;6),OR(('NFET Data'!$AF56&lt;&gt;"(Null)"),('NFET Data'!$AE56&lt;&gt;"(Null)"),('NFET Data'!$AD56&lt;&gt;"(Null)"),('NFET Data'!$AC56&lt;&gt;"(Null)")))</f>
        <v>1</v>
      </c>
      <c r="N56" s="20" t="b">
        <f>AND(((VGS_DR)&gt;=6),((VGS_DR)&lt;8),OR(('NFET Data'!$AG56&lt;&gt;"(Null)"),('NFET Data'!$AF56&lt;&gt;"(Null)"),('NFET Data'!$AE56&lt;&gt;"(Null)"),('NFET Data'!$AD56&lt;&gt;"(Null)"),('NFET Data'!$AC56&lt;&gt;"(Null)")))</f>
        <v>0</v>
      </c>
      <c r="O56" s="20" t="b">
        <f>AND(((VGS_DR)&gt;=8),((VGS_DR)&lt;10),OR(('NFET Data'!$AH56&lt;&gt;"(Null)"),('NFET Data'!$AG56&lt;&gt;"(Null)"),('NFET Data'!$AF56&lt;&gt;"(Null)"),('NFET Data'!$AE56&lt;&gt;"(Null)"),('NFET Data'!$AD56&lt;&gt;"(Null)"),('NFET Data'!$AC56&lt;&gt;"(Null)")))</f>
        <v>0</v>
      </c>
      <c r="P56" s="20" t="b">
        <f>AND(((VGS_DR)&gt;=10),OR(('NFET Data'!$AI56&lt;&gt;"(Null)"),('NFET Data'!$AH56&lt;&gt;"(Null)"),('NFET Data'!$AG56&lt;&gt;"(Null)"),('NFET Data'!$AF56&lt;&gt;"(Null)"),('NFET Data'!$AE56&lt;&gt;"(Null)"),('NFET Data'!$AD56&lt;&gt;"(Null)"),('NFET Data'!$AC56&lt;&gt;"(Null)")))</f>
        <v>0</v>
      </c>
      <c r="Q56" s="20" t="b">
        <f t="shared" si="1"/>
        <v>1</v>
      </c>
      <c r="R56" s="20" t="b">
        <f t="shared" si="2"/>
        <v>1</v>
      </c>
    </row>
    <row r="57" spans="1:18" x14ac:dyDescent="0.25">
      <c r="A57" s="20" t="str">
        <f>IF(R57,Load_Switch_NFET[[#This Row],[PARTNUMBER]],"")</f>
        <v>CSD17505Q5A</v>
      </c>
      <c r="B57" t="s">
        <v>639</v>
      </c>
      <c r="C57" s="20" t="b">
        <f>AND((Load_Switch_NFET[[#This Row],[VDSMAX]]&gt;=Vi*1.1),(Load_Switch_NFET[[#This Row],[VGSMAX]]&gt;=(VGS_DR)*1.1),(Load_Switch_NFET[[#This Row],[IDSMAX]]&gt;=Io),VGS_DR&gt;=1.8)</f>
        <v>1</v>
      </c>
      <c r="D57" s="20" t="b">
        <f>AND(Vi&lt;=27,Load_Switch_NFET[[#This Row],[VDSMAX]]&lt;=30)</f>
        <v>1</v>
      </c>
      <c r="E57" s="20" t="b">
        <f>AND(Vi&lt;=36,Vi&gt;=20,Load_Switch_NFET[[#This Row],[VDSMAX]]=40)</f>
        <v>0</v>
      </c>
      <c r="F57" s="20" t="b">
        <f>AND(Vi&lt;=54,Vi&gt;=25,Load_Switch_NFET[[#This Row],[VDSMAX]]=60)</f>
        <v>0</v>
      </c>
      <c r="G57" s="20" t="b">
        <f>AND(Vi&lt;=72,Vi&gt;=36,Load_Switch_NFET[[#This Row],[VDSMAX]]=80)</f>
        <v>0</v>
      </c>
      <c r="H57" s="20" t="b">
        <f>AND(Vi&lt;=90,Vi&gt;=48,Load_Switch_NFET[[#This Row],[VDSMAX]]=100)</f>
        <v>0</v>
      </c>
      <c r="I57" s="20" t="b">
        <f t="shared" si="0"/>
        <v>1</v>
      </c>
      <c r="J57" s="20" t="b">
        <f>AND(((VGS_DR)&lt;2.5),('NFET Data'!$AC57&lt;&gt;"(Null)"))</f>
        <v>0</v>
      </c>
      <c r="K57" s="20" t="b">
        <f>AND(((VGS_DR)&gt;=2.5),((VGS_DR)&lt;3),OR(('NFET Data'!$AD57&lt;&gt;"(Null)"),('NFET Data'!$AC57&lt;&gt;"(Null)")))</f>
        <v>0</v>
      </c>
      <c r="L57" s="20" t="b">
        <f>AND(((VGS_DR)&gt;=3),((VGS_DR)&lt;4.5),OR(('NFET Data'!$AE57&lt;&gt;"(Null)"),('NFET Data'!$AD57&lt;&gt;"(Null)"),('NFET Data'!$AC57&lt;&gt;"(Null)")))</f>
        <v>0</v>
      </c>
      <c r="M57" s="20" t="b">
        <f>AND(((VGS_DR)&gt;=4.5),((VGS_DR)&lt;6),OR(('NFET Data'!$AF57&lt;&gt;"(Null)"),('NFET Data'!$AE57&lt;&gt;"(Null)"),('NFET Data'!$AD57&lt;&gt;"(Null)"),('NFET Data'!$AC57&lt;&gt;"(Null)")))</f>
        <v>1</v>
      </c>
      <c r="N57" s="20" t="b">
        <f>AND(((VGS_DR)&gt;=6),((VGS_DR)&lt;8),OR(('NFET Data'!$AG57&lt;&gt;"(Null)"),('NFET Data'!$AF57&lt;&gt;"(Null)"),('NFET Data'!$AE57&lt;&gt;"(Null)"),('NFET Data'!$AD57&lt;&gt;"(Null)"),('NFET Data'!$AC57&lt;&gt;"(Null)")))</f>
        <v>0</v>
      </c>
      <c r="O57" s="20" t="b">
        <f>AND(((VGS_DR)&gt;=8),((VGS_DR)&lt;10),OR(('NFET Data'!$AH57&lt;&gt;"(Null)"),('NFET Data'!$AG57&lt;&gt;"(Null)"),('NFET Data'!$AF57&lt;&gt;"(Null)"),('NFET Data'!$AE57&lt;&gt;"(Null)"),('NFET Data'!$AD57&lt;&gt;"(Null)"),('NFET Data'!$AC57&lt;&gt;"(Null)")))</f>
        <v>0</v>
      </c>
      <c r="P57" s="20" t="b">
        <f>AND(((VGS_DR)&gt;=10),OR(('NFET Data'!$AI57&lt;&gt;"(Null)"),('NFET Data'!$AH57&lt;&gt;"(Null)"),('NFET Data'!$AG57&lt;&gt;"(Null)"),('NFET Data'!$AF57&lt;&gt;"(Null)"),('NFET Data'!$AE57&lt;&gt;"(Null)"),('NFET Data'!$AD57&lt;&gt;"(Null)"),('NFET Data'!$AC57&lt;&gt;"(Null)")))</f>
        <v>0</v>
      </c>
      <c r="Q57" s="20" t="b">
        <f t="shared" si="1"/>
        <v>1</v>
      </c>
      <c r="R57" s="20" t="b">
        <f t="shared" si="2"/>
        <v>1</v>
      </c>
    </row>
    <row r="58" spans="1:18" x14ac:dyDescent="0.25">
      <c r="A58" s="20" t="str">
        <f>IF(R58,Load_Switch_NFET[[#This Row],[PARTNUMBER]],"")</f>
        <v>CSD17506Q5A</v>
      </c>
      <c r="B58" t="s">
        <v>640</v>
      </c>
      <c r="C58" s="20" t="b">
        <f>AND((Load_Switch_NFET[[#This Row],[VDSMAX]]&gt;=Vi*1.1),(Load_Switch_NFET[[#This Row],[VGSMAX]]&gt;=(VGS_DR)*1.1),(Load_Switch_NFET[[#This Row],[IDSMAX]]&gt;=Io),VGS_DR&gt;=1.8)</f>
        <v>1</v>
      </c>
      <c r="D58" s="20" t="b">
        <f>AND(Vi&lt;=27,Load_Switch_NFET[[#This Row],[VDSMAX]]&lt;=30)</f>
        <v>1</v>
      </c>
      <c r="E58" s="20" t="b">
        <f>AND(Vi&lt;=36,Vi&gt;=20,Load_Switch_NFET[[#This Row],[VDSMAX]]=40)</f>
        <v>0</v>
      </c>
      <c r="F58" s="20" t="b">
        <f>AND(Vi&lt;=54,Vi&gt;=25,Load_Switch_NFET[[#This Row],[VDSMAX]]=60)</f>
        <v>0</v>
      </c>
      <c r="G58" s="20" t="b">
        <f>AND(Vi&lt;=72,Vi&gt;=36,Load_Switch_NFET[[#This Row],[VDSMAX]]=80)</f>
        <v>0</v>
      </c>
      <c r="H58" s="20" t="b">
        <f>AND(Vi&lt;=90,Vi&gt;=48,Load_Switch_NFET[[#This Row],[VDSMAX]]=100)</f>
        <v>0</v>
      </c>
      <c r="I58" s="20" t="b">
        <f t="shared" si="0"/>
        <v>1</v>
      </c>
      <c r="J58" s="20" t="b">
        <f>AND(((VGS_DR)&lt;2.5),('NFET Data'!$AC58&lt;&gt;"(Null)"))</f>
        <v>0</v>
      </c>
      <c r="K58" s="20" t="b">
        <f>AND(((VGS_DR)&gt;=2.5),((VGS_DR)&lt;3),OR(('NFET Data'!$AD58&lt;&gt;"(Null)"),('NFET Data'!$AC58&lt;&gt;"(Null)")))</f>
        <v>0</v>
      </c>
      <c r="L58" s="20" t="b">
        <f>AND(((VGS_DR)&gt;=3),((VGS_DR)&lt;4.5),OR(('NFET Data'!$AE58&lt;&gt;"(Null)"),('NFET Data'!$AD58&lt;&gt;"(Null)"),('NFET Data'!$AC58&lt;&gt;"(Null)")))</f>
        <v>0</v>
      </c>
      <c r="M58" s="20" t="b">
        <f>AND(((VGS_DR)&gt;=4.5),((VGS_DR)&lt;6),OR(('NFET Data'!$AF58&lt;&gt;"(Null)"),('NFET Data'!$AE58&lt;&gt;"(Null)"),('NFET Data'!$AD58&lt;&gt;"(Null)"),('NFET Data'!$AC58&lt;&gt;"(Null)")))</f>
        <v>1</v>
      </c>
      <c r="N58" s="20" t="b">
        <f>AND(((VGS_DR)&gt;=6),((VGS_DR)&lt;8),OR(('NFET Data'!$AG58&lt;&gt;"(Null)"),('NFET Data'!$AF58&lt;&gt;"(Null)"),('NFET Data'!$AE58&lt;&gt;"(Null)"),('NFET Data'!$AD58&lt;&gt;"(Null)"),('NFET Data'!$AC58&lt;&gt;"(Null)")))</f>
        <v>0</v>
      </c>
      <c r="O58" s="20" t="b">
        <f>AND(((VGS_DR)&gt;=8),((VGS_DR)&lt;10),OR(('NFET Data'!$AH58&lt;&gt;"(Null)"),('NFET Data'!$AG58&lt;&gt;"(Null)"),('NFET Data'!$AF58&lt;&gt;"(Null)"),('NFET Data'!$AE58&lt;&gt;"(Null)"),('NFET Data'!$AD58&lt;&gt;"(Null)"),('NFET Data'!$AC58&lt;&gt;"(Null)")))</f>
        <v>0</v>
      </c>
      <c r="P58" s="20" t="b">
        <f>AND(((VGS_DR)&gt;=10),OR(('NFET Data'!$AI58&lt;&gt;"(Null)"),('NFET Data'!$AH58&lt;&gt;"(Null)"),('NFET Data'!$AG58&lt;&gt;"(Null)"),('NFET Data'!$AF58&lt;&gt;"(Null)"),('NFET Data'!$AE58&lt;&gt;"(Null)"),('NFET Data'!$AD58&lt;&gt;"(Null)"),('NFET Data'!$AC58&lt;&gt;"(Null)")))</f>
        <v>0</v>
      </c>
      <c r="Q58" s="20" t="b">
        <f t="shared" si="1"/>
        <v>1</v>
      </c>
      <c r="R58" s="20" t="b">
        <f t="shared" si="2"/>
        <v>1</v>
      </c>
    </row>
    <row r="59" spans="1:18" x14ac:dyDescent="0.25">
      <c r="A59" s="20" t="str">
        <f>IF(R59,Load_Switch_NFET[[#This Row],[PARTNUMBER]],"")</f>
        <v>CSD17507Q5A</v>
      </c>
      <c r="B59" t="s">
        <v>641</v>
      </c>
      <c r="C59" s="20" t="b">
        <f>AND((Load_Switch_NFET[[#This Row],[VDSMAX]]&gt;=Vi*1.1),(Load_Switch_NFET[[#This Row],[VGSMAX]]&gt;=(VGS_DR)*1.1),(Load_Switch_NFET[[#This Row],[IDSMAX]]&gt;=Io),VGS_DR&gt;=1.8)</f>
        <v>1</v>
      </c>
      <c r="D59" s="20" t="b">
        <f>AND(Vi&lt;=27,Load_Switch_NFET[[#This Row],[VDSMAX]]&lt;=30)</f>
        <v>1</v>
      </c>
      <c r="E59" s="20" t="b">
        <f>AND(Vi&lt;=36,Vi&gt;=20,Load_Switch_NFET[[#This Row],[VDSMAX]]=40)</f>
        <v>0</v>
      </c>
      <c r="F59" s="20" t="b">
        <f>AND(Vi&lt;=54,Vi&gt;=25,Load_Switch_NFET[[#This Row],[VDSMAX]]=60)</f>
        <v>0</v>
      </c>
      <c r="G59" s="20" t="b">
        <f>AND(Vi&lt;=72,Vi&gt;=36,Load_Switch_NFET[[#This Row],[VDSMAX]]=80)</f>
        <v>0</v>
      </c>
      <c r="H59" s="20" t="b">
        <f>AND(Vi&lt;=90,Vi&gt;=48,Load_Switch_NFET[[#This Row],[VDSMAX]]=100)</f>
        <v>0</v>
      </c>
      <c r="I59" s="20" t="b">
        <f t="shared" si="0"/>
        <v>1</v>
      </c>
      <c r="J59" s="20" t="b">
        <f>AND(((VGS_DR)&lt;2.5),('NFET Data'!$AC59&lt;&gt;"(Null)"))</f>
        <v>0</v>
      </c>
      <c r="K59" s="20" t="b">
        <f>AND(((VGS_DR)&gt;=2.5),((VGS_DR)&lt;3),OR(('NFET Data'!$AD59&lt;&gt;"(Null)"),('NFET Data'!$AC59&lt;&gt;"(Null)")))</f>
        <v>0</v>
      </c>
      <c r="L59" s="20" t="b">
        <f>AND(((VGS_DR)&gt;=3),((VGS_DR)&lt;4.5),OR(('NFET Data'!$AE59&lt;&gt;"(Null)"),('NFET Data'!$AD59&lt;&gt;"(Null)"),('NFET Data'!$AC59&lt;&gt;"(Null)")))</f>
        <v>0</v>
      </c>
      <c r="M59" s="20" t="b">
        <f>AND(((VGS_DR)&gt;=4.5),((VGS_DR)&lt;6),OR(('NFET Data'!$AF59&lt;&gt;"(Null)"),('NFET Data'!$AE59&lt;&gt;"(Null)"),('NFET Data'!$AD59&lt;&gt;"(Null)"),('NFET Data'!$AC59&lt;&gt;"(Null)")))</f>
        <v>1</v>
      </c>
      <c r="N59" s="20" t="b">
        <f>AND(((VGS_DR)&gt;=6),((VGS_DR)&lt;8),OR(('NFET Data'!$AG59&lt;&gt;"(Null)"),('NFET Data'!$AF59&lt;&gt;"(Null)"),('NFET Data'!$AE59&lt;&gt;"(Null)"),('NFET Data'!$AD59&lt;&gt;"(Null)"),('NFET Data'!$AC59&lt;&gt;"(Null)")))</f>
        <v>0</v>
      </c>
      <c r="O59" s="20" t="b">
        <f>AND(((VGS_DR)&gt;=8),((VGS_DR)&lt;10),OR(('NFET Data'!$AH59&lt;&gt;"(Null)"),('NFET Data'!$AG59&lt;&gt;"(Null)"),('NFET Data'!$AF59&lt;&gt;"(Null)"),('NFET Data'!$AE59&lt;&gt;"(Null)"),('NFET Data'!$AD59&lt;&gt;"(Null)"),('NFET Data'!$AC59&lt;&gt;"(Null)")))</f>
        <v>0</v>
      </c>
      <c r="P59" s="20" t="b">
        <f>AND(((VGS_DR)&gt;=10),OR(('NFET Data'!$AI59&lt;&gt;"(Null)"),('NFET Data'!$AH59&lt;&gt;"(Null)"),('NFET Data'!$AG59&lt;&gt;"(Null)"),('NFET Data'!$AF59&lt;&gt;"(Null)"),('NFET Data'!$AE59&lt;&gt;"(Null)"),('NFET Data'!$AD59&lt;&gt;"(Null)"),('NFET Data'!$AC59&lt;&gt;"(Null)")))</f>
        <v>0</v>
      </c>
      <c r="Q59" s="20" t="b">
        <f t="shared" si="1"/>
        <v>1</v>
      </c>
      <c r="R59" s="20" t="b">
        <f t="shared" si="2"/>
        <v>1</v>
      </c>
    </row>
    <row r="60" spans="1:18" x14ac:dyDescent="0.25">
      <c r="A60" s="20" t="str">
        <f>IF(R60,Load_Switch_NFET[[#This Row],[PARTNUMBER]],"")</f>
        <v>CSD17510Q5A</v>
      </c>
      <c r="B60" t="s">
        <v>642</v>
      </c>
      <c r="C60" s="20" t="b">
        <f>AND((Load_Switch_NFET[[#This Row],[VDSMAX]]&gt;=Vi*1.1),(Load_Switch_NFET[[#This Row],[VGSMAX]]&gt;=(VGS_DR)*1.1),(Load_Switch_NFET[[#This Row],[IDSMAX]]&gt;=Io),VGS_DR&gt;=1.8)</f>
        <v>1</v>
      </c>
      <c r="D60" s="20" t="b">
        <f>AND(Vi&lt;=27,Load_Switch_NFET[[#This Row],[VDSMAX]]&lt;=30)</f>
        <v>1</v>
      </c>
      <c r="E60" s="20" t="b">
        <f>AND(Vi&lt;=36,Vi&gt;=20,Load_Switch_NFET[[#This Row],[VDSMAX]]=40)</f>
        <v>0</v>
      </c>
      <c r="F60" s="20" t="b">
        <f>AND(Vi&lt;=54,Vi&gt;=25,Load_Switch_NFET[[#This Row],[VDSMAX]]=60)</f>
        <v>0</v>
      </c>
      <c r="G60" s="20" t="b">
        <f>AND(Vi&lt;=72,Vi&gt;=36,Load_Switch_NFET[[#This Row],[VDSMAX]]=80)</f>
        <v>0</v>
      </c>
      <c r="H60" s="20" t="b">
        <f>AND(Vi&lt;=90,Vi&gt;=48,Load_Switch_NFET[[#This Row],[VDSMAX]]=100)</f>
        <v>0</v>
      </c>
      <c r="I60" s="20" t="b">
        <f t="shared" si="0"/>
        <v>1</v>
      </c>
      <c r="J60" s="20" t="b">
        <f>AND(((VGS_DR)&lt;2.5),('NFET Data'!$AC60&lt;&gt;"(Null)"))</f>
        <v>0</v>
      </c>
      <c r="K60" s="20" t="b">
        <f>AND(((VGS_DR)&gt;=2.5),((VGS_DR)&lt;3),OR(('NFET Data'!$AD60&lt;&gt;"(Null)"),('NFET Data'!$AC60&lt;&gt;"(Null)")))</f>
        <v>0</v>
      </c>
      <c r="L60" s="20" t="b">
        <f>AND(((VGS_DR)&gt;=3),((VGS_DR)&lt;4.5),OR(('NFET Data'!$AE60&lt;&gt;"(Null)"),('NFET Data'!$AD60&lt;&gt;"(Null)"),('NFET Data'!$AC60&lt;&gt;"(Null)")))</f>
        <v>0</v>
      </c>
      <c r="M60" s="20" t="b">
        <f>AND(((VGS_DR)&gt;=4.5),((VGS_DR)&lt;6),OR(('NFET Data'!$AF60&lt;&gt;"(Null)"),('NFET Data'!$AE60&lt;&gt;"(Null)"),('NFET Data'!$AD60&lt;&gt;"(Null)"),('NFET Data'!$AC60&lt;&gt;"(Null)")))</f>
        <v>1</v>
      </c>
      <c r="N60" s="20" t="b">
        <f>AND(((VGS_DR)&gt;=6),((VGS_DR)&lt;8),OR(('NFET Data'!$AG60&lt;&gt;"(Null)"),('NFET Data'!$AF60&lt;&gt;"(Null)"),('NFET Data'!$AE60&lt;&gt;"(Null)"),('NFET Data'!$AD60&lt;&gt;"(Null)"),('NFET Data'!$AC60&lt;&gt;"(Null)")))</f>
        <v>0</v>
      </c>
      <c r="O60" s="20" t="b">
        <f>AND(((VGS_DR)&gt;=8),((VGS_DR)&lt;10),OR(('NFET Data'!$AH60&lt;&gt;"(Null)"),('NFET Data'!$AG60&lt;&gt;"(Null)"),('NFET Data'!$AF60&lt;&gt;"(Null)"),('NFET Data'!$AE60&lt;&gt;"(Null)"),('NFET Data'!$AD60&lt;&gt;"(Null)"),('NFET Data'!$AC60&lt;&gt;"(Null)")))</f>
        <v>0</v>
      </c>
      <c r="P60" s="20" t="b">
        <f>AND(((VGS_DR)&gt;=10),OR(('NFET Data'!$AI60&lt;&gt;"(Null)"),('NFET Data'!$AH60&lt;&gt;"(Null)"),('NFET Data'!$AG60&lt;&gt;"(Null)"),('NFET Data'!$AF60&lt;&gt;"(Null)"),('NFET Data'!$AE60&lt;&gt;"(Null)"),('NFET Data'!$AD60&lt;&gt;"(Null)"),('NFET Data'!$AC60&lt;&gt;"(Null)")))</f>
        <v>0</v>
      </c>
      <c r="Q60" s="20" t="b">
        <f t="shared" si="1"/>
        <v>1</v>
      </c>
      <c r="R60" s="20" t="b">
        <f t="shared" si="2"/>
        <v>1</v>
      </c>
    </row>
    <row r="61" spans="1:18" x14ac:dyDescent="0.25">
      <c r="A61" s="20" t="str">
        <f>IF(R61,Load_Switch_NFET[[#This Row],[PARTNUMBER]],"")</f>
        <v>CSD17522Q5A</v>
      </c>
      <c r="B61" t="s">
        <v>643</v>
      </c>
      <c r="C61" s="20" t="b">
        <f>AND((Load_Switch_NFET[[#This Row],[VDSMAX]]&gt;=Vi*1.1),(Load_Switch_NFET[[#This Row],[VGSMAX]]&gt;=(VGS_DR)*1.1),(Load_Switch_NFET[[#This Row],[IDSMAX]]&gt;=Io),VGS_DR&gt;=1.8)</f>
        <v>1</v>
      </c>
      <c r="D61" s="20" t="b">
        <f>AND(Vi&lt;=27,Load_Switch_NFET[[#This Row],[VDSMAX]]&lt;=30)</f>
        <v>1</v>
      </c>
      <c r="E61" s="20" t="b">
        <f>AND(Vi&lt;=36,Vi&gt;=20,Load_Switch_NFET[[#This Row],[VDSMAX]]=40)</f>
        <v>0</v>
      </c>
      <c r="F61" s="20" t="b">
        <f>AND(Vi&lt;=54,Vi&gt;=25,Load_Switch_NFET[[#This Row],[VDSMAX]]=60)</f>
        <v>0</v>
      </c>
      <c r="G61" s="20" t="b">
        <f>AND(Vi&lt;=72,Vi&gt;=36,Load_Switch_NFET[[#This Row],[VDSMAX]]=80)</f>
        <v>0</v>
      </c>
      <c r="H61" s="20" t="b">
        <f>AND(Vi&lt;=90,Vi&gt;=48,Load_Switch_NFET[[#This Row],[VDSMAX]]=100)</f>
        <v>0</v>
      </c>
      <c r="I61" s="20" t="b">
        <f t="shared" si="0"/>
        <v>1</v>
      </c>
      <c r="J61" s="20" t="b">
        <f>AND(((VGS_DR)&lt;2.5),('NFET Data'!$AC61&lt;&gt;"(Null)"))</f>
        <v>0</v>
      </c>
      <c r="K61" s="20" t="b">
        <f>AND(((VGS_DR)&gt;=2.5),((VGS_DR)&lt;3),OR(('NFET Data'!$AD61&lt;&gt;"(Null)"),('NFET Data'!$AC61&lt;&gt;"(Null)")))</f>
        <v>0</v>
      </c>
      <c r="L61" s="20" t="b">
        <f>AND(((VGS_DR)&gt;=3),((VGS_DR)&lt;4.5),OR(('NFET Data'!$AE61&lt;&gt;"(Null)"),('NFET Data'!$AD61&lt;&gt;"(Null)"),('NFET Data'!$AC61&lt;&gt;"(Null)")))</f>
        <v>0</v>
      </c>
      <c r="M61" s="20" t="b">
        <f>AND(((VGS_DR)&gt;=4.5),((VGS_DR)&lt;6),OR(('NFET Data'!$AF61&lt;&gt;"(Null)"),('NFET Data'!$AE61&lt;&gt;"(Null)"),('NFET Data'!$AD61&lt;&gt;"(Null)"),('NFET Data'!$AC61&lt;&gt;"(Null)")))</f>
        <v>1</v>
      </c>
      <c r="N61" s="20" t="b">
        <f>AND(((VGS_DR)&gt;=6),((VGS_DR)&lt;8),OR(('NFET Data'!$AG61&lt;&gt;"(Null)"),('NFET Data'!$AF61&lt;&gt;"(Null)"),('NFET Data'!$AE61&lt;&gt;"(Null)"),('NFET Data'!$AD61&lt;&gt;"(Null)"),('NFET Data'!$AC61&lt;&gt;"(Null)")))</f>
        <v>0</v>
      </c>
      <c r="O61" s="20" t="b">
        <f>AND(((VGS_DR)&gt;=8),((VGS_DR)&lt;10),OR(('NFET Data'!$AH61&lt;&gt;"(Null)"),('NFET Data'!$AG61&lt;&gt;"(Null)"),('NFET Data'!$AF61&lt;&gt;"(Null)"),('NFET Data'!$AE61&lt;&gt;"(Null)"),('NFET Data'!$AD61&lt;&gt;"(Null)"),('NFET Data'!$AC61&lt;&gt;"(Null)")))</f>
        <v>0</v>
      </c>
      <c r="P61" s="20" t="b">
        <f>AND(((VGS_DR)&gt;=10),OR(('NFET Data'!$AI61&lt;&gt;"(Null)"),('NFET Data'!$AH61&lt;&gt;"(Null)"),('NFET Data'!$AG61&lt;&gt;"(Null)"),('NFET Data'!$AF61&lt;&gt;"(Null)"),('NFET Data'!$AE61&lt;&gt;"(Null)"),('NFET Data'!$AD61&lt;&gt;"(Null)"),('NFET Data'!$AC61&lt;&gt;"(Null)")))</f>
        <v>0</v>
      </c>
      <c r="Q61" s="20" t="b">
        <f t="shared" si="1"/>
        <v>1</v>
      </c>
      <c r="R61" s="20" t="b">
        <f t="shared" si="2"/>
        <v>1</v>
      </c>
    </row>
    <row r="62" spans="1:18" x14ac:dyDescent="0.25">
      <c r="A62" s="20" t="str">
        <f>IF(R62,Load_Switch_NFET[[#This Row],[PARTNUMBER]],"")</f>
        <v>CSD17527Q5A</v>
      </c>
      <c r="B62" t="s">
        <v>644</v>
      </c>
      <c r="C62" s="20" t="b">
        <f>AND((Load_Switch_NFET[[#This Row],[VDSMAX]]&gt;=Vi*1.1),(Load_Switch_NFET[[#This Row],[VGSMAX]]&gt;=(VGS_DR)*1.1),(Load_Switch_NFET[[#This Row],[IDSMAX]]&gt;=Io),VGS_DR&gt;=1.8)</f>
        <v>1</v>
      </c>
      <c r="D62" s="20" t="b">
        <f>AND(Vi&lt;=27,Load_Switch_NFET[[#This Row],[VDSMAX]]&lt;=30)</f>
        <v>1</v>
      </c>
      <c r="E62" s="20" t="b">
        <f>AND(Vi&lt;=36,Vi&gt;=20,Load_Switch_NFET[[#This Row],[VDSMAX]]=40)</f>
        <v>0</v>
      </c>
      <c r="F62" s="20" t="b">
        <f>AND(Vi&lt;=54,Vi&gt;=25,Load_Switch_NFET[[#This Row],[VDSMAX]]=60)</f>
        <v>0</v>
      </c>
      <c r="G62" s="20" t="b">
        <f>AND(Vi&lt;=72,Vi&gt;=36,Load_Switch_NFET[[#This Row],[VDSMAX]]=80)</f>
        <v>0</v>
      </c>
      <c r="H62" s="20" t="b">
        <f>AND(Vi&lt;=90,Vi&gt;=48,Load_Switch_NFET[[#This Row],[VDSMAX]]=100)</f>
        <v>0</v>
      </c>
      <c r="I62" s="20" t="b">
        <f t="shared" si="0"/>
        <v>1</v>
      </c>
      <c r="J62" s="20" t="b">
        <f>AND(((VGS_DR)&lt;2.5),('NFET Data'!$AC62&lt;&gt;"(Null)"))</f>
        <v>0</v>
      </c>
      <c r="K62" s="20" t="b">
        <f>AND(((VGS_DR)&gt;=2.5),((VGS_DR)&lt;3),OR(('NFET Data'!$AD62&lt;&gt;"(Null)"),('NFET Data'!$AC62&lt;&gt;"(Null)")))</f>
        <v>0</v>
      </c>
      <c r="L62" s="20" t="b">
        <f>AND(((VGS_DR)&gt;=3),((VGS_DR)&lt;4.5),OR(('NFET Data'!$AE62&lt;&gt;"(Null)"),('NFET Data'!$AD62&lt;&gt;"(Null)"),('NFET Data'!$AC62&lt;&gt;"(Null)")))</f>
        <v>0</v>
      </c>
      <c r="M62" s="20" t="b">
        <f>AND(((VGS_DR)&gt;=4.5),((VGS_DR)&lt;6),OR(('NFET Data'!$AF62&lt;&gt;"(Null)"),('NFET Data'!$AE62&lt;&gt;"(Null)"),('NFET Data'!$AD62&lt;&gt;"(Null)"),('NFET Data'!$AC62&lt;&gt;"(Null)")))</f>
        <v>1</v>
      </c>
      <c r="N62" s="20" t="b">
        <f>AND(((VGS_DR)&gt;=6),((VGS_DR)&lt;8),OR(('NFET Data'!$AG62&lt;&gt;"(Null)"),('NFET Data'!$AF62&lt;&gt;"(Null)"),('NFET Data'!$AE62&lt;&gt;"(Null)"),('NFET Data'!$AD62&lt;&gt;"(Null)"),('NFET Data'!$AC62&lt;&gt;"(Null)")))</f>
        <v>0</v>
      </c>
      <c r="O62" s="20" t="b">
        <f>AND(((VGS_DR)&gt;=8),((VGS_DR)&lt;10),OR(('NFET Data'!$AH62&lt;&gt;"(Null)"),('NFET Data'!$AG62&lt;&gt;"(Null)"),('NFET Data'!$AF62&lt;&gt;"(Null)"),('NFET Data'!$AE62&lt;&gt;"(Null)"),('NFET Data'!$AD62&lt;&gt;"(Null)"),('NFET Data'!$AC62&lt;&gt;"(Null)")))</f>
        <v>0</v>
      </c>
      <c r="P62" s="20" t="b">
        <f>AND(((VGS_DR)&gt;=10),OR(('NFET Data'!$AI62&lt;&gt;"(Null)"),('NFET Data'!$AH62&lt;&gt;"(Null)"),('NFET Data'!$AG62&lt;&gt;"(Null)"),('NFET Data'!$AF62&lt;&gt;"(Null)"),('NFET Data'!$AE62&lt;&gt;"(Null)"),('NFET Data'!$AD62&lt;&gt;"(Null)"),('NFET Data'!$AC62&lt;&gt;"(Null)")))</f>
        <v>0</v>
      </c>
      <c r="Q62" s="20" t="b">
        <f t="shared" si="1"/>
        <v>1</v>
      </c>
      <c r="R62" s="20" t="b">
        <f t="shared" si="2"/>
        <v>1</v>
      </c>
    </row>
    <row r="63" spans="1:18" x14ac:dyDescent="0.25">
      <c r="A63" s="20" t="str">
        <f>IF(R63,Load_Switch_NFET[[#This Row],[PARTNUMBER]],"")</f>
        <v>CSD17551Q3A</v>
      </c>
      <c r="B63" t="s">
        <v>645</v>
      </c>
      <c r="C63" s="20" t="b">
        <f>AND((Load_Switch_NFET[[#This Row],[VDSMAX]]&gt;=Vi*1.1),(Load_Switch_NFET[[#This Row],[VGSMAX]]&gt;=(VGS_DR)*1.1),(Load_Switch_NFET[[#This Row],[IDSMAX]]&gt;=Io),VGS_DR&gt;=1.8)</f>
        <v>1</v>
      </c>
      <c r="D63" s="20" t="b">
        <f>AND(Vi&lt;=27,Load_Switch_NFET[[#This Row],[VDSMAX]]&lt;=30)</f>
        <v>1</v>
      </c>
      <c r="E63" s="20" t="b">
        <f>AND(Vi&lt;=36,Vi&gt;=20,Load_Switch_NFET[[#This Row],[VDSMAX]]=40)</f>
        <v>0</v>
      </c>
      <c r="F63" s="20" t="b">
        <f>AND(Vi&lt;=54,Vi&gt;=25,Load_Switch_NFET[[#This Row],[VDSMAX]]=60)</f>
        <v>0</v>
      </c>
      <c r="G63" s="20" t="b">
        <f>AND(Vi&lt;=72,Vi&gt;=36,Load_Switch_NFET[[#This Row],[VDSMAX]]=80)</f>
        <v>0</v>
      </c>
      <c r="H63" s="20" t="b">
        <f>AND(Vi&lt;=90,Vi&gt;=48,Load_Switch_NFET[[#This Row],[VDSMAX]]=100)</f>
        <v>0</v>
      </c>
      <c r="I63" s="20" t="b">
        <f t="shared" si="0"/>
        <v>1</v>
      </c>
      <c r="J63" s="20" t="b">
        <f>AND(((VGS_DR)&lt;2.5),('NFET Data'!$AC63&lt;&gt;"(Null)"))</f>
        <v>0</v>
      </c>
      <c r="K63" s="20" t="b">
        <f>AND(((VGS_DR)&gt;=2.5),((VGS_DR)&lt;3),OR(('NFET Data'!$AD63&lt;&gt;"(Null)"),('NFET Data'!$AC63&lt;&gt;"(Null)")))</f>
        <v>0</v>
      </c>
      <c r="L63" s="20" t="b">
        <f>AND(((VGS_DR)&gt;=3),((VGS_DR)&lt;4.5),OR(('NFET Data'!$AE63&lt;&gt;"(Null)"),('NFET Data'!$AD63&lt;&gt;"(Null)"),('NFET Data'!$AC63&lt;&gt;"(Null)")))</f>
        <v>0</v>
      </c>
      <c r="M63" s="20" t="b">
        <f>AND(((VGS_DR)&gt;=4.5),((VGS_DR)&lt;6),OR(('NFET Data'!$AF63&lt;&gt;"(Null)"),('NFET Data'!$AE63&lt;&gt;"(Null)"),('NFET Data'!$AD63&lt;&gt;"(Null)"),('NFET Data'!$AC63&lt;&gt;"(Null)")))</f>
        <v>1</v>
      </c>
      <c r="N63" s="20" t="b">
        <f>AND(((VGS_DR)&gt;=6),((VGS_DR)&lt;8),OR(('NFET Data'!$AG63&lt;&gt;"(Null)"),('NFET Data'!$AF63&lt;&gt;"(Null)"),('NFET Data'!$AE63&lt;&gt;"(Null)"),('NFET Data'!$AD63&lt;&gt;"(Null)"),('NFET Data'!$AC63&lt;&gt;"(Null)")))</f>
        <v>0</v>
      </c>
      <c r="O63" s="20" t="b">
        <f>AND(((VGS_DR)&gt;=8),((VGS_DR)&lt;10),OR(('NFET Data'!$AH63&lt;&gt;"(Null)"),('NFET Data'!$AG63&lt;&gt;"(Null)"),('NFET Data'!$AF63&lt;&gt;"(Null)"),('NFET Data'!$AE63&lt;&gt;"(Null)"),('NFET Data'!$AD63&lt;&gt;"(Null)"),('NFET Data'!$AC63&lt;&gt;"(Null)")))</f>
        <v>0</v>
      </c>
      <c r="P63" s="20" t="b">
        <f>AND(((VGS_DR)&gt;=10),OR(('NFET Data'!$AI63&lt;&gt;"(Null)"),('NFET Data'!$AH63&lt;&gt;"(Null)"),('NFET Data'!$AG63&lt;&gt;"(Null)"),('NFET Data'!$AF63&lt;&gt;"(Null)"),('NFET Data'!$AE63&lt;&gt;"(Null)"),('NFET Data'!$AD63&lt;&gt;"(Null)"),('NFET Data'!$AC63&lt;&gt;"(Null)")))</f>
        <v>0</v>
      </c>
      <c r="Q63" s="20" t="b">
        <f t="shared" si="1"/>
        <v>1</v>
      </c>
      <c r="R63" s="20" t="b">
        <f t="shared" si="2"/>
        <v>1</v>
      </c>
    </row>
    <row r="64" spans="1:18" x14ac:dyDescent="0.25">
      <c r="A64" s="20" t="str">
        <f>IF(R64,Load_Switch_NFET[[#This Row],[PARTNUMBER]],"")</f>
        <v>CSD17551Q5A</v>
      </c>
      <c r="B64" t="s">
        <v>646</v>
      </c>
      <c r="C64" s="20" t="b">
        <f>AND((Load_Switch_NFET[[#This Row],[VDSMAX]]&gt;=Vi*1.1),(Load_Switch_NFET[[#This Row],[VGSMAX]]&gt;=(VGS_DR)*1.1),(Load_Switch_NFET[[#This Row],[IDSMAX]]&gt;=Io),VGS_DR&gt;=1.8)</f>
        <v>1</v>
      </c>
      <c r="D64" s="20" t="b">
        <f>AND(Vi&lt;=27,Load_Switch_NFET[[#This Row],[VDSMAX]]&lt;=30)</f>
        <v>1</v>
      </c>
      <c r="E64" s="20" t="b">
        <f>AND(Vi&lt;=36,Vi&gt;=20,Load_Switch_NFET[[#This Row],[VDSMAX]]=40)</f>
        <v>0</v>
      </c>
      <c r="F64" s="20" t="b">
        <f>AND(Vi&lt;=54,Vi&gt;=25,Load_Switch_NFET[[#This Row],[VDSMAX]]=60)</f>
        <v>0</v>
      </c>
      <c r="G64" s="20" t="b">
        <f>AND(Vi&lt;=72,Vi&gt;=36,Load_Switch_NFET[[#This Row],[VDSMAX]]=80)</f>
        <v>0</v>
      </c>
      <c r="H64" s="20" t="b">
        <f>AND(Vi&lt;=90,Vi&gt;=48,Load_Switch_NFET[[#This Row],[VDSMAX]]=100)</f>
        <v>0</v>
      </c>
      <c r="I64" s="20" t="b">
        <f t="shared" si="0"/>
        <v>1</v>
      </c>
      <c r="J64" s="20" t="b">
        <f>AND(((VGS_DR)&lt;2.5),('NFET Data'!$AC64&lt;&gt;"(Null)"))</f>
        <v>0</v>
      </c>
      <c r="K64" s="20" t="b">
        <f>AND(((VGS_DR)&gt;=2.5),((VGS_DR)&lt;3),OR(('NFET Data'!$AD64&lt;&gt;"(Null)"),('NFET Data'!$AC64&lt;&gt;"(Null)")))</f>
        <v>0</v>
      </c>
      <c r="L64" s="20" t="b">
        <f>AND(((VGS_DR)&gt;=3),((VGS_DR)&lt;4.5),OR(('NFET Data'!$AE64&lt;&gt;"(Null)"),('NFET Data'!$AD64&lt;&gt;"(Null)"),('NFET Data'!$AC64&lt;&gt;"(Null)")))</f>
        <v>0</v>
      </c>
      <c r="M64" s="20" t="b">
        <f>AND(((VGS_DR)&gt;=4.5),((VGS_DR)&lt;6),OR(('NFET Data'!$AF64&lt;&gt;"(Null)"),('NFET Data'!$AE64&lt;&gt;"(Null)"),('NFET Data'!$AD64&lt;&gt;"(Null)"),('NFET Data'!$AC64&lt;&gt;"(Null)")))</f>
        <v>1</v>
      </c>
      <c r="N64" s="20" t="b">
        <f>AND(((VGS_DR)&gt;=6),((VGS_DR)&lt;8),OR(('NFET Data'!$AG64&lt;&gt;"(Null)"),('NFET Data'!$AF64&lt;&gt;"(Null)"),('NFET Data'!$AE64&lt;&gt;"(Null)"),('NFET Data'!$AD64&lt;&gt;"(Null)"),('NFET Data'!$AC64&lt;&gt;"(Null)")))</f>
        <v>0</v>
      </c>
      <c r="O64" s="20" t="b">
        <f>AND(((VGS_DR)&gt;=8),((VGS_DR)&lt;10),OR(('NFET Data'!$AH64&lt;&gt;"(Null)"),('NFET Data'!$AG64&lt;&gt;"(Null)"),('NFET Data'!$AF64&lt;&gt;"(Null)"),('NFET Data'!$AE64&lt;&gt;"(Null)"),('NFET Data'!$AD64&lt;&gt;"(Null)"),('NFET Data'!$AC64&lt;&gt;"(Null)")))</f>
        <v>0</v>
      </c>
      <c r="P64" s="20" t="b">
        <f>AND(((VGS_DR)&gt;=10),OR(('NFET Data'!$AI64&lt;&gt;"(Null)"),('NFET Data'!$AH64&lt;&gt;"(Null)"),('NFET Data'!$AG64&lt;&gt;"(Null)"),('NFET Data'!$AF64&lt;&gt;"(Null)"),('NFET Data'!$AE64&lt;&gt;"(Null)"),('NFET Data'!$AD64&lt;&gt;"(Null)"),('NFET Data'!$AC64&lt;&gt;"(Null)")))</f>
        <v>0</v>
      </c>
      <c r="Q64" s="20" t="b">
        <f t="shared" si="1"/>
        <v>1</v>
      </c>
      <c r="R64" s="20" t="b">
        <f t="shared" si="2"/>
        <v>1</v>
      </c>
    </row>
    <row r="65" spans="1:18" x14ac:dyDescent="0.25">
      <c r="A65" s="20" t="str">
        <f>IF(R65,Load_Switch_NFET[[#This Row],[PARTNUMBER]],"")</f>
        <v>CSD17552Q3A</v>
      </c>
      <c r="B65" t="s">
        <v>647</v>
      </c>
      <c r="C65" s="20" t="b">
        <f>AND((Load_Switch_NFET[[#This Row],[VDSMAX]]&gt;=Vi*1.1),(Load_Switch_NFET[[#This Row],[VGSMAX]]&gt;=(VGS_DR)*1.1),(Load_Switch_NFET[[#This Row],[IDSMAX]]&gt;=Io),VGS_DR&gt;=1.8)</f>
        <v>1</v>
      </c>
      <c r="D65" s="20" t="b">
        <f>AND(Vi&lt;=27,Load_Switch_NFET[[#This Row],[VDSMAX]]&lt;=30)</f>
        <v>1</v>
      </c>
      <c r="E65" s="20" t="b">
        <f>AND(Vi&lt;=36,Vi&gt;=20,Load_Switch_NFET[[#This Row],[VDSMAX]]=40)</f>
        <v>0</v>
      </c>
      <c r="F65" s="20" t="b">
        <f>AND(Vi&lt;=54,Vi&gt;=25,Load_Switch_NFET[[#This Row],[VDSMAX]]=60)</f>
        <v>0</v>
      </c>
      <c r="G65" s="20" t="b">
        <f>AND(Vi&lt;=72,Vi&gt;=36,Load_Switch_NFET[[#This Row],[VDSMAX]]=80)</f>
        <v>0</v>
      </c>
      <c r="H65" s="20" t="b">
        <f>AND(Vi&lt;=90,Vi&gt;=48,Load_Switch_NFET[[#This Row],[VDSMAX]]=100)</f>
        <v>0</v>
      </c>
      <c r="I65" s="20" t="b">
        <f t="shared" si="0"/>
        <v>1</v>
      </c>
      <c r="J65" s="20" t="b">
        <f>AND(((VGS_DR)&lt;2.5),('NFET Data'!$AC65&lt;&gt;"(Null)"))</f>
        <v>0</v>
      </c>
      <c r="K65" s="20" t="b">
        <f>AND(((VGS_DR)&gt;=2.5),((VGS_DR)&lt;3),OR(('NFET Data'!$AD65&lt;&gt;"(Null)"),('NFET Data'!$AC65&lt;&gt;"(Null)")))</f>
        <v>0</v>
      </c>
      <c r="L65" s="20" t="b">
        <f>AND(((VGS_DR)&gt;=3),((VGS_DR)&lt;4.5),OR(('NFET Data'!$AE65&lt;&gt;"(Null)"),('NFET Data'!$AD65&lt;&gt;"(Null)"),('NFET Data'!$AC65&lt;&gt;"(Null)")))</f>
        <v>0</v>
      </c>
      <c r="M65" s="20" t="b">
        <f>AND(((VGS_DR)&gt;=4.5),((VGS_DR)&lt;6),OR(('NFET Data'!$AF65&lt;&gt;"(Null)"),('NFET Data'!$AE65&lt;&gt;"(Null)"),('NFET Data'!$AD65&lt;&gt;"(Null)"),('NFET Data'!$AC65&lt;&gt;"(Null)")))</f>
        <v>1</v>
      </c>
      <c r="N65" s="20" t="b">
        <f>AND(((VGS_DR)&gt;=6),((VGS_DR)&lt;8),OR(('NFET Data'!$AG65&lt;&gt;"(Null)"),('NFET Data'!$AF65&lt;&gt;"(Null)"),('NFET Data'!$AE65&lt;&gt;"(Null)"),('NFET Data'!$AD65&lt;&gt;"(Null)"),('NFET Data'!$AC65&lt;&gt;"(Null)")))</f>
        <v>0</v>
      </c>
      <c r="O65" s="20" t="b">
        <f>AND(((VGS_DR)&gt;=8),((VGS_DR)&lt;10),OR(('NFET Data'!$AH65&lt;&gt;"(Null)"),('NFET Data'!$AG65&lt;&gt;"(Null)"),('NFET Data'!$AF65&lt;&gt;"(Null)"),('NFET Data'!$AE65&lt;&gt;"(Null)"),('NFET Data'!$AD65&lt;&gt;"(Null)"),('NFET Data'!$AC65&lt;&gt;"(Null)")))</f>
        <v>0</v>
      </c>
      <c r="P65" s="20" t="b">
        <f>AND(((VGS_DR)&gt;=10),OR(('NFET Data'!$AI65&lt;&gt;"(Null)"),('NFET Data'!$AH65&lt;&gt;"(Null)"),('NFET Data'!$AG65&lt;&gt;"(Null)"),('NFET Data'!$AF65&lt;&gt;"(Null)"),('NFET Data'!$AE65&lt;&gt;"(Null)"),('NFET Data'!$AD65&lt;&gt;"(Null)"),('NFET Data'!$AC65&lt;&gt;"(Null)")))</f>
        <v>0</v>
      </c>
      <c r="Q65" s="20" t="b">
        <f t="shared" si="1"/>
        <v>1</v>
      </c>
      <c r="R65" s="20" t="b">
        <f t="shared" si="2"/>
        <v>1</v>
      </c>
    </row>
    <row r="66" spans="1:18" x14ac:dyDescent="0.25">
      <c r="A66" s="20" t="str">
        <f>IF(R66,Load_Switch_NFET[[#This Row],[PARTNUMBER]],"")</f>
        <v>CSD17552Q5A</v>
      </c>
      <c r="B66" t="s">
        <v>210</v>
      </c>
      <c r="C66" s="20" t="b">
        <f>AND((Load_Switch_NFET[[#This Row],[VDSMAX]]&gt;=Vi*1.1),(Load_Switch_NFET[[#This Row],[VGSMAX]]&gt;=(VGS_DR)*1.1),(Load_Switch_NFET[[#This Row],[IDSMAX]]&gt;=Io),VGS_DR&gt;=1.8)</f>
        <v>1</v>
      </c>
      <c r="D66" s="20" t="b">
        <f>AND(Vi&lt;=27,Load_Switch_NFET[[#This Row],[VDSMAX]]&lt;=30)</f>
        <v>1</v>
      </c>
      <c r="E66" s="20" t="b">
        <f>AND(Vi&lt;=36,Vi&gt;=20,Load_Switch_NFET[[#This Row],[VDSMAX]]=40)</f>
        <v>0</v>
      </c>
      <c r="F66" s="20" t="b">
        <f>AND(Vi&lt;=54,Vi&gt;=25,Load_Switch_NFET[[#This Row],[VDSMAX]]=60)</f>
        <v>0</v>
      </c>
      <c r="G66" s="20" t="b">
        <f>AND(Vi&lt;=72,Vi&gt;=36,Load_Switch_NFET[[#This Row],[VDSMAX]]=80)</f>
        <v>0</v>
      </c>
      <c r="H66" s="20" t="b">
        <f>AND(Vi&lt;=90,Vi&gt;=48,Load_Switch_NFET[[#This Row],[VDSMAX]]=100)</f>
        <v>0</v>
      </c>
      <c r="I66" s="20" t="b">
        <f t="shared" si="0"/>
        <v>1</v>
      </c>
      <c r="J66" s="20" t="b">
        <f>AND(((VGS_DR)&lt;2.5),('NFET Data'!$AC66&lt;&gt;"(Null)"))</f>
        <v>0</v>
      </c>
      <c r="K66" s="20" t="b">
        <f>AND(((VGS_DR)&gt;=2.5),((VGS_DR)&lt;3),OR(('NFET Data'!$AD66&lt;&gt;"(Null)"),('NFET Data'!$AC66&lt;&gt;"(Null)")))</f>
        <v>0</v>
      </c>
      <c r="L66" s="20" t="b">
        <f>AND(((VGS_DR)&gt;=3),((VGS_DR)&lt;4.5),OR(('NFET Data'!$AE66&lt;&gt;"(Null)"),('NFET Data'!$AD66&lt;&gt;"(Null)"),('NFET Data'!$AC66&lt;&gt;"(Null)")))</f>
        <v>0</v>
      </c>
      <c r="M66" s="20" t="b">
        <f>AND(((VGS_DR)&gt;=4.5),((VGS_DR)&lt;6),OR(('NFET Data'!$AF66&lt;&gt;"(Null)"),('NFET Data'!$AE66&lt;&gt;"(Null)"),('NFET Data'!$AD66&lt;&gt;"(Null)"),('NFET Data'!$AC66&lt;&gt;"(Null)")))</f>
        <v>1</v>
      </c>
      <c r="N66" s="20" t="b">
        <f>AND(((VGS_DR)&gt;=6),((VGS_DR)&lt;8),OR(('NFET Data'!$AG66&lt;&gt;"(Null)"),('NFET Data'!$AF66&lt;&gt;"(Null)"),('NFET Data'!$AE66&lt;&gt;"(Null)"),('NFET Data'!$AD66&lt;&gt;"(Null)"),('NFET Data'!$AC66&lt;&gt;"(Null)")))</f>
        <v>0</v>
      </c>
      <c r="O66" s="20" t="b">
        <f>AND(((VGS_DR)&gt;=8),((VGS_DR)&lt;10),OR(('NFET Data'!$AH66&lt;&gt;"(Null)"),('NFET Data'!$AG66&lt;&gt;"(Null)"),('NFET Data'!$AF66&lt;&gt;"(Null)"),('NFET Data'!$AE66&lt;&gt;"(Null)"),('NFET Data'!$AD66&lt;&gt;"(Null)"),('NFET Data'!$AC66&lt;&gt;"(Null)")))</f>
        <v>0</v>
      </c>
      <c r="P66" s="20" t="b">
        <f>AND(((VGS_DR)&gt;=10),OR(('NFET Data'!$AI66&lt;&gt;"(Null)"),('NFET Data'!$AH66&lt;&gt;"(Null)"),('NFET Data'!$AG66&lt;&gt;"(Null)"),('NFET Data'!$AF66&lt;&gt;"(Null)"),('NFET Data'!$AE66&lt;&gt;"(Null)"),('NFET Data'!$AD66&lt;&gt;"(Null)"),('NFET Data'!$AC66&lt;&gt;"(Null)")))</f>
        <v>0</v>
      </c>
      <c r="Q66" s="20" t="b">
        <f t="shared" si="1"/>
        <v>1</v>
      </c>
      <c r="R66" s="20" t="b">
        <f t="shared" si="2"/>
        <v>1</v>
      </c>
    </row>
    <row r="67" spans="1:18" x14ac:dyDescent="0.25">
      <c r="A67" s="20" t="str">
        <f>IF(R67,Load_Switch_NFET[[#This Row],[PARTNUMBER]],"")</f>
        <v>CSD17553Q5A</v>
      </c>
      <c r="B67" t="s">
        <v>214</v>
      </c>
      <c r="C67" s="20" t="b">
        <f>AND((Load_Switch_NFET[[#This Row],[VDSMAX]]&gt;=Vi*1.1),(Load_Switch_NFET[[#This Row],[VGSMAX]]&gt;=(VGS_DR)*1.1),(Load_Switch_NFET[[#This Row],[IDSMAX]]&gt;=Io),VGS_DR&gt;=1.8)</f>
        <v>1</v>
      </c>
      <c r="D67" s="20" t="b">
        <f>AND(Vi&lt;=27,Load_Switch_NFET[[#This Row],[VDSMAX]]&lt;=30)</f>
        <v>1</v>
      </c>
      <c r="E67" s="20" t="b">
        <f>AND(Vi&lt;=36,Vi&gt;=20,Load_Switch_NFET[[#This Row],[VDSMAX]]=40)</f>
        <v>0</v>
      </c>
      <c r="F67" s="20" t="b">
        <f>AND(Vi&lt;=54,Vi&gt;=25,Load_Switch_NFET[[#This Row],[VDSMAX]]=60)</f>
        <v>0</v>
      </c>
      <c r="G67" s="20" t="b">
        <f>AND(Vi&lt;=72,Vi&gt;=36,Load_Switch_NFET[[#This Row],[VDSMAX]]=80)</f>
        <v>0</v>
      </c>
      <c r="H67" s="20" t="b">
        <f>AND(Vi&lt;=90,Vi&gt;=48,Load_Switch_NFET[[#This Row],[VDSMAX]]=100)</f>
        <v>0</v>
      </c>
      <c r="I67" s="20" t="b">
        <f t="shared" ref="I67:I130" si="9">OR(D67:H67)</f>
        <v>1</v>
      </c>
      <c r="J67" s="20" t="b">
        <f>AND(((VGS_DR)&lt;2.5),('NFET Data'!$AC67&lt;&gt;"(Null)"))</f>
        <v>0</v>
      </c>
      <c r="K67" s="20" t="b">
        <f>AND(((VGS_DR)&gt;=2.5),((VGS_DR)&lt;3),OR(('NFET Data'!$AD67&lt;&gt;"(Null)"),('NFET Data'!$AC67&lt;&gt;"(Null)")))</f>
        <v>0</v>
      </c>
      <c r="L67" s="20" t="b">
        <f>AND(((VGS_DR)&gt;=3),((VGS_DR)&lt;4.5),OR(('NFET Data'!$AE67&lt;&gt;"(Null)"),('NFET Data'!$AD67&lt;&gt;"(Null)"),('NFET Data'!$AC67&lt;&gt;"(Null)")))</f>
        <v>0</v>
      </c>
      <c r="M67" s="20" t="b">
        <f>AND(((VGS_DR)&gt;=4.5),((VGS_DR)&lt;6),OR(('NFET Data'!$AF67&lt;&gt;"(Null)"),('NFET Data'!$AE67&lt;&gt;"(Null)"),('NFET Data'!$AD67&lt;&gt;"(Null)"),('NFET Data'!$AC67&lt;&gt;"(Null)")))</f>
        <v>1</v>
      </c>
      <c r="N67" s="20" t="b">
        <f>AND(((VGS_DR)&gt;=6),((VGS_DR)&lt;8),OR(('NFET Data'!$AG67&lt;&gt;"(Null)"),('NFET Data'!$AF67&lt;&gt;"(Null)"),('NFET Data'!$AE67&lt;&gt;"(Null)"),('NFET Data'!$AD67&lt;&gt;"(Null)"),('NFET Data'!$AC67&lt;&gt;"(Null)")))</f>
        <v>0</v>
      </c>
      <c r="O67" s="20" t="b">
        <f>AND(((VGS_DR)&gt;=8),((VGS_DR)&lt;10),OR(('NFET Data'!$AH67&lt;&gt;"(Null)"),('NFET Data'!$AG67&lt;&gt;"(Null)"),('NFET Data'!$AF67&lt;&gt;"(Null)"),('NFET Data'!$AE67&lt;&gt;"(Null)"),('NFET Data'!$AD67&lt;&gt;"(Null)"),('NFET Data'!$AC67&lt;&gt;"(Null)")))</f>
        <v>0</v>
      </c>
      <c r="P67" s="20" t="b">
        <f>AND(((VGS_DR)&gt;=10),OR(('NFET Data'!$AI67&lt;&gt;"(Null)"),('NFET Data'!$AH67&lt;&gt;"(Null)"),('NFET Data'!$AG67&lt;&gt;"(Null)"),('NFET Data'!$AF67&lt;&gt;"(Null)"),('NFET Data'!$AE67&lt;&gt;"(Null)"),('NFET Data'!$AD67&lt;&gt;"(Null)"),('NFET Data'!$AC67&lt;&gt;"(Null)")))</f>
        <v>0</v>
      </c>
      <c r="Q67" s="20" t="b">
        <f t="shared" ref="Q67:Q130" si="10">OR(J67:P67)</f>
        <v>1</v>
      </c>
      <c r="R67" s="20" t="b">
        <f t="shared" ref="R67:R130" si="11">AND(C67,I67,Q67)</f>
        <v>1</v>
      </c>
    </row>
    <row r="68" spans="1:18" x14ac:dyDescent="0.25">
      <c r="A68" s="20" t="str">
        <f>IF(R68,Load_Switch_NFET[[#This Row],[PARTNUMBER]],"")</f>
        <v>CSD17555Q5A</v>
      </c>
      <c r="B68" t="s">
        <v>217</v>
      </c>
      <c r="C68" s="20" t="b">
        <f>AND((Load_Switch_NFET[[#This Row],[VDSMAX]]&gt;=Vi*1.1),(Load_Switch_NFET[[#This Row],[VGSMAX]]&gt;=(VGS_DR)*1.1),(Load_Switch_NFET[[#This Row],[IDSMAX]]&gt;=Io),VGS_DR&gt;=1.8)</f>
        <v>1</v>
      </c>
      <c r="D68" s="20" t="b">
        <f>AND(Vi&lt;=27,Load_Switch_NFET[[#This Row],[VDSMAX]]&lt;=30)</f>
        <v>1</v>
      </c>
      <c r="E68" s="20" t="b">
        <f>AND(Vi&lt;=36,Vi&gt;=20,Load_Switch_NFET[[#This Row],[VDSMAX]]=40)</f>
        <v>0</v>
      </c>
      <c r="F68" s="20" t="b">
        <f>AND(Vi&lt;=54,Vi&gt;=25,Load_Switch_NFET[[#This Row],[VDSMAX]]=60)</f>
        <v>0</v>
      </c>
      <c r="G68" s="20" t="b">
        <f>AND(Vi&lt;=72,Vi&gt;=36,Load_Switch_NFET[[#This Row],[VDSMAX]]=80)</f>
        <v>0</v>
      </c>
      <c r="H68" s="20" t="b">
        <f>AND(Vi&lt;=90,Vi&gt;=48,Load_Switch_NFET[[#This Row],[VDSMAX]]=100)</f>
        <v>0</v>
      </c>
      <c r="I68" s="20" t="b">
        <f t="shared" si="9"/>
        <v>1</v>
      </c>
      <c r="J68" s="20" t="b">
        <f>AND(((VGS_DR)&lt;2.5),('NFET Data'!$AC68&lt;&gt;"(Null)"))</f>
        <v>0</v>
      </c>
      <c r="K68" s="20" t="b">
        <f>AND(((VGS_DR)&gt;=2.5),((VGS_DR)&lt;3),OR(('NFET Data'!$AD68&lt;&gt;"(Null)"),('NFET Data'!$AC68&lt;&gt;"(Null)")))</f>
        <v>0</v>
      </c>
      <c r="L68" s="20" t="b">
        <f>AND(((VGS_DR)&gt;=3),((VGS_DR)&lt;4.5),OR(('NFET Data'!$AE68&lt;&gt;"(Null)"),('NFET Data'!$AD68&lt;&gt;"(Null)"),('NFET Data'!$AC68&lt;&gt;"(Null)")))</f>
        <v>0</v>
      </c>
      <c r="M68" s="20" t="b">
        <f>AND(((VGS_DR)&gt;=4.5),((VGS_DR)&lt;6),OR(('NFET Data'!$AF68&lt;&gt;"(Null)"),('NFET Data'!$AE68&lt;&gt;"(Null)"),('NFET Data'!$AD68&lt;&gt;"(Null)"),('NFET Data'!$AC68&lt;&gt;"(Null)")))</f>
        <v>1</v>
      </c>
      <c r="N68" s="20" t="b">
        <f>AND(((VGS_DR)&gt;=6),((VGS_DR)&lt;8),OR(('NFET Data'!$AG68&lt;&gt;"(Null)"),('NFET Data'!$AF68&lt;&gt;"(Null)"),('NFET Data'!$AE68&lt;&gt;"(Null)"),('NFET Data'!$AD68&lt;&gt;"(Null)"),('NFET Data'!$AC68&lt;&gt;"(Null)")))</f>
        <v>0</v>
      </c>
      <c r="O68" s="20" t="b">
        <f>AND(((VGS_DR)&gt;=8),((VGS_DR)&lt;10),OR(('NFET Data'!$AH68&lt;&gt;"(Null)"),('NFET Data'!$AG68&lt;&gt;"(Null)"),('NFET Data'!$AF68&lt;&gt;"(Null)"),('NFET Data'!$AE68&lt;&gt;"(Null)"),('NFET Data'!$AD68&lt;&gt;"(Null)"),('NFET Data'!$AC68&lt;&gt;"(Null)")))</f>
        <v>0</v>
      </c>
      <c r="P68" s="20" t="b">
        <f>AND(((VGS_DR)&gt;=10),OR(('NFET Data'!$AI68&lt;&gt;"(Null)"),('NFET Data'!$AH68&lt;&gt;"(Null)"),('NFET Data'!$AG68&lt;&gt;"(Null)"),('NFET Data'!$AF68&lt;&gt;"(Null)"),('NFET Data'!$AE68&lt;&gt;"(Null)"),('NFET Data'!$AD68&lt;&gt;"(Null)"),('NFET Data'!$AC68&lt;&gt;"(Null)")))</f>
        <v>0</v>
      </c>
      <c r="Q68" s="20" t="b">
        <f t="shared" si="10"/>
        <v>1</v>
      </c>
      <c r="R68" s="20" t="b">
        <f t="shared" si="11"/>
        <v>1</v>
      </c>
    </row>
    <row r="69" spans="1:18" x14ac:dyDescent="0.25">
      <c r="A69" s="20" t="str">
        <f>IF(R69,Load_Switch_NFET[[#This Row],[PARTNUMBER]],"")</f>
        <v>CSD17556Q5B</v>
      </c>
      <c r="B69" t="s">
        <v>219</v>
      </c>
      <c r="C69" s="20" t="b">
        <f>AND((Load_Switch_NFET[[#This Row],[VDSMAX]]&gt;=Vi*1.1),(Load_Switch_NFET[[#This Row],[VGSMAX]]&gt;=(VGS_DR)*1.1),(Load_Switch_NFET[[#This Row],[IDSMAX]]&gt;=Io),VGS_DR&gt;=1.8)</f>
        <v>1</v>
      </c>
      <c r="D69" s="20" t="b">
        <f>AND(Vi&lt;=27,Load_Switch_NFET[[#This Row],[VDSMAX]]&lt;=30)</f>
        <v>1</v>
      </c>
      <c r="E69" s="20" t="b">
        <f>AND(Vi&lt;=36,Vi&gt;=20,Load_Switch_NFET[[#This Row],[VDSMAX]]=40)</f>
        <v>0</v>
      </c>
      <c r="F69" s="20" t="b">
        <f>AND(Vi&lt;=54,Vi&gt;=25,Load_Switch_NFET[[#This Row],[VDSMAX]]=60)</f>
        <v>0</v>
      </c>
      <c r="G69" s="20" t="b">
        <f>AND(Vi&lt;=72,Vi&gt;=36,Load_Switch_NFET[[#This Row],[VDSMAX]]=80)</f>
        <v>0</v>
      </c>
      <c r="H69" s="20" t="b">
        <f>AND(Vi&lt;=90,Vi&gt;=48,Load_Switch_NFET[[#This Row],[VDSMAX]]=100)</f>
        <v>0</v>
      </c>
      <c r="I69" s="20" t="b">
        <f t="shared" si="9"/>
        <v>1</v>
      </c>
      <c r="J69" s="20" t="b">
        <f>AND(((VGS_DR)&lt;2.5),('NFET Data'!$AC69&lt;&gt;"(Null)"))</f>
        <v>0</v>
      </c>
      <c r="K69" s="20" t="b">
        <f>AND(((VGS_DR)&gt;=2.5),((VGS_DR)&lt;3),OR(('NFET Data'!$AD69&lt;&gt;"(Null)"),('NFET Data'!$AC69&lt;&gt;"(Null)")))</f>
        <v>0</v>
      </c>
      <c r="L69" s="20" t="b">
        <f>AND(((VGS_DR)&gt;=3),((VGS_DR)&lt;4.5),OR(('NFET Data'!$AE69&lt;&gt;"(Null)"),('NFET Data'!$AD69&lt;&gt;"(Null)"),('NFET Data'!$AC69&lt;&gt;"(Null)")))</f>
        <v>0</v>
      </c>
      <c r="M69" s="20" t="b">
        <f>AND(((VGS_DR)&gt;=4.5),((VGS_DR)&lt;6),OR(('NFET Data'!$AF69&lt;&gt;"(Null)"),('NFET Data'!$AE69&lt;&gt;"(Null)"),('NFET Data'!$AD69&lt;&gt;"(Null)"),('NFET Data'!$AC69&lt;&gt;"(Null)")))</f>
        <v>1</v>
      </c>
      <c r="N69" s="20" t="b">
        <f>AND(((VGS_DR)&gt;=6),((VGS_DR)&lt;8),OR(('NFET Data'!$AG69&lt;&gt;"(Null)"),('NFET Data'!$AF69&lt;&gt;"(Null)"),('NFET Data'!$AE69&lt;&gt;"(Null)"),('NFET Data'!$AD69&lt;&gt;"(Null)"),('NFET Data'!$AC69&lt;&gt;"(Null)")))</f>
        <v>0</v>
      </c>
      <c r="O69" s="20" t="b">
        <f>AND(((VGS_DR)&gt;=8),((VGS_DR)&lt;10),OR(('NFET Data'!$AH69&lt;&gt;"(Null)"),('NFET Data'!$AG69&lt;&gt;"(Null)"),('NFET Data'!$AF69&lt;&gt;"(Null)"),('NFET Data'!$AE69&lt;&gt;"(Null)"),('NFET Data'!$AD69&lt;&gt;"(Null)"),('NFET Data'!$AC69&lt;&gt;"(Null)")))</f>
        <v>0</v>
      </c>
      <c r="P69" s="20" t="b">
        <f>AND(((VGS_DR)&gt;=10),OR(('NFET Data'!$AI69&lt;&gt;"(Null)"),('NFET Data'!$AH69&lt;&gt;"(Null)"),('NFET Data'!$AG69&lt;&gt;"(Null)"),('NFET Data'!$AF69&lt;&gt;"(Null)"),('NFET Data'!$AE69&lt;&gt;"(Null)"),('NFET Data'!$AD69&lt;&gt;"(Null)"),('NFET Data'!$AC69&lt;&gt;"(Null)")))</f>
        <v>0</v>
      </c>
      <c r="Q69" s="20" t="b">
        <f t="shared" si="10"/>
        <v>1</v>
      </c>
      <c r="R69" s="20" t="b">
        <f t="shared" si="11"/>
        <v>1</v>
      </c>
    </row>
    <row r="70" spans="1:18" x14ac:dyDescent="0.25">
      <c r="A70" s="20" t="str">
        <f>IF(R70,Load_Switch_NFET[[#This Row],[PARTNUMBER]],"")</f>
        <v>CSD17559Q5</v>
      </c>
      <c r="B70" t="s">
        <v>222</v>
      </c>
      <c r="C70" s="20" t="b">
        <f>AND((Load_Switch_NFET[[#This Row],[VDSMAX]]&gt;=Vi*1.1),(Load_Switch_NFET[[#This Row],[VGSMAX]]&gt;=(VGS_DR)*1.1),(Load_Switch_NFET[[#This Row],[IDSMAX]]&gt;=Io),VGS_DR&gt;=1.8)</f>
        <v>1</v>
      </c>
      <c r="D70" s="20" t="b">
        <f>AND(Vi&lt;=27,Load_Switch_NFET[[#This Row],[VDSMAX]]&lt;=30)</f>
        <v>1</v>
      </c>
      <c r="E70" s="20" t="b">
        <f>AND(Vi&lt;=36,Vi&gt;=20,Load_Switch_NFET[[#This Row],[VDSMAX]]=40)</f>
        <v>0</v>
      </c>
      <c r="F70" s="20" t="b">
        <f>AND(Vi&lt;=54,Vi&gt;=25,Load_Switch_NFET[[#This Row],[VDSMAX]]=60)</f>
        <v>0</v>
      </c>
      <c r="G70" s="20" t="b">
        <f>AND(Vi&lt;=72,Vi&gt;=36,Load_Switch_NFET[[#This Row],[VDSMAX]]=80)</f>
        <v>0</v>
      </c>
      <c r="H70" s="20" t="b">
        <f>AND(Vi&lt;=90,Vi&gt;=48,Load_Switch_NFET[[#This Row],[VDSMAX]]=100)</f>
        <v>0</v>
      </c>
      <c r="I70" s="20" t="b">
        <f t="shared" si="9"/>
        <v>1</v>
      </c>
      <c r="J70" s="20" t="b">
        <f>AND(((VGS_DR)&lt;2.5),('NFET Data'!$AC70&lt;&gt;"(Null)"))</f>
        <v>0</v>
      </c>
      <c r="K70" s="20" t="b">
        <f>AND(((VGS_DR)&gt;=2.5),((VGS_DR)&lt;3),OR(('NFET Data'!$AD70&lt;&gt;"(Null)"),('NFET Data'!$AC70&lt;&gt;"(Null)")))</f>
        <v>0</v>
      </c>
      <c r="L70" s="20" t="b">
        <f>AND(((VGS_DR)&gt;=3),((VGS_DR)&lt;4.5),OR(('NFET Data'!$AE70&lt;&gt;"(Null)"),('NFET Data'!$AD70&lt;&gt;"(Null)"),('NFET Data'!$AC70&lt;&gt;"(Null)")))</f>
        <v>0</v>
      </c>
      <c r="M70" s="20" t="b">
        <f>AND(((VGS_DR)&gt;=4.5),((VGS_DR)&lt;6),OR(('NFET Data'!$AF70&lt;&gt;"(Null)"),('NFET Data'!$AE70&lt;&gt;"(Null)"),('NFET Data'!$AD70&lt;&gt;"(Null)"),('NFET Data'!$AC70&lt;&gt;"(Null)")))</f>
        <v>1</v>
      </c>
      <c r="N70" s="20" t="b">
        <f>AND(((VGS_DR)&gt;=6),((VGS_DR)&lt;8),OR(('NFET Data'!$AG70&lt;&gt;"(Null)"),('NFET Data'!$AF70&lt;&gt;"(Null)"),('NFET Data'!$AE70&lt;&gt;"(Null)"),('NFET Data'!$AD70&lt;&gt;"(Null)"),('NFET Data'!$AC70&lt;&gt;"(Null)")))</f>
        <v>0</v>
      </c>
      <c r="O70" s="20" t="b">
        <f>AND(((VGS_DR)&gt;=8),((VGS_DR)&lt;10),OR(('NFET Data'!$AH70&lt;&gt;"(Null)"),('NFET Data'!$AG70&lt;&gt;"(Null)"),('NFET Data'!$AF70&lt;&gt;"(Null)"),('NFET Data'!$AE70&lt;&gt;"(Null)"),('NFET Data'!$AD70&lt;&gt;"(Null)"),('NFET Data'!$AC70&lt;&gt;"(Null)")))</f>
        <v>0</v>
      </c>
      <c r="P70" s="20" t="b">
        <f>AND(((VGS_DR)&gt;=10),OR(('NFET Data'!$AI70&lt;&gt;"(Null)"),('NFET Data'!$AH70&lt;&gt;"(Null)"),('NFET Data'!$AG70&lt;&gt;"(Null)"),('NFET Data'!$AF70&lt;&gt;"(Null)"),('NFET Data'!$AE70&lt;&gt;"(Null)"),('NFET Data'!$AD70&lt;&gt;"(Null)"),('NFET Data'!$AC70&lt;&gt;"(Null)")))</f>
        <v>0</v>
      </c>
      <c r="Q70" s="20" t="b">
        <f t="shared" si="10"/>
        <v>1</v>
      </c>
      <c r="R70" s="20" t="b">
        <f t="shared" si="11"/>
        <v>1</v>
      </c>
    </row>
    <row r="71" spans="1:18" x14ac:dyDescent="0.25">
      <c r="A71" s="20" t="str">
        <f>IF(R71,Load_Switch_NFET[[#This Row],[PARTNUMBER]],"")</f>
        <v>CSD17570Q5B</v>
      </c>
      <c r="B71" t="s">
        <v>225</v>
      </c>
      <c r="C71" s="20" t="b">
        <f>AND((Load_Switch_NFET[[#This Row],[VDSMAX]]&gt;=Vi*1.1),(Load_Switch_NFET[[#This Row],[VGSMAX]]&gt;=(VGS_DR)*1.1),(Load_Switch_NFET[[#This Row],[IDSMAX]]&gt;=Io),VGS_DR&gt;=1.8)</f>
        <v>1</v>
      </c>
      <c r="D71" s="20" t="b">
        <f>AND(Vi&lt;=27,Load_Switch_NFET[[#This Row],[VDSMAX]]&lt;=30)</f>
        <v>1</v>
      </c>
      <c r="E71" s="20" t="b">
        <f>AND(Vi&lt;=36,Vi&gt;=20,Load_Switch_NFET[[#This Row],[VDSMAX]]=40)</f>
        <v>0</v>
      </c>
      <c r="F71" s="20" t="b">
        <f>AND(Vi&lt;=54,Vi&gt;=25,Load_Switch_NFET[[#This Row],[VDSMAX]]=60)</f>
        <v>0</v>
      </c>
      <c r="G71" s="20" t="b">
        <f>AND(Vi&lt;=72,Vi&gt;=36,Load_Switch_NFET[[#This Row],[VDSMAX]]=80)</f>
        <v>0</v>
      </c>
      <c r="H71" s="20" t="b">
        <f>AND(Vi&lt;=90,Vi&gt;=48,Load_Switch_NFET[[#This Row],[VDSMAX]]=100)</f>
        <v>0</v>
      </c>
      <c r="I71" s="20" t="b">
        <f t="shared" si="9"/>
        <v>1</v>
      </c>
      <c r="J71" s="20" t="b">
        <f>AND(((VGS_DR)&lt;2.5),('NFET Data'!$AC71&lt;&gt;"(Null)"))</f>
        <v>0</v>
      </c>
      <c r="K71" s="20" t="b">
        <f>AND(((VGS_DR)&gt;=2.5),((VGS_DR)&lt;3),OR(('NFET Data'!$AD71&lt;&gt;"(Null)"),('NFET Data'!$AC71&lt;&gt;"(Null)")))</f>
        <v>0</v>
      </c>
      <c r="L71" s="20" t="b">
        <f>AND(((VGS_DR)&gt;=3),((VGS_DR)&lt;4.5),OR(('NFET Data'!$AE71&lt;&gt;"(Null)"),('NFET Data'!$AD71&lt;&gt;"(Null)"),('NFET Data'!$AC71&lt;&gt;"(Null)")))</f>
        <v>0</v>
      </c>
      <c r="M71" s="20" t="b">
        <f>AND(((VGS_DR)&gt;=4.5),((VGS_DR)&lt;6),OR(('NFET Data'!$AF71&lt;&gt;"(Null)"),('NFET Data'!$AE71&lt;&gt;"(Null)"),('NFET Data'!$AD71&lt;&gt;"(Null)"),('NFET Data'!$AC71&lt;&gt;"(Null)")))</f>
        <v>1</v>
      </c>
      <c r="N71" s="20" t="b">
        <f>AND(((VGS_DR)&gt;=6),((VGS_DR)&lt;8),OR(('NFET Data'!$AG71&lt;&gt;"(Null)"),('NFET Data'!$AF71&lt;&gt;"(Null)"),('NFET Data'!$AE71&lt;&gt;"(Null)"),('NFET Data'!$AD71&lt;&gt;"(Null)"),('NFET Data'!$AC71&lt;&gt;"(Null)")))</f>
        <v>0</v>
      </c>
      <c r="O71" s="20" t="b">
        <f>AND(((VGS_DR)&gt;=8),((VGS_DR)&lt;10),OR(('NFET Data'!$AH71&lt;&gt;"(Null)"),('NFET Data'!$AG71&lt;&gt;"(Null)"),('NFET Data'!$AF71&lt;&gt;"(Null)"),('NFET Data'!$AE71&lt;&gt;"(Null)"),('NFET Data'!$AD71&lt;&gt;"(Null)"),('NFET Data'!$AC71&lt;&gt;"(Null)")))</f>
        <v>0</v>
      </c>
      <c r="P71" s="20" t="b">
        <f>AND(((VGS_DR)&gt;=10),OR(('NFET Data'!$AI71&lt;&gt;"(Null)"),('NFET Data'!$AH71&lt;&gt;"(Null)"),('NFET Data'!$AG71&lt;&gt;"(Null)"),('NFET Data'!$AF71&lt;&gt;"(Null)"),('NFET Data'!$AE71&lt;&gt;"(Null)"),('NFET Data'!$AD71&lt;&gt;"(Null)"),('NFET Data'!$AC71&lt;&gt;"(Null)")))</f>
        <v>0</v>
      </c>
      <c r="Q71" s="20" t="b">
        <f t="shared" si="10"/>
        <v>1</v>
      </c>
      <c r="R71" s="20" t="b">
        <f t="shared" si="11"/>
        <v>1</v>
      </c>
    </row>
    <row r="72" spans="1:18" x14ac:dyDescent="0.25">
      <c r="A72" s="20" t="str">
        <f>IF(R72,Load_Switch_NFET[[#This Row],[PARTNUMBER]],"")</f>
        <v>CSD17571Q2</v>
      </c>
      <c r="B72" t="s">
        <v>228</v>
      </c>
      <c r="C72" s="20" t="b">
        <f>AND((Load_Switch_NFET[[#This Row],[VDSMAX]]&gt;=Vi*1.1),(Load_Switch_NFET[[#This Row],[VGSMAX]]&gt;=(VGS_DR)*1.1),(Load_Switch_NFET[[#This Row],[IDSMAX]]&gt;=Io),VGS_DR&gt;=1.8)</f>
        <v>1</v>
      </c>
      <c r="D72" s="20" t="b">
        <f>AND(Vi&lt;=27,Load_Switch_NFET[[#This Row],[VDSMAX]]&lt;=30)</f>
        <v>1</v>
      </c>
      <c r="E72" s="20" t="b">
        <f>AND(Vi&lt;=36,Vi&gt;=20,Load_Switch_NFET[[#This Row],[VDSMAX]]=40)</f>
        <v>0</v>
      </c>
      <c r="F72" s="20" t="b">
        <f>AND(Vi&lt;=54,Vi&gt;=25,Load_Switch_NFET[[#This Row],[VDSMAX]]=60)</f>
        <v>0</v>
      </c>
      <c r="G72" s="20" t="b">
        <f>AND(Vi&lt;=72,Vi&gt;=36,Load_Switch_NFET[[#This Row],[VDSMAX]]=80)</f>
        <v>0</v>
      </c>
      <c r="H72" s="20" t="b">
        <f>AND(Vi&lt;=90,Vi&gt;=48,Load_Switch_NFET[[#This Row],[VDSMAX]]=100)</f>
        <v>0</v>
      </c>
      <c r="I72" s="20" t="b">
        <f t="shared" si="9"/>
        <v>1</v>
      </c>
      <c r="J72" s="20" t="b">
        <f>AND(((VGS_DR)&lt;2.5),('NFET Data'!$AC72&lt;&gt;"(Null)"))</f>
        <v>0</v>
      </c>
      <c r="K72" s="20" t="b">
        <f>AND(((VGS_DR)&gt;=2.5),((VGS_DR)&lt;3),OR(('NFET Data'!$AD72&lt;&gt;"(Null)"),('NFET Data'!$AC72&lt;&gt;"(Null)")))</f>
        <v>0</v>
      </c>
      <c r="L72" s="20" t="b">
        <f>AND(((VGS_DR)&gt;=3),((VGS_DR)&lt;4.5),OR(('NFET Data'!$AE72&lt;&gt;"(Null)"),('NFET Data'!$AD72&lt;&gt;"(Null)"),('NFET Data'!$AC72&lt;&gt;"(Null)")))</f>
        <v>0</v>
      </c>
      <c r="M72" s="20" t="b">
        <f>AND(((VGS_DR)&gt;=4.5),((VGS_DR)&lt;6),OR(('NFET Data'!$AF72&lt;&gt;"(Null)"),('NFET Data'!$AE72&lt;&gt;"(Null)"),('NFET Data'!$AD72&lt;&gt;"(Null)"),('NFET Data'!$AC72&lt;&gt;"(Null)")))</f>
        <v>1</v>
      </c>
      <c r="N72" s="20" t="b">
        <f>AND(((VGS_DR)&gt;=6),((VGS_DR)&lt;8),OR(('NFET Data'!$AG72&lt;&gt;"(Null)"),('NFET Data'!$AF72&lt;&gt;"(Null)"),('NFET Data'!$AE72&lt;&gt;"(Null)"),('NFET Data'!$AD72&lt;&gt;"(Null)"),('NFET Data'!$AC72&lt;&gt;"(Null)")))</f>
        <v>0</v>
      </c>
      <c r="O72" s="20" t="b">
        <f>AND(((VGS_DR)&gt;=8),((VGS_DR)&lt;10),OR(('NFET Data'!$AH72&lt;&gt;"(Null)"),('NFET Data'!$AG72&lt;&gt;"(Null)"),('NFET Data'!$AF72&lt;&gt;"(Null)"),('NFET Data'!$AE72&lt;&gt;"(Null)"),('NFET Data'!$AD72&lt;&gt;"(Null)"),('NFET Data'!$AC72&lt;&gt;"(Null)")))</f>
        <v>0</v>
      </c>
      <c r="P72" s="20" t="b">
        <f>AND(((VGS_DR)&gt;=10),OR(('NFET Data'!$AI72&lt;&gt;"(Null)"),('NFET Data'!$AH72&lt;&gt;"(Null)"),('NFET Data'!$AG72&lt;&gt;"(Null)"),('NFET Data'!$AF72&lt;&gt;"(Null)"),('NFET Data'!$AE72&lt;&gt;"(Null)"),('NFET Data'!$AD72&lt;&gt;"(Null)"),('NFET Data'!$AC72&lt;&gt;"(Null)")))</f>
        <v>0</v>
      </c>
      <c r="Q72" s="20" t="b">
        <f t="shared" si="10"/>
        <v>1</v>
      </c>
      <c r="R72" s="20" t="b">
        <f t="shared" si="11"/>
        <v>1</v>
      </c>
    </row>
    <row r="73" spans="1:18" x14ac:dyDescent="0.25">
      <c r="A73" s="20" t="str">
        <f>IF(R73,Load_Switch_NFET[[#This Row],[PARTNUMBER]],"")</f>
        <v>CSD17573Q5B</v>
      </c>
      <c r="B73" t="s">
        <v>230</v>
      </c>
      <c r="C73" s="20" t="b">
        <f>AND((Load_Switch_NFET[[#This Row],[VDSMAX]]&gt;=Vi*1.1),(Load_Switch_NFET[[#This Row],[VGSMAX]]&gt;=(VGS_DR)*1.1),(Load_Switch_NFET[[#This Row],[IDSMAX]]&gt;=Io),VGS_DR&gt;=1.8)</f>
        <v>1</v>
      </c>
      <c r="D73" s="20" t="b">
        <f>AND(Vi&lt;=27,Load_Switch_NFET[[#This Row],[VDSMAX]]&lt;=30)</f>
        <v>1</v>
      </c>
      <c r="E73" s="20" t="b">
        <f>AND(Vi&lt;=36,Vi&gt;=20,Load_Switch_NFET[[#This Row],[VDSMAX]]=40)</f>
        <v>0</v>
      </c>
      <c r="F73" s="20" t="b">
        <f>AND(Vi&lt;=54,Vi&gt;=25,Load_Switch_NFET[[#This Row],[VDSMAX]]=60)</f>
        <v>0</v>
      </c>
      <c r="G73" s="20" t="b">
        <f>AND(Vi&lt;=72,Vi&gt;=36,Load_Switch_NFET[[#This Row],[VDSMAX]]=80)</f>
        <v>0</v>
      </c>
      <c r="H73" s="20" t="b">
        <f>AND(Vi&lt;=90,Vi&gt;=48,Load_Switch_NFET[[#This Row],[VDSMAX]]=100)</f>
        <v>0</v>
      </c>
      <c r="I73" s="20" t="b">
        <f t="shared" si="9"/>
        <v>1</v>
      </c>
      <c r="J73" s="20" t="b">
        <f>AND(((VGS_DR)&lt;2.5),('NFET Data'!$AC73&lt;&gt;"(Null)"))</f>
        <v>0</v>
      </c>
      <c r="K73" s="20" t="b">
        <f>AND(((VGS_DR)&gt;=2.5),((VGS_DR)&lt;3),OR(('NFET Data'!$AD73&lt;&gt;"(Null)"),('NFET Data'!$AC73&lt;&gt;"(Null)")))</f>
        <v>0</v>
      </c>
      <c r="L73" s="20" t="b">
        <f>AND(((VGS_DR)&gt;=3),((VGS_DR)&lt;4.5),OR(('NFET Data'!$AE73&lt;&gt;"(Null)"),('NFET Data'!$AD73&lt;&gt;"(Null)"),('NFET Data'!$AC73&lt;&gt;"(Null)")))</f>
        <v>0</v>
      </c>
      <c r="M73" s="20" t="b">
        <f>AND(((VGS_DR)&gt;=4.5),((VGS_DR)&lt;6),OR(('NFET Data'!$AF73&lt;&gt;"(Null)"),('NFET Data'!$AE73&lt;&gt;"(Null)"),('NFET Data'!$AD73&lt;&gt;"(Null)"),('NFET Data'!$AC73&lt;&gt;"(Null)")))</f>
        <v>1</v>
      </c>
      <c r="N73" s="20" t="b">
        <f>AND(((VGS_DR)&gt;=6),((VGS_DR)&lt;8),OR(('NFET Data'!$AG73&lt;&gt;"(Null)"),('NFET Data'!$AF73&lt;&gt;"(Null)"),('NFET Data'!$AE73&lt;&gt;"(Null)"),('NFET Data'!$AD73&lt;&gt;"(Null)"),('NFET Data'!$AC73&lt;&gt;"(Null)")))</f>
        <v>0</v>
      </c>
      <c r="O73" s="20" t="b">
        <f>AND(((VGS_DR)&gt;=8),((VGS_DR)&lt;10),OR(('NFET Data'!$AH73&lt;&gt;"(Null)"),('NFET Data'!$AG73&lt;&gt;"(Null)"),('NFET Data'!$AF73&lt;&gt;"(Null)"),('NFET Data'!$AE73&lt;&gt;"(Null)"),('NFET Data'!$AD73&lt;&gt;"(Null)"),('NFET Data'!$AC73&lt;&gt;"(Null)")))</f>
        <v>0</v>
      </c>
      <c r="P73" s="20" t="b">
        <f>AND(((VGS_DR)&gt;=10),OR(('NFET Data'!$AI73&lt;&gt;"(Null)"),('NFET Data'!$AH73&lt;&gt;"(Null)"),('NFET Data'!$AG73&lt;&gt;"(Null)"),('NFET Data'!$AF73&lt;&gt;"(Null)"),('NFET Data'!$AE73&lt;&gt;"(Null)"),('NFET Data'!$AD73&lt;&gt;"(Null)"),('NFET Data'!$AC73&lt;&gt;"(Null)")))</f>
        <v>0</v>
      </c>
      <c r="Q73" s="20" t="b">
        <f t="shared" si="10"/>
        <v>1</v>
      </c>
      <c r="R73" s="20" t="b">
        <f t="shared" si="11"/>
        <v>1</v>
      </c>
    </row>
    <row r="74" spans="1:18" x14ac:dyDescent="0.25">
      <c r="A74" s="20" t="str">
        <f>IF(R74,Load_Switch_NFET[[#This Row],[PARTNUMBER]],"")</f>
        <v>CSD17575Q3</v>
      </c>
      <c r="B74" t="s">
        <v>234</v>
      </c>
      <c r="C74" s="20" t="b">
        <f>AND((Load_Switch_NFET[[#This Row],[VDSMAX]]&gt;=Vi*1.1),(Load_Switch_NFET[[#This Row],[VGSMAX]]&gt;=(VGS_DR)*1.1),(Load_Switch_NFET[[#This Row],[IDSMAX]]&gt;=Io),VGS_DR&gt;=1.8)</f>
        <v>1</v>
      </c>
      <c r="D74" s="20" t="b">
        <f>AND(Vi&lt;=27,Load_Switch_NFET[[#This Row],[VDSMAX]]&lt;=30)</f>
        <v>1</v>
      </c>
      <c r="E74" s="20" t="b">
        <f>AND(Vi&lt;=36,Vi&gt;=20,Load_Switch_NFET[[#This Row],[VDSMAX]]=40)</f>
        <v>0</v>
      </c>
      <c r="F74" s="20" t="b">
        <f>AND(Vi&lt;=54,Vi&gt;=25,Load_Switch_NFET[[#This Row],[VDSMAX]]=60)</f>
        <v>0</v>
      </c>
      <c r="G74" s="20" t="b">
        <f>AND(Vi&lt;=72,Vi&gt;=36,Load_Switch_NFET[[#This Row],[VDSMAX]]=80)</f>
        <v>0</v>
      </c>
      <c r="H74" s="20" t="b">
        <f>AND(Vi&lt;=90,Vi&gt;=48,Load_Switch_NFET[[#This Row],[VDSMAX]]=100)</f>
        <v>0</v>
      </c>
      <c r="I74" s="20" t="b">
        <f t="shared" si="9"/>
        <v>1</v>
      </c>
      <c r="J74" s="20" t="b">
        <f>AND(((VGS_DR)&lt;2.5),('NFET Data'!$AC74&lt;&gt;"(Null)"))</f>
        <v>0</v>
      </c>
      <c r="K74" s="20" t="b">
        <f>AND(((VGS_DR)&gt;=2.5),((VGS_DR)&lt;3),OR(('NFET Data'!$AD74&lt;&gt;"(Null)"),('NFET Data'!$AC74&lt;&gt;"(Null)")))</f>
        <v>0</v>
      </c>
      <c r="L74" s="20" t="b">
        <f>AND(((VGS_DR)&gt;=3),((VGS_DR)&lt;4.5),OR(('NFET Data'!$AE74&lt;&gt;"(Null)"),('NFET Data'!$AD74&lt;&gt;"(Null)"),('NFET Data'!$AC74&lt;&gt;"(Null)")))</f>
        <v>0</v>
      </c>
      <c r="M74" s="20" t="b">
        <f>AND(((VGS_DR)&gt;=4.5),((VGS_DR)&lt;6),OR(('NFET Data'!$AF74&lt;&gt;"(Null)"),('NFET Data'!$AE74&lt;&gt;"(Null)"),('NFET Data'!$AD74&lt;&gt;"(Null)"),('NFET Data'!$AC74&lt;&gt;"(Null)")))</f>
        <v>1</v>
      </c>
      <c r="N74" s="20" t="b">
        <f>AND(((VGS_DR)&gt;=6),((VGS_DR)&lt;8),OR(('NFET Data'!$AG74&lt;&gt;"(Null)"),('NFET Data'!$AF74&lt;&gt;"(Null)"),('NFET Data'!$AE74&lt;&gt;"(Null)"),('NFET Data'!$AD74&lt;&gt;"(Null)"),('NFET Data'!$AC74&lt;&gt;"(Null)")))</f>
        <v>0</v>
      </c>
      <c r="O74" s="20" t="b">
        <f>AND(((VGS_DR)&gt;=8),((VGS_DR)&lt;10),OR(('NFET Data'!$AH74&lt;&gt;"(Null)"),('NFET Data'!$AG74&lt;&gt;"(Null)"),('NFET Data'!$AF74&lt;&gt;"(Null)"),('NFET Data'!$AE74&lt;&gt;"(Null)"),('NFET Data'!$AD74&lt;&gt;"(Null)"),('NFET Data'!$AC74&lt;&gt;"(Null)")))</f>
        <v>0</v>
      </c>
      <c r="P74" s="20" t="b">
        <f>AND(((VGS_DR)&gt;=10),OR(('NFET Data'!$AI74&lt;&gt;"(Null)"),('NFET Data'!$AH74&lt;&gt;"(Null)"),('NFET Data'!$AG74&lt;&gt;"(Null)"),('NFET Data'!$AF74&lt;&gt;"(Null)"),('NFET Data'!$AE74&lt;&gt;"(Null)"),('NFET Data'!$AD74&lt;&gt;"(Null)"),('NFET Data'!$AC74&lt;&gt;"(Null)")))</f>
        <v>0</v>
      </c>
      <c r="Q74" s="20" t="b">
        <f t="shared" si="10"/>
        <v>1</v>
      </c>
      <c r="R74" s="20" t="b">
        <f t="shared" si="11"/>
        <v>1</v>
      </c>
    </row>
    <row r="75" spans="1:18" x14ac:dyDescent="0.25">
      <c r="A75" s="20" t="str">
        <f>IF(R75,Load_Switch_NFET[[#This Row],[PARTNUMBER]],"")</f>
        <v>CSD17576Q5B</v>
      </c>
      <c r="B75" t="s">
        <v>236</v>
      </c>
      <c r="C75" s="20" t="b">
        <f>AND((Load_Switch_NFET[[#This Row],[VDSMAX]]&gt;=Vi*1.1),(Load_Switch_NFET[[#This Row],[VGSMAX]]&gt;=(VGS_DR)*1.1),(Load_Switch_NFET[[#This Row],[IDSMAX]]&gt;=Io),VGS_DR&gt;=1.8)</f>
        <v>1</v>
      </c>
      <c r="D75" s="20" t="b">
        <f>AND(Vi&lt;=27,Load_Switch_NFET[[#This Row],[VDSMAX]]&lt;=30)</f>
        <v>1</v>
      </c>
      <c r="E75" s="20" t="b">
        <f>AND(Vi&lt;=36,Vi&gt;=20,Load_Switch_NFET[[#This Row],[VDSMAX]]=40)</f>
        <v>0</v>
      </c>
      <c r="F75" s="20" t="b">
        <f>AND(Vi&lt;=54,Vi&gt;=25,Load_Switch_NFET[[#This Row],[VDSMAX]]=60)</f>
        <v>0</v>
      </c>
      <c r="G75" s="20" t="b">
        <f>AND(Vi&lt;=72,Vi&gt;=36,Load_Switch_NFET[[#This Row],[VDSMAX]]=80)</f>
        <v>0</v>
      </c>
      <c r="H75" s="20" t="b">
        <f>AND(Vi&lt;=90,Vi&gt;=48,Load_Switch_NFET[[#This Row],[VDSMAX]]=100)</f>
        <v>0</v>
      </c>
      <c r="I75" s="20" t="b">
        <f t="shared" si="9"/>
        <v>1</v>
      </c>
      <c r="J75" s="20" t="b">
        <f>AND(((VGS_DR)&lt;2.5),('NFET Data'!$AC75&lt;&gt;"(Null)"))</f>
        <v>0</v>
      </c>
      <c r="K75" s="20" t="b">
        <f>AND(((VGS_DR)&gt;=2.5),((VGS_DR)&lt;3),OR(('NFET Data'!$AD75&lt;&gt;"(Null)"),('NFET Data'!$AC75&lt;&gt;"(Null)")))</f>
        <v>0</v>
      </c>
      <c r="L75" s="20" t="b">
        <f>AND(((VGS_DR)&gt;=3),((VGS_DR)&lt;4.5),OR(('NFET Data'!$AE75&lt;&gt;"(Null)"),('NFET Data'!$AD75&lt;&gt;"(Null)"),('NFET Data'!$AC75&lt;&gt;"(Null)")))</f>
        <v>0</v>
      </c>
      <c r="M75" s="20" t="b">
        <f>AND(((VGS_DR)&gt;=4.5),((VGS_DR)&lt;6),OR(('NFET Data'!$AF75&lt;&gt;"(Null)"),('NFET Data'!$AE75&lt;&gt;"(Null)"),('NFET Data'!$AD75&lt;&gt;"(Null)"),('NFET Data'!$AC75&lt;&gt;"(Null)")))</f>
        <v>1</v>
      </c>
      <c r="N75" s="20" t="b">
        <f>AND(((VGS_DR)&gt;=6),((VGS_DR)&lt;8),OR(('NFET Data'!$AG75&lt;&gt;"(Null)"),('NFET Data'!$AF75&lt;&gt;"(Null)"),('NFET Data'!$AE75&lt;&gt;"(Null)"),('NFET Data'!$AD75&lt;&gt;"(Null)"),('NFET Data'!$AC75&lt;&gt;"(Null)")))</f>
        <v>0</v>
      </c>
      <c r="O75" s="20" t="b">
        <f>AND(((VGS_DR)&gt;=8),((VGS_DR)&lt;10),OR(('NFET Data'!$AH75&lt;&gt;"(Null)"),('NFET Data'!$AG75&lt;&gt;"(Null)"),('NFET Data'!$AF75&lt;&gt;"(Null)"),('NFET Data'!$AE75&lt;&gt;"(Null)"),('NFET Data'!$AD75&lt;&gt;"(Null)"),('NFET Data'!$AC75&lt;&gt;"(Null)")))</f>
        <v>0</v>
      </c>
      <c r="P75" s="20" t="b">
        <f>AND(((VGS_DR)&gt;=10),OR(('NFET Data'!$AI75&lt;&gt;"(Null)"),('NFET Data'!$AH75&lt;&gt;"(Null)"),('NFET Data'!$AG75&lt;&gt;"(Null)"),('NFET Data'!$AF75&lt;&gt;"(Null)"),('NFET Data'!$AE75&lt;&gt;"(Null)"),('NFET Data'!$AD75&lt;&gt;"(Null)"),('NFET Data'!$AC75&lt;&gt;"(Null)")))</f>
        <v>0</v>
      </c>
      <c r="Q75" s="20" t="b">
        <f t="shared" si="10"/>
        <v>1</v>
      </c>
      <c r="R75" s="20" t="b">
        <f t="shared" si="11"/>
        <v>1</v>
      </c>
    </row>
    <row r="76" spans="1:18" x14ac:dyDescent="0.25">
      <c r="A76" s="20" t="str">
        <f>IF(R76,Load_Switch_NFET[[#This Row],[PARTNUMBER]],"")</f>
        <v>CSD17577Q3A</v>
      </c>
      <c r="B76" t="s">
        <v>238</v>
      </c>
      <c r="C76" s="20" t="b">
        <f>AND((Load_Switch_NFET[[#This Row],[VDSMAX]]&gt;=Vi*1.1),(Load_Switch_NFET[[#This Row],[VGSMAX]]&gt;=(VGS_DR)*1.1),(Load_Switch_NFET[[#This Row],[IDSMAX]]&gt;=Io),VGS_DR&gt;=1.8)</f>
        <v>1</v>
      </c>
      <c r="D76" s="20" t="b">
        <f>AND(Vi&lt;=27,Load_Switch_NFET[[#This Row],[VDSMAX]]&lt;=30)</f>
        <v>1</v>
      </c>
      <c r="E76" s="20" t="b">
        <f>AND(Vi&lt;=36,Vi&gt;=20,Load_Switch_NFET[[#This Row],[VDSMAX]]=40)</f>
        <v>0</v>
      </c>
      <c r="F76" s="20" t="b">
        <f>AND(Vi&lt;=54,Vi&gt;=25,Load_Switch_NFET[[#This Row],[VDSMAX]]=60)</f>
        <v>0</v>
      </c>
      <c r="G76" s="20" t="b">
        <f>AND(Vi&lt;=72,Vi&gt;=36,Load_Switch_NFET[[#This Row],[VDSMAX]]=80)</f>
        <v>0</v>
      </c>
      <c r="H76" s="20" t="b">
        <f>AND(Vi&lt;=90,Vi&gt;=48,Load_Switch_NFET[[#This Row],[VDSMAX]]=100)</f>
        <v>0</v>
      </c>
      <c r="I76" s="20" t="b">
        <f t="shared" si="9"/>
        <v>1</v>
      </c>
      <c r="J76" s="20" t="b">
        <f>AND(((VGS_DR)&lt;2.5),('NFET Data'!$AC76&lt;&gt;"(Null)"))</f>
        <v>0</v>
      </c>
      <c r="K76" s="20" t="b">
        <f>AND(((VGS_DR)&gt;=2.5),((VGS_DR)&lt;3),OR(('NFET Data'!$AD76&lt;&gt;"(Null)"),('NFET Data'!$AC76&lt;&gt;"(Null)")))</f>
        <v>0</v>
      </c>
      <c r="L76" s="20" t="b">
        <f>AND(((VGS_DR)&gt;=3),((VGS_DR)&lt;4.5),OR(('NFET Data'!$AE76&lt;&gt;"(Null)"),('NFET Data'!$AD76&lt;&gt;"(Null)"),('NFET Data'!$AC76&lt;&gt;"(Null)")))</f>
        <v>0</v>
      </c>
      <c r="M76" s="20" t="b">
        <f>AND(((VGS_DR)&gt;=4.5),((VGS_DR)&lt;6),OR(('NFET Data'!$AF76&lt;&gt;"(Null)"),('NFET Data'!$AE76&lt;&gt;"(Null)"),('NFET Data'!$AD76&lt;&gt;"(Null)"),('NFET Data'!$AC76&lt;&gt;"(Null)")))</f>
        <v>1</v>
      </c>
      <c r="N76" s="20" t="b">
        <f>AND(((VGS_DR)&gt;=6),((VGS_DR)&lt;8),OR(('NFET Data'!$AG76&lt;&gt;"(Null)"),('NFET Data'!$AF76&lt;&gt;"(Null)"),('NFET Data'!$AE76&lt;&gt;"(Null)"),('NFET Data'!$AD76&lt;&gt;"(Null)"),('NFET Data'!$AC76&lt;&gt;"(Null)")))</f>
        <v>0</v>
      </c>
      <c r="O76" s="20" t="b">
        <f>AND(((VGS_DR)&gt;=8),((VGS_DR)&lt;10),OR(('NFET Data'!$AH76&lt;&gt;"(Null)"),('NFET Data'!$AG76&lt;&gt;"(Null)"),('NFET Data'!$AF76&lt;&gt;"(Null)"),('NFET Data'!$AE76&lt;&gt;"(Null)"),('NFET Data'!$AD76&lt;&gt;"(Null)"),('NFET Data'!$AC76&lt;&gt;"(Null)")))</f>
        <v>0</v>
      </c>
      <c r="P76" s="20" t="b">
        <f>AND(((VGS_DR)&gt;=10),OR(('NFET Data'!$AI76&lt;&gt;"(Null)"),('NFET Data'!$AH76&lt;&gt;"(Null)"),('NFET Data'!$AG76&lt;&gt;"(Null)"),('NFET Data'!$AF76&lt;&gt;"(Null)"),('NFET Data'!$AE76&lt;&gt;"(Null)"),('NFET Data'!$AD76&lt;&gt;"(Null)"),('NFET Data'!$AC76&lt;&gt;"(Null)")))</f>
        <v>0</v>
      </c>
      <c r="Q76" s="20" t="b">
        <f t="shared" si="10"/>
        <v>1</v>
      </c>
      <c r="R76" s="20" t="b">
        <f t="shared" si="11"/>
        <v>1</v>
      </c>
    </row>
    <row r="77" spans="1:18" x14ac:dyDescent="0.25">
      <c r="A77" s="20" t="str">
        <f>IF(R77,Load_Switch_NFET[[#This Row],[PARTNUMBER]],"")</f>
        <v>CSD17577Q5A</v>
      </c>
      <c r="B77" t="s">
        <v>240</v>
      </c>
      <c r="C77" s="20" t="b">
        <f>AND((Load_Switch_NFET[[#This Row],[VDSMAX]]&gt;=Vi*1.1),(Load_Switch_NFET[[#This Row],[VGSMAX]]&gt;=(VGS_DR)*1.1),(Load_Switch_NFET[[#This Row],[IDSMAX]]&gt;=Io),VGS_DR&gt;=1.8)</f>
        <v>1</v>
      </c>
      <c r="D77" s="20" t="b">
        <f>AND(Vi&lt;=27,Load_Switch_NFET[[#This Row],[VDSMAX]]&lt;=30)</f>
        <v>1</v>
      </c>
      <c r="E77" s="20" t="b">
        <f>AND(Vi&lt;=36,Vi&gt;=20,Load_Switch_NFET[[#This Row],[VDSMAX]]=40)</f>
        <v>0</v>
      </c>
      <c r="F77" s="20" t="b">
        <f>AND(Vi&lt;=54,Vi&gt;=25,Load_Switch_NFET[[#This Row],[VDSMAX]]=60)</f>
        <v>0</v>
      </c>
      <c r="G77" s="20" t="b">
        <f>AND(Vi&lt;=72,Vi&gt;=36,Load_Switch_NFET[[#This Row],[VDSMAX]]=80)</f>
        <v>0</v>
      </c>
      <c r="H77" s="20" t="b">
        <f>AND(Vi&lt;=90,Vi&gt;=48,Load_Switch_NFET[[#This Row],[VDSMAX]]=100)</f>
        <v>0</v>
      </c>
      <c r="I77" s="20" t="b">
        <f t="shared" si="9"/>
        <v>1</v>
      </c>
      <c r="J77" s="20" t="b">
        <f>AND(((VGS_DR)&lt;2.5),('NFET Data'!$AC77&lt;&gt;"(Null)"))</f>
        <v>0</v>
      </c>
      <c r="K77" s="20" t="b">
        <f>AND(((VGS_DR)&gt;=2.5),((VGS_DR)&lt;3),OR(('NFET Data'!$AD77&lt;&gt;"(Null)"),('NFET Data'!$AC77&lt;&gt;"(Null)")))</f>
        <v>0</v>
      </c>
      <c r="L77" s="20" t="b">
        <f>AND(((VGS_DR)&gt;=3),((VGS_DR)&lt;4.5),OR(('NFET Data'!$AE77&lt;&gt;"(Null)"),('NFET Data'!$AD77&lt;&gt;"(Null)"),('NFET Data'!$AC77&lt;&gt;"(Null)")))</f>
        <v>0</v>
      </c>
      <c r="M77" s="20" t="b">
        <f>AND(((VGS_DR)&gt;=4.5),((VGS_DR)&lt;6),OR(('NFET Data'!$AF77&lt;&gt;"(Null)"),('NFET Data'!$AE77&lt;&gt;"(Null)"),('NFET Data'!$AD77&lt;&gt;"(Null)"),('NFET Data'!$AC77&lt;&gt;"(Null)")))</f>
        <v>1</v>
      </c>
      <c r="N77" s="20" t="b">
        <f>AND(((VGS_DR)&gt;=6),((VGS_DR)&lt;8),OR(('NFET Data'!$AG77&lt;&gt;"(Null)"),('NFET Data'!$AF77&lt;&gt;"(Null)"),('NFET Data'!$AE77&lt;&gt;"(Null)"),('NFET Data'!$AD77&lt;&gt;"(Null)"),('NFET Data'!$AC77&lt;&gt;"(Null)")))</f>
        <v>0</v>
      </c>
      <c r="O77" s="20" t="b">
        <f>AND(((VGS_DR)&gt;=8),((VGS_DR)&lt;10),OR(('NFET Data'!$AH77&lt;&gt;"(Null)"),('NFET Data'!$AG77&lt;&gt;"(Null)"),('NFET Data'!$AF77&lt;&gt;"(Null)"),('NFET Data'!$AE77&lt;&gt;"(Null)"),('NFET Data'!$AD77&lt;&gt;"(Null)"),('NFET Data'!$AC77&lt;&gt;"(Null)")))</f>
        <v>0</v>
      </c>
      <c r="P77" s="20" t="b">
        <f>AND(((VGS_DR)&gt;=10),OR(('NFET Data'!$AI77&lt;&gt;"(Null)"),('NFET Data'!$AH77&lt;&gt;"(Null)"),('NFET Data'!$AG77&lt;&gt;"(Null)"),('NFET Data'!$AF77&lt;&gt;"(Null)"),('NFET Data'!$AE77&lt;&gt;"(Null)"),('NFET Data'!$AD77&lt;&gt;"(Null)"),('NFET Data'!$AC77&lt;&gt;"(Null)")))</f>
        <v>0</v>
      </c>
      <c r="Q77" s="20" t="b">
        <f t="shared" si="10"/>
        <v>1</v>
      </c>
      <c r="R77" s="20" t="b">
        <f t="shared" si="11"/>
        <v>1</v>
      </c>
    </row>
    <row r="78" spans="1:18" x14ac:dyDescent="0.25">
      <c r="A78" s="20" t="str">
        <f>IF(R78,Load_Switch_NFET[[#This Row],[PARTNUMBER]],"")</f>
        <v>CSD17578Q3A</v>
      </c>
      <c r="B78" t="s">
        <v>242</v>
      </c>
      <c r="C78" s="20" t="b">
        <f>AND((Load_Switch_NFET[[#This Row],[VDSMAX]]&gt;=Vi*1.1),(Load_Switch_NFET[[#This Row],[VGSMAX]]&gt;=(VGS_DR)*1.1),(Load_Switch_NFET[[#This Row],[IDSMAX]]&gt;=Io),VGS_DR&gt;=1.8)</f>
        <v>1</v>
      </c>
      <c r="D78" s="20" t="b">
        <f>AND(Vi&lt;=27,Load_Switch_NFET[[#This Row],[VDSMAX]]&lt;=30)</f>
        <v>1</v>
      </c>
      <c r="E78" s="20" t="b">
        <f>AND(Vi&lt;=36,Vi&gt;=20,Load_Switch_NFET[[#This Row],[VDSMAX]]=40)</f>
        <v>0</v>
      </c>
      <c r="F78" s="20" t="b">
        <f>AND(Vi&lt;=54,Vi&gt;=25,Load_Switch_NFET[[#This Row],[VDSMAX]]=60)</f>
        <v>0</v>
      </c>
      <c r="G78" s="20" t="b">
        <f>AND(Vi&lt;=72,Vi&gt;=36,Load_Switch_NFET[[#This Row],[VDSMAX]]=80)</f>
        <v>0</v>
      </c>
      <c r="H78" s="20" t="b">
        <f>AND(Vi&lt;=90,Vi&gt;=48,Load_Switch_NFET[[#This Row],[VDSMAX]]=100)</f>
        <v>0</v>
      </c>
      <c r="I78" s="20" t="b">
        <f t="shared" si="9"/>
        <v>1</v>
      </c>
      <c r="J78" s="20" t="b">
        <f>AND(((VGS_DR)&lt;2.5),('NFET Data'!$AC78&lt;&gt;"(Null)"))</f>
        <v>0</v>
      </c>
      <c r="K78" s="20" t="b">
        <f>AND(((VGS_DR)&gt;=2.5),((VGS_DR)&lt;3),OR(('NFET Data'!$AD78&lt;&gt;"(Null)"),('NFET Data'!$AC78&lt;&gt;"(Null)")))</f>
        <v>0</v>
      </c>
      <c r="L78" s="20" t="b">
        <f>AND(((VGS_DR)&gt;=3),((VGS_DR)&lt;4.5),OR(('NFET Data'!$AE78&lt;&gt;"(Null)"),('NFET Data'!$AD78&lt;&gt;"(Null)"),('NFET Data'!$AC78&lt;&gt;"(Null)")))</f>
        <v>0</v>
      </c>
      <c r="M78" s="20" t="b">
        <f>AND(((VGS_DR)&gt;=4.5),((VGS_DR)&lt;6),OR(('NFET Data'!$AF78&lt;&gt;"(Null)"),('NFET Data'!$AE78&lt;&gt;"(Null)"),('NFET Data'!$AD78&lt;&gt;"(Null)"),('NFET Data'!$AC78&lt;&gt;"(Null)")))</f>
        <v>1</v>
      </c>
      <c r="N78" s="20" t="b">
        <f>AND(((VGS_DR)&gt;=6),((VGS_DR)&lt;8),OR(('NFET Data'!$AG78&lt;&gt;"(Null)"),('NFET Data'!$AF78&lt;&gt;"(Null)"),('NFET Data'!$AE78&lt;&gt;"(Null)"),('NFET Data'!$AD78&lt;&gt;"(Null)"),('NFET Data'!$AC78&lt;&gt;"(Null)")))</f>
        <v>0</v>
      </c>
      <c r="O78" s="20" t="b">
        <f>AND(((VGS_DR)&gt;=8),((VGS_DR)&lt;10),OR(('NFET Data'!$AH78&lt;&gt;"(Null)"),('NFET Data'!$AG78&lt;&gt;"(Null)"),('NFET Data'!$AF78&lt;&gt;"(Null)"),('NFET Data'!$AE78&lt;&gt;"(Null)"),('NFET Data'!$AD78&lt;&gt;"(Null)"),('NFET Data'!$AC78&lt;&gt;"(Null)")))</f>
        <v>0</v>
      </c>
      <c r="P78" s="20" t="b">
        <f>AND(((VGS_DR)&gt;=10),OR(('NFET Data'!$AI78&lt;&gt;"(Null)"),('NFET Data'!$AH78&lt;&gt;"(Null)"),('NFET Data'!$AG78&lt;&gt;"(Null)"),('NFET Data'!$AF78&lt;&gt;"(Null)"),('NFET Data'!$AE78&lt;&gt;"(Null)"),('NFET Data'!$AD78&lt;&gt;"(Null)"),('NFET Data'!$AC78&lt;&gt;"(Null)")))</f>
        <v>0</v>
      </c>
      <c r="Q78" s="20" t="b">
        <f t="shared" si="10"/>
        <v>1</v>
      </c>
      <c r="R78" s="20" t="b">
        <f t="shared" si="11"/>
        <v>1</v>
      </c>
    </row>
    <row r="79" spans="1:18" x14ac:dyDescent="0.25">
      <c r="A79" s="20" t="str">
        <f>IF(R79,Load_Switch_NFET[[#This Row],[PARTNUMBER]],"")</f>
        <v>CSD17578Q5A</v>
      </c>
      <c r="B79" t="s">
        <v>244</v>
      </c>
      <c r="C79" s="20" t="b">
        <f>AND((Load_Switch_NFET[[#This Row],[VDSMAX]]&gt;=Vi*1.1),(Load_Switch_NFET[[#This Row],[VGSMAX]]&gt;=(VGS_DR)*1.1),(Load_Switch_NFET[[#This Row],[IDSMAX]]&gt;=Io),VGS_DR&gt;=1.8)</f>
        <v>1</v>
      </c>
      <c r="D79" s="20" t="b">
        <f>AND(Vi&lt;=27,Load_Switch_NFET[[#This Row],[VDSMAX]]&lt;=30)</f>
        <v>1</v>
      </c>
      <c r="E79" s="20" t="b">
        <f>AND(Vi&lt;=36,Vi&gt;=20,Load_Switch_NFET[[#This Row],[VDSMAX]]=40)</f>
        <v>0</v>
      </c>
      <c r="F79" s="20" t="b">
        <f>AND(Vi&lt;=54,Vi&gt;=25,Load_Switch_NFET[[#This Row],[VDSMAX]]=60)</f>
        <v>0</v>
      </c>
      <c r="G79" s="20" t="b">
        <f>AND(Vi&lt;=72,Vi&gt;=36,Load_Switch_NFET[[#This Row],[VDSMAX]]=80)</f>
        <v>0</v>
      </c>
      <c r="H79" s="20" t="b">
        <f>AND(Vi&lt;=90,Vi&gt;=48,Load_Switch_NFET[[#This Row],[VDSMAX]]=100)</f>
        <v>0</v>
      </c>
      <c r="I79" s="20" t="b">
        <f t="shared" si="9"/>
        <v>1</v>
      </c>
      <c r="J79" s="20" t="b">
        <f>AND(((VGS_DR)&lt;2.5),('NFET Data'!$AC79&lt;&gt;"(Null)"))</f>
        <v>0</v>
      </c>
      <c r="K79" s="20" t="b">
        <f>AND(((VGS_DR)&gt;=2.5),((VGS_DR)&lt;3),OR(('NFET Data'!$AD79&lt;&gt;"(Null)"),('NFET Data'!$AC79&lt;&gt;"(Null)")))</f>
        <v>0</v>
      </c>
      <c r="L79" s="20" t="b">
        <f>AND(((VGS_DR)&gt;=3),((VGS_DR)&lt;4.5),OR(('NFET Data'!$AE79&lt;&gt;"(Null)"),('NFET Data'!$AD79&lt;&gt;"(Null)"),('NFET Data'!$AC79&lt;&gt;"(Null)")))</f>
        <v>0</v>
      </c>
      <c r="M79" s="20" t="b">
        <f>AND(((VGS_DR)&gt;=4.5),((VGS_DR)&lt;6),OR(('NFET Data'!$AF79&lt;&gt;"(Null)"),('NFET Data'!$AE79&lt;&gt;"(Null)"),('NFET Data'!$AD79&lt;&gt;"(Null)"),('NFET Data'!$AC79&lt;&gt;"(Null)")))</f>
        <v>1</v>
      </c>
      <c r="N79" s="20" t="b">
        <f>AND(((VGS_DR)&gt;=6),((VGS_DR)&lt;8),OR(('NFET Data'!$AG79&lt;&gt;"(Null)"),('NFET Data'!$AF79&lt;&gt;"(Null)"),('NFET Data'!$AE79&lt;&gt;"(Null)"),('NFET Data'!$AD79&lt;&gt;"(Null)"),('NFET Data'!$AC79&lt;&gt;"(Null)")))</f>
        <v>0</v>
      </c>
      <c r="O79" s="20" t="b">
        <f>AND(((VGS_DR)&gt;=8),((VGS_DR)&lt;10),OR(('NFET Data'!$AH79&lt;&gt;"(Null)"),('NFET Data'!$AG79&lt;&gt;"(Null)"),('NFET Data'!$AF79&lt;&gt;"(Null)"),('NFET Data'!$AE79&lt;&gt;"(Null)"),('NFET Data'!$AD79&lt;&gt;"(Null)"),('NFET Data'!$AC79&lt;&gt;"(Null)")))</f>
        <v>0</v>
      </c>
      <c r="P79" s="20" t="b">
        <f>AND(((VGS_DR)&gt;=10),OR(('NFET Data'!$AI79&lt;&gt;"(Null)"),('NFET Data'!$AH79&lt;&gt;"(Null)"),('NFET Data'!$AG79&lt;&gt;"(Null)"),('NFET Data'!$AF79&lt;&gt;"(Null)"),('NFET Data'!$AE79&lt;&gt;"(Null)"),('NFET Data'!$AD79&lt;&gt;"(Null)"),('NFET Data'!$AC79&lt;&gt;"(Null)")))</f>
        <v>0</v>
      </c>
      <c r="Q79" s="20" t="b">
        <f t="shared" si="10"/>
        <v>1</v>
      </c>
      <c r="R79" s="20" t="b">
        <f t="shared" si="11"/>
        <v>1</v>
      </c>
    </row>
    <row r="80" spans="1:18" x14ac:dyDescent="0.25">
      <c r="A80" s="20" t="str">
        <f>IF(R80,Load_Switch_NFET[[#This Row],[PARTNUMBER]],"")</f>
        <v>CSD17579Q3A</v>
      </c>
      <c r="B80" t="s">
        <v>386</v>
      </c>
      <c r="C80" s="20" t="b">
        <f>AND((Load_Switch_NFET[[#This Row],[VDSMAX]]&gt;=Vi*1.1),(Load_Switch_NFET[[#This Row],[VGSMAX]]&gt;=(VGS_DR)*1.1),(Load_Switch_NFET[[#This Row],[IDSMAX]]&gt;=Io),VGS_DR&gt;=1.8)</f>
        <v>1</v>
      </c>
      <c r="D80" s="20" t="b">
        <f>AND(Vi&lt;=27,Load_Switch_NFET[[#This Row],[VDSMAX]]&lt;=30)</f>
        <v>1</v>
      </c>
      <c r="E80" s="20" t="b">
        <f>AND(Vi&lt;=36,Vi&gt;=20,Load_Switch_NFET[[#This Row],[VDSMAX]]=40)</f>
        <v>0</v>
      </c>
      <c r="F80" s="20" t="b">
        <f>AND(Vi&lt;=54,Vi&gt;=25,Load_Switch_NFET[[#This Row],[VDSMAX]]=60)</f>
        <v>0</v>
      </c>
      <c r="G80" s="20" t="b">
        <f>AND(Vi&lt;=72,Vi&gt;=36,Load_Switch_NFET[[#This Row],[VDSMAX]]=80)</f>
        <v>0</v>
      </c>
      <c r="H80" s="20" t="b">
        <f>AND(Vi&lt;=90,Vi&gt;=48,Load_Switch_NFET[[#This Row],[VDSMAX]]=100)</f>
        <v>0</v>
      </c>
      <c r="I80" s="20" t="b">
        <f t="shared" si="9"/>
        <v>1</v>
      </c>
      <c r="J80" s="20" t="b">
        <f>AND(((VGS_DR)&lt;2.5),('NFET Data'!$AC80&lt;&gt;"(Null)"))</f>
        <v>0</v>
      </c>
      <c r="K80" s="20" t="b">
        <f>AND(((VGS_DR)&gt;=2.5),((VGS_DR)&lt;3),OR(('NFET Data'!$AD80&lt;&gt;"(Null)"),('NFET Data'!$AC80&lt;&gt;"(Null)")))</f>
        <v>0</v>
      </c>
      <c r="L80" s="20" t="b">
        <f>AND(((VGS_DR)&gt;=3),((VGS_DR)&lt;4.5),OR(('NFET Data'!$AE80&lt;&gt;"(Null)"),('NFET Data'!$AD80&lt;&gt;"(Null)"),('NFET Data'!$AC80&lt;&gt;"(Null)")))</f>
        <v>0</v>
      </c>
      <c r="M80" s="20" t="b">
        <f>AND(((VGS_DR)&gt;=4.5),((VGS_DR)&lt;6),OR(('NFET Data'!$AF80&lt;&gt;"(Null)"),('NFET Data'!$AE80&lt;&gt;"(Null)"),('NFET Data'!$AD80&lt;&gt;"(Null)"),('NFET Data'!$AC80&lt;&gt;"(Null)")))</f>
        <v>1</v>
      </c>
      <c r="N80" s="20" t="b">
        <f>AND(((VGS_DR)&gt;=6),((VGS_DR)&lt;8),OR(('NFET Data'!$AG80&lt;&gt;"(Null)"),('NFET Data'!$AF80&lt;&gt;"(Null)"),('NFET Data'!$AE80&lt;&gt;"(Null)"),('NFET Data'!$AD80&lt;&gt;"(Null)"),('NFET Data'!$AC80&lt;&gt;"(Null)")))</f>
        <v>0</v>
      </c>
      <c r="O80" s="20" t="b">
        <f>AND(((VGS_DR)&gt;=8),((VGS_DR)&lt;10),OR(('NFET Data'!$AH80&lt;&gt;"(Null)"),('NFET Data'!$AG80&lt;&gt;"(Null)"),('NFET Data'!$AF80&lt;&gt;"(Null)"),('NFET Data'!$AE80&lt;&gt;"(Null)"),('NFET Data'!$AD80&lt;&gt;"(Null)"),('NFET Data'!$AC80&lt;&gt;"(Null)")))</f>
        <v>0</v>
      </c>
      <c r="P80" s="20" t="b">
        <f>AND(((VGS_DR)&gt;=10),OR(('NFET Data'!$AI80&lt;&gt;"(Null)"),('NFET Data'!$AH80&lt;&gt;"(Null)"),('NFET Data'!$AG80&lt;&gt;"(Null)"),('NFET Data'!$AF80&lt;&gt;"(Null)"),('NFET Data'!$AE80&lt;&gt;"(Null)"),('NFET Data'!$AD80&lt;&gt;"(Null)"),('NFET Data'!$AC80&lt;&gt;"(Null)")))</f>
        <v>0</v>
      </c>
      <c r="Q80" s="20" t="b">
        <f t="shared" si="10"/>
        <v>1</v>
      </c>
      <c r="R80" s="20" t="b">
        <f t="shared" si="11"/>
        <v>1</v>
      </c>
    </row>
    <row r="81" spans="1:18" x14ac:dyDescent="0.25">
      <c r="A81" s="20" t="str">
        <f>IF(R81,Load_Switch_NFET[[#This Row],[PARTNUMBER]],"")</f>
        <v>CSD17579Q5A</v>
      </c>
      <c r="B81" t="s">
        <v>502</v>
      </c>
      <c r="C81" s="20" t="b">
        <f>AND((Load_Switch_NFET[[#This Row],[VDSMAX]]&gt;=Vi*1.1),(Load_Switch_NFET[[#This Row],[VGSMAX]]&gt;=(VGS_DR)*1.1),(Load_Switch_NFET[[#This Row],[IDSMAX]]&gt;=Io),VGS_DR&gt;=1.8)</f>
        <v>1</v>
      </c>
      <c r="D81" s="20" t="b">
        <f>AND(Vi&lt;=27,Load_Switch_NFET[[#This Row],[VDSMAX]]&lt;=30)</f>
        <v>1</v>
      </c>
      <c r="E81" s="20" t="b">
        <f>AND(Vi&lt;=36,Vi&gt;=20,Load_Switch_NFET[[#This Row],[VDSMAX]]=40)</f>
        <v>0</v>
      </c>
      <c r="F81" s="20" t="b">
        <f>AND(Vi&lt;=54,Vi&gt;=25,Load_Switch_NFET[[#This Row],[VDSMAX]]=60)</f>
        <v>0</v>
      </c>
      <c r="G81" s="20" t="b">
        <f>AND(Vi&lt;=72,Vi&gt;=36,Load_Switch_NFET[[#This Row],[VDSMAX]]=80)</f>
        <v>0</v>
      </c>
      <c r="H81" s="20" t="b">
        <f>AND(Vi&lt;=90,Vi&gt;=48,Load_Switch_NFET[[#This Row],[VDSMAX]]=100)</f>
        <v>0</v>
      </c>
      <c r="I81" s="20" t="b">
        <f t="shared" si="9"/>
        <v>1</v>
      </c>
      <c r="J81" s="20" t="b">
        <f>AND(((VGS_DR)&lt;2.5),('NFET Data'!$AC81&lt;&gt;"(Null)"))</f>
        <v>0</v>
      </c>
      <c r="K81" s="20" t="b">
        <f>AND(((VGS_DR)&gt;=2.5),((VGS_DR)&lt;3),OR(('NFET Data'!$AD81&lt;&gt;"(Null)"),('NFET Data'!$AC81&lt;&gt;"(Null)")))</f>
        <v>0</v>
      </c>
      <c r="L81" s="20" t="b">
        <f>AND(((VGS_DR)&gt;=3),((VGS_DR)&lt;4.5),OR(('NFET Data'!$AE81&lt;&gt;"(Null)"),('NFET Data'!$AD81&lt;&gt;"(Null)"),('NFET Data'!$AC81&lt;&gt;"(Null)")))</f>
        <v>0</v>
      </c>
      <c r="M81" s="20" t="b">
        <f>AND(((VGS_DR)&gt;=4.5),((VGS_DR)&lt;6),OR(('NFET Data'!$AF81&lt;&gt;"(Null)"),('NFET Data'!$AE81&lt;&gt;"(Null)"),('NFET Data'!$AD81&lt;&gt;"(Null)"),('NFET Data'!$AC81&lt;&gt;"(Null)")))</f>
        <v>1</v>
      </c>
      <c r="N81" s="20" t="b">
        <f>AND(((VGS_DR)&gt;=6),((VGS_DR)&lt;8),OR(('NFET Data'!$AG81&lt;&gt;"(Null)"),('NFET Data'!$AF81&lt;&gt;"(Null)"),('NFET Data'!$AE81&lt;&gt;"(Null)"),('NFET Data'!$AD81&lt;&gt;"(Null)"),('NFET Data'!$AC81&lt;&gt;"(Null)")))</f>
        <v>0</v>
      </c>
      <c r="O81" s="20" t="b">
        <f>AND(((VGS_DR)&gt;=8),((VGS_DR)&lt;10),OR(('NFET Data'!$AH81&lt;&gt;"(Null)"),('NFET Data'!$AG81&lt;&gt;"(Null)"),('NFET Data'!$AF81&lt;&gt;"(Null)"),('NFET Data'!$AE81&lt;&gt;"(Null)"),('NFET Data'!$AD81&lt;&gt;"(Null)"),('NFET Data'!$AC81&lt;&gt;"(Null)")))</f>
        <v>0</v>
      </c>
      <c r="P81" s="20" t="b">
        <f>AND(((VGS_DR)&gt;=10),OR(('NFET Data'!$AI81&lt;&gt;"(Null)"),('NFET Data'!$AH81&lt;&gt;"(Null)"),('NFET Data'!$AG81&lt;&gt;"(Null)"),('NFET Data'!$AF81&lt;&gt;"(Null)"),('NFET Data'!$AE81&lt;&gt;"(Null)"),('NFET Data'!$AD81&lt;&gt;"(Null)"),('NFET Data'!$AC81&lt;&gt;"(Null)")))</f>
        <v>0</v>
      </c>
      <c r="Q81" s="20" t="b">
        <f t="shared" si="10"/>
        <v>1</v>
      </c>
      <c r="R81" s="20" t="b">
        <f t="shared" si="11"/>
        <v>1</v>
      </c>
    </row>
    <row r="82" spans="1:18" x14ac:dyDescent="0.25">
      <c r="A82" s="20" t="str">
        <f>IF(R82,Load_Switch_NFET[[#This Row],[PARTNUMBER]],"")</f>
        <v>CSD17581Q3A</v>
      </c>
      <c r="B82"/>
      <c r="C82" s="20" t="b">
        <f>AND((Load_Switch_NFET[[#This Row],[VDSMAX]]&gt;=Vi*1.1),(Load_Switch_NFET[[#This Row],[VGSMAX]]&gt;=(VGS_DR)*1.1),(Load_Switch_NFET[[#This Row],[IDSMAX]]&gt;=Io),VGS_DR&gt;=1.8)</f>
        <v>1</v>
      </c>
      <c r="D82" s="20" t="b">
        <f>AND(Vi&lt;=27,Load_Switch_NFET[[#This Row],[VDSMAX]]&lt;=30)</f>
        <v>1</v>
      </c>
      <c r="E82" s="20" t="b">
        <f>AND(Vi&lt;=36,Vi&gt;=20,Load_Switch_NFET[[#This Row],[VDSMAX]]=40)</f>
        <v>0</v>
      </c>
      <c r="F82" s="20" t="b">
        <f>AND(Vi&lt;=54,Vi&gt;=25,Load_Switch_NFET[[#This Row],[VDSMAX]]=60)</f>
        <v>0</v>
      </c>
      <c r="G82" s="20" t="b">
        <f>AND(Vi&lt;=72,Vi&gt;=36,Load_Switch_NFET[[#This Row],[VDSMAX]]=80)</f>
        <v>0</v>
      </c>
      <c r="H82" s="20" t="b">
        <f>AND(Vi&lt;=90,Vi&gt;=48,Load_Switch_NFET[[#This Row],[VDSMAX]]=100)</f>
        <v>0</v>
      </c>
      <c r="I82" s="20" t="b">
        <f t="shared" si="9"/>
        <v>1</v>
      </c>
      <c r="J82" s="20" t="b">
        <f>AND(((VGS_DR)&lt;2.5),('NFET Data'!$AC82&lt;&gt;"(Null)"))</f>
        <v>0</v>
      </c>
      <c r="K82" s="20" t="b">
        <f>AND(((VGS_DR)&gt;=2.5),((VGS_DR)&lt;3),OR(('NFET Data'!$AD82&lt;&gt;"(Null)"),('NFET Data'!$AC82&lt;&gt;"(Null)")))</f>
        <v>0</v>
      </c>
      <c r="L82" s="20" t="b">
        <f>AND(((VGS_DR)&gt;=3),((VGS_DR)&lt;4.5),OR(('NFET Data'!$AE82&lt;&gt;"(Null)"),('NFET Data'!$AD82&lt;&gt;"(Null)"),('NFET Data'!$AC82&lt;&gt;"(Null)")))</f>
        <v>0</v>
      </c>
      <c r="M82" s="20" t="b">
        <f>AND(((VGS_DR)&gt;=4.5),((VGS_DR)&lt;6),OR(('NFET Data'!$AF82&lt;&gt;"(Null)"),('NFET Data'!$AE82&lt;&gt;"(Null)"),('NFET Data'!$AD82&lt;&gt;"(Null)"),('NFET Data'!$AC82&lt;&gt;"(Null)")))</f>
        <v>1</v>
      </c>
      <c r="N82" s="20" t="b">
        <f>AND(((VGS_DR)&gt;=6),((VGS_DR)&lt;8),OR(('NFET Data'!$AG82&lt;&gt;"(Null)"),('NFET Data'!$AF82&lt;&gt;"(Null)"),('NFET Data'!$AE82&lt;&gt;"(Null)"),('NFET Data'!$AD82&lt;&gt;"(Null)"),('NFET Data'!$AC82&lt;&gt;"(Null)")))</f>
        <v>0</v>
      </c>
      <c r="O82" s="20" t="b">
        <f>AND(((VGS_DR)&gt;=8),((VGS_DR)&lt;10),OR(('NFET Data'!$AH82&lt;&gt;"(Null)"),('NFET Data'!$AG82&lt;&gt;"(Null)"),('NFET Data'!$AF82&lt;&gt;"(Null)"),('NFET Data'!$AE82&lt;&gt;"(Null)"),('NFET Data'!$AD82&lt;&gt;"(Null)"),('NFET Data'!$AC82&lt;&gt;"(Null)")))</f>
        <v>0</v>
      </c>
      <c r="P82" s="20" t="b">
        <f>AND(((VGS_DR)&gt;=10),OR(('NFET Data'!$AI82&lt;&gt;"(Null)"),('NFET Data'!$AH82&lt;&gt;"(Null)"),('NFET Data'!$AG82&lt;&gt;"(Null)"),('NFET Data'!$AF82&lt;&gt;"(Null)"),('NFET Data'!$AE82&lt;&gt;"(Null)"),('NFET Data'!$AD82&lt;&gt;"(Null)"),('NFET Data'!$AC82&lt;&gt;"(Null)")))</f>
        <v>0</v>
      </c>
      <c r="Q82" s="20" t="b">
        <f t="shared" si="10"/>
        <v>1</v>
      </c>
      <c r="R82" s="20" t="b">
        <f t="shared" si="11"/>
        <v>1</v>
      </c>
    </row>
    <row r="83" spans="1:18" x14ac:dyDescent="0.25">
      <c r="A83" s="20" t="str">
        <f>IF(R83,Load_Switch_NFET[[#This Row],[PARTNUMBER]],"")</f>
        <v>CSD17581Q5A</v>
      </c>
      <c r="B83"/>
      <c r="C83" s="20" t="b">
        <f>AND((Load_Switch_NFET[[#This Row],[VDSMAX]]&gt;=Vi*1.1),(Load_Switch_NFET[[#This Row],[VGSMAX]]&gt;=(VGS_DR)*1.1),(Load_Switch_NFET[[#This Row],[IDSMAX]]&gt;=Io),VGS_DR&gt;=1.8)</f>
        <v>1</v>
      </c>
      <c r="D83" s="20" t="b">
        <f>AND(Vi&lt;=27,Load_Switch_NFET[[#This Row],[VDSMAX]]&lt;=30)</f>
        <v>1</v>
      </c>
      <c r="E83" s="20" t="b">
        <f>AND(Vi&lt;=36,Vi&gt;=20,Load_Switch_NFET[[#This Row],[VDSMAX]]=40)</f>
        <v>0</v>
      </c>
      <c r="F83" s="20" t="b">
        <f>AND(Vi&lt;=54,Vi&gt;=25,Load_Switch_NFET[[#This Row],[VDSMAX]]=60)</f>
        <v>0</v>
      </c>
      <c r="G83" s="20" t="b">
        <f>AND(Vi&lt;=72,Vi&gt;=36,Load_Switch_NFET[[#This Row],[VDSMAX]]=80)</f>
        <v>0</v>
      </c>
      <c r="H83" s="20" t="b">
        <f>AND(Vi&lt;=90,Vi&gt;=48,Load_Switch_NFET[[#This Row],[VDSMAX]]=100)</f>
        <v>0</v>
      </c>
      <c r="I83" s="20" t="b">
        <f t="shared" si="9"/>
        <v>1</v>
      </c>
      <c r="J83" s="20" t="b">
        <f>AND(((VGS_DR)&lt;2.5),('NFET Data'!$AC83&lt;&gt;"(Null)"))</f>
        <v>0</v>
      </c>
      <c r="K83" s="20" t="b">
        <f>AND(((VGS_DR)&gt;=2.5),((VGS_DR)&lt;3),OR(('NFET Data'!$AD83&lt;&gt;"(Null)"),('NFET Data'!$AC83&lt;&gt;"(Null)")))</f>
        <v>0</v>
      </c>
      <c r="L83" s="20" t="b">
        <f>AND(((VGS_DR)&gt;=3),((VGS_DR)&lt;4.5),OR(('NFET Data'!$AE83&lt;&gt;"(Null)"),('NFET Data'!$AD83&lt;&gt;"(Null)"),('NFET Data'!$AC83&lt;&gt;"(Null)")))</f>
        <v>0</v>
      </c>
      <c r="M83" s="20" t="b">
        <f>AND(((VGS_DR)&gt;=4.5),((VGS_DR)&lt;6),OR(('NFET Data'!$AF83&lt;&gt;"(Null)"),('NFET Data'!$AE83&lt;&gt;"(Null)"),('NFET Data'!$AD83&lt;&gt;"(Null)"),('NFET Data'!$AC83&lt;&gt;"(Null)")))</f>
        <v>1</v>
      </c>
      <c r="N83" s="20" t="b">
        <f>AND(((VGS_DR)&gt;=6),((VGS_DR)&lt;8),OR(('NFET Data'!$AG83&lt;&gt;"(Null)"),('NFET Data'!$AF83&lt;&gt;"(Null)"),('NFET Data'!$AE83&lt;&gt;"(Null)"),('NFET Data'!$AD83&lt;&gt;"(Null)"),('NFET Data'!$AC83&lt;&gt;"(Null)")))</f>
        <v>0</v>
      </c>
      <c r="O83" s="20" t="b">
        <f>AND(((VGS_DR)&gt;=8),((VGS_DR)&lt;10),OR(('NFET Data'!$AH83&lt;&gt;"(Null)"),('NFET Data'!$AG83&lt;&gt;"(Null)"),('NFET Data'!$AF83&lt;&gt;"(Null)"),('NFET Data'!$AE83&lt;&gt;"(Null)"),('NFET Data'!$AD83&lt;&gt;"(Null)"),('NFET Data'!$AC83&lt;&gt;"(Null)")))</f>
        <v>0</v>
      </c>
      <c r="P83" s="20" t="b">
        <f>AND(((VGS_DR)&gt;=10),OR(('NFET Data'!$AI83&lt;&gt;"(Null)"),('NFET Data'!$AH83&lt;&gt;"(Null)"),('NFET Data'!$AG83&lt;&gt;"(Null)"),('NFET Data'!$AF83&lt;&gt;"(Null)"),('NFET Data'!$AE83&lt;&gt;"(Null)"),('NFET Data'!$AD83&lt;&gt;"(Null)"),('NFET Data'!$AC83&lt;&gt;"(Null)")))</f>
        <v>0</v>
      </c>
      <c r="Q83" s="20" t="b">
        <f t="shared" si="10"/>
        <v>1</v>
      </c>
      <c r="R83" s="20" t="b">
        <f t="shared" si="11"/>
        <v>1</v>
      </c>
    </row>
    <row r="84" spans="1:18" x14ac:dyDescent="0.25">
      <c r="A84" s="20" t="str">
        <f>IF(R84,Load_Switch_NFET[[#This Row],[PARTNUMBER]],"")</f>
        <v>CSD17585F5</v>
      </c>
      <c r="B84"/>
      <c r="C84" s="20" t="b">
        <f>AND((Load_Switch_NFET[[#This Row],[VDSMAX]]&gt;=Vi*1.1),(Load_Switch_NFET[[#This Row],[VGSMAX]]&gt;=(VGS_DR)*1.1),(Load_Switch_NFET[[#This Row],[IDSMAX]]&gt;=Io),VGS_DR&gt;=1.8)</f>
        <v>1</v>
      </c>
      <c r="D84" s="20" t="b">
        <f>AND(Vi&lt;=27,Load_Switch_NFET[[#This Row],[VDSMAX]]&lt;=30)</f>
        <v>1</v>
      </c>
      <c r="E84" s="20" t="b">
        <f>AND(Vi&lt;=36,Vi&gt;=20,Load_Switch_NFET[[#This Row],[VDSMAX]]=40)</f>
        <v>0</v>
      </c>
      <c r="F84" s="20" t="b">
        <f>AND(Vi&lt;=54,Vi&gt;=25,Load_Switch_NFET[[#This Row],[VDSMAX]]=60)</f>
        <v>0</v>
      </c>
      <c r="G84" s="20" t="b">
        <f>AND(Vi&lt;=72,Vi&gt;=36,Load_Switch_NFET[[#This Row],[VDSMAX]]=80)</f>
        <v>0</v>
      </c>
      <c r="H84" s="20" t="b">
        <f>AND(Vi&lt;=90,Vi&gt;=48,Load_Switch_NFET[[#This Row],[VDSMAX]]=100)</f>
        <v>0</v>
      </c>
      <c r="I84" s="20" t="b">
        <f t="shared" si="9"/>
        <v>1</v>
      </c>
      <c r="J84" s="20" t="b">
        <f>AND(((VGS_DR)&lt;2.5),('NFET Data'!$AC84&lt;&gt;"(Null)"))</f>
        <v>0</v>
      </c>
      <c r="K84" s="20" t="b">
        <f>AND(((VGS_DR)&gt;=2.5),((VGS_DR)&lt;3),OR(('NFET Data'!$AD84&lt;&gt;"(Null)"),('NFET Data'!$AC84&lt;&gt;"(Null)")))</f>
        <v>0</v>
      </c>
      <c r="L84" s="20" t="b">
        <f>AND(((VGS_DR)&gt;=3),((VGS_DR)&lt;4.5),OR(('NFET Data'!$AE84&lt;&gt;"(Null)"),('NFET Data'!$AD84&lt;&gt;"(Null)"),('NFET Data'!$AC84&lt;&gt;"(Null)")))</f>
        <v>0</v>
      </c>
      <c r="M84" s="20" t="b">
        <f>AND(((VGS_DR)&gt;=4.5),((VGS_DR)&lt;6),OR(('NFET Data'!$AF84&lt;&gt;"(Null)"),('NFET Data'!$AE84&lt;&gt;"(Null)"),('NFET Data'!$AD84&lt;&gt;"(Null)"),('NFET Data'!$AC84&lt;&gt;"(Null)")))</f>
        <v>1</v>
      </c>
      <c r="N84" s="20" t="b">
        <f>AND(((VGS_DR)&gt;=6),((VGS_DR)&lt;8),OR(('NFET Data'!$AG84&lt;&gt;"(Null)"),('NFET Data'!$AF84&lt;&gt;"(Null)"),('NFET Data'!$AE84&lt;&gt;"(Null)"),('NFET Data'!$AD84&lt;&gt;"(Null)"),('NFET Data'!$AC84&lt;&gt;"(Null)")))</f>
        <v>0</v>
      </c>
      <c r="O84" s="20" t="b">
        <f>AND(((VGS_DR)&gt;=8),((VGS_DR)&lt;10),OR(('NFET Data'!$AH84&lt;&gt;"(Null)"),('NFET Data'!$AG84&lt;&gt;"(Null)"),('NFET Data'!$AF84&lt;&gt;"(Null)"),('NFET Data'!$AE84&lt;&gt;"(Null)"),('NFET Data'!$AD84&lt;&gt;"(Null)"),('NFET Data'!$AC84&lt;&gt;"(Null)")))</f>
        <v>0</v>
      </c>
      <c r="P84" s="20" t="b">
        <f>AND(((VGS_DR)&gt;=10),OR(('NFET Data'!$AI84&lt;&gt;"(Null)"),('NFET Data'!$AH84&lt;&gt;"(Null)"),('NFET Data'!$AG84&lt;&gt;"(Null)"),('NFET Data'!$AF84&lt;&gt;"(Null)"),('NFET Data'!$AE84&lt;&gt;"(Null)"),('NFET Data'!$AD84&lt;&gt;"(Null)"),('NFET Data'!$AC84&lt;&gt;"(Null)")))</f>
        <v>0</v>
      </c>
      <c r="Q84" s="20" t="b">
        <f t="shared" si="10"/>
        <v>1</v>
      </c>
      <c r="R84" s="20" t="b">
        <f t="shared" si="11"/>
        <v>1</v>
      </c>
    </row>
    <row r="85" spans="1:18" x14ac:dyDescent="0.25">
      <c r="A85" s="20" t="str">
        <f>IF(R85,Load_Switch_NFET[[#This Row],[PARTNUMBER]],"")</f>
        <v/>
      </c>
      <c r="B85"/>
      <c r="C85" s="20" t="b">
        <f>AND((Load_Switch_NFET[[#This Row],[VDSMAX]]&gt;=Vi*1.1),(Load_Switch_NFET[[#This Row],[VGSMAX]]&gt;=(VGS_DR)*1.1),(Load_Switch_NFET[[#This Row],[IDSMAX]]&gt;=Io),VGS_DR&gt;=1.8)</f>
        <v>1</v>
      </c>
      <c r="D85" s="20" t="b">
        <f>AND(Vi&lt;=27,Load_Switch_NFET[[#This Row],[VDSMAX]]&lt;=30)</f>
        <v>0</v>
      </c>
      <c r="E85" s="20" t="b">
        <f>AND(Vi&lt;=36,Vi&gt;=20,Load_Switch_NFET[[#This Row],[VDSMAX]]=40)</f>
        <v>0</v>
      </c>
      <c r="F85" s="20" t="b">
        <f>AND(Vi&lt;=54,Vi&gt;=25,Load_Switch_NFET[[#This Row],[VDSMAX]]=60)</f>
        <v>0</v>
      </c>
      <c r="G85" s="20" t="b">
        <f>AND(Vi&lt;=72,Vi&gt;=36,Load_Switch_NFET[[#This Row],[VDSMAX]]=80)</f>
        <v>0</v>
      </c>
      <c r="H85" s="20" t="b">
        <f>AND(Vi&lt;=90,Vi&gt;=48,Load_Switch_NFET[[#This Row],[VDSMAX]]=100)</f>
        <v>0</v>
      </c>
      <c r="I85" s="20" t="b">
        <f t="shared" si="9"/>
        <v>0</v>
      </c>
      <c r="J85" s="20" t="b">
        <f>AND(((VGS_DR)&lt;2.5),('NFET Data'!$AC85&lt;&gt;"(Null)"))</f>
        <v>0</v>
      </c>
      <c r="K85" s="20" t="b">
        <f>AND(((VGS_DR)&gt;=2.5),((VGS_DR)&lt;3),OR(('NFET Data'!$AD85&lt;&gt;"(Null)"),('NFET Data'!$AC85&lt;&gt;"(Null)")))</f>
        <v>0</v>
      </c>
      <c r="L85" s="20" t="b">
        <f>AND(((VGS_DR)&gt;=3),((VGS_DR)&lt;4.5),OR(('NFET Data'!$AE85&lt;&gt;"(Null)"),('NFET Data'!$AD85&lt;&gt;"(Null)"),('NFET Data'!$AC85&lt;&gt;"(Null)")))</f>
        <v>0</v>
      </c>
      <c r="M85" s="20" t="b">
        <f>AND(((VGS_DR)&gt;=4.5),((VGS_DR)&lt;6),OR(('NFET Data'!$AF85&lt;&gt;"(Null)"),('NFET Data'!$AE85&lt;&gt;"(Null)"),('NFET Data'!$AD85&lt;&gt;"(Null)"),('NFET Data'!$AC85&lt;&gt;"(Null)")))</f>
        <v>1</v>
      </c>
      <c r="N85" s="20" t="b">
        <f>AND(((VGS_DR)&gt;=6),((VGS_DR)&lt;8),OR(('NFET Data'!$AG85&lt;&gt;"(Null)"),('NFET Data'!$AF85&lt;&gt;"(Null)"),('NFET Data'!$AE85&lt;&gt;"(Null)"),('NFET Data'!$AD85&lt;&gt;"(Null)"),('NFET Data'!$AC85&lt;&gt;"(Null)")))</f>
        <v>0</v>
      </c>
      <c r="O85" s="20" t="b">
        <f>AND(((VGS_DR)&gt;=8),((VGS_DR)&lt;10),OR(('NFET Data'!$AH85&lt;&gt;"(Null)"),('NFET Data'!$AG85&lt;&gt;"(Null)"),('NFET Data'!$AF85&lt;&gt;"(Null)"),('NFET Data'!$AE85&lt;&gt;"(Null)"),('NFET Data'!$AD85&lt;&gt;"(Null)"),('NFET Data'!$AC85&lt;&gt;"(Null)")))</f>
        <v>0</v>
      </c>
      <c r="P85" s="20" t="b">
        <f>AND(((VGS_DR)&gt;=10),OR(('NFET Data'!$AI85&lt;&gt;"(Null)"),('NFET Data'!$AH85&lt;&gt;"(Null)"),('NFET Data'!$AG85&lt;&gt;"(Null)"),('NFET Data'!$AF85&lt;&gt;"(Null)"),('NFET Data'!$AE85&lt;&gt;"(Null)"),('NFET Data'!$AD85&lt;&gt;"(Null)"),('NFET Data'!$AC85&lt;&gt;"(Null)")))</f>
        <v>0</v>
      </c>
      <c r="Q85" s="20" t="b">
        <f t="shared" si="10"/>
        <v>1</v>
      </c>
      <c r="R85" s="20" t="b">
        <f t="shared" si="11"/>
        <v>0</v>
      </c>
    </row>
    <row r="86" spans="1:18" x14ac:dyDescent="0.25">
      <c r="A86" s="20" t="str">
        <f>IF(R86,Load_Switch_NFET[[#This Row],[PARTNUMBER]],"")</f>
        <v/>
      </c>
      <c r="B86"/>
      <c r="C86" s="20" t="b">
        <f>AND((Load_Switch_NFET[[#This Row],[VDSMAX]]&gt;=Vi*1.1),(Load_Switch_NFET[[#This Row],[VGSMAX]]&gt;=(VGS_DR)*1.1),(Load_Switch_NFET[[#This Row],[IDSMAX]]&gt;=Io),VGS_DR&gt;=1.8)</f>
        <v>1</v>
      </c>
      <c r="D86" s="20" t="b">
        <f>AND(Vi&lt;=27,Load_Switch_NFET[[#This Row],[VDSMAX]]&lt;=30)</f>
        <v>0</v>
      </c>
      <c r="E86" s="20" t="b">
        <f>AND(Vi&lt;=36,Vi&gt;=20,Load_Switch_NFET[[#This Row],[VDSMAX]]=40)</f>
        <v>0</v>
      </c>
      <c r="F86" s="20" t="b">
        <f>AND(Vi&lt;=54,Vi&gt;=25,Load_Switch_NFET[[#This Row],[VDSMAX]]=60)</f>
        <v>0</v>
      </c>
      <c r="G86" s="20" t="b">
        <f>AND(Vi&lt;=72,Vi&gt;=36,Load_Switch_NFET[[#This Row],[VDSMAX]]=80)</f>
        <v>0</v>
      </c>
      <c r="H86" s="20" t="b">
        <f>AND(Vi&lt;=90,Vi&gt;=48,Load_Switch_NFET[[#This Row],[VDSMAX]]=100)</f>
        <v>0</v>
      </c>
      <c r="I86" s="20" t="b">
        <f t="shared" si="9"/>
        <v>0</v>
      </c>
      <c r="J86" s="20" t="b">
        <f>AND(((VGS_DR)&lt;2.5),('NFET Data'!$AC86&lt;&gt;"(Null)"))</f>
        <v>0</v>
      </c>
      <c r="K86" s="20" t="b">
        <f>AND(((VGS_DR)&gt;=2.5),((VGS_DR)&lt;3),OR(('NFET Data'!$AD86&lt;&gt;"(Null)"),('NFET Data'!$AC86&lt;&gt;"(Null)")))</f>
        <v>0</v>
      </c>
      <c r="L86" s="20" t="b">
        <f>AND(((VGS_DR)&gt;=3),((VGS_DR)&lt;4.5),OR(('NFET Data'!$AE86&lt;&gt;"(Null)"),('NFET Data'!$AD86&lt;&gt;"(Null)"),('NFET Data'!$AC86&lt;&gt;"(Null)")))</f>
        <v>0</v>
      </c>
      <c r="M86" s="20" t="b">
        <f>AND(((VGS_DR)&gt;=4.5),((VGS_DR)&lt;6),OR(('NFET Data'!$AF86&lt;&gt;"(Null)"),('NFET Data'!$AE86&lt;&gt;"(Null)"),('NFET Data'!$AD86&lt;&gt;"(Null)"),('NFET Data'!$AC86&lt;&gt;"(Null)")))</f>
        <v>1</v>
      </c>
      <c r="N86" s="20" t="b">
        <f>AND(((VGS_DR)&gt;=6),((VGS_DR)&lt;8),OR(('NFET Data'!$AG86&lt;&gt;"(Null)"),('NFET Data'!$AF86&lt;&gt;"(Null)"),('NFET Data'!$AE86&lt;&gt;"(Null)"),('NFET Data'!$AD86&lt;&gt;"(Null)"),('NFET Data'!$AC86&lt;&gt;"(Null)")))</f>
        <v>0</v>
      </c>
      <c r="O86" s="20" t="b">
        <f>AND(((VGS_DR)&gt;=8),((VGS_DR)&lt;10),OR(('NFET Data'!$AH86&lt;&gt;"(Null)"),('NFET Data'!$AG86&lt;&gt;"(Null)"),('NFET Data'!$AF86&lt;&gt;"(Null)"),('NFET Data'!$AE86&lt;&gt;"(Null)"),('NFET Data'!$AD86&lt;&gt;"(Null)"),('NFET Data'!$AC86&lt;&gt;"(Null)")))</f>
        <v>0</v>
      </c>
      <c r="P86" s="20" t="b">
        <f>AND(((VGS_DR)&gt;=10),OR(('NFET Data'!$AI86&lt;&gt;"(Null)"),('NFET Data'!$AH86&lt;&gt;"(Null)"),('NFET Data'!$AG86&lt;&gt;"(Null)"),('NFET Data'!$AF86&lt;&gt;"(Null)"),('NFET Data'!$AE86&lt;&gt;"(Null)"),('NFET Data'!$AD86&lt;&gt;"(Null)"),('NFET Data'!$AC86&lt;&gt;"(Null)")))</f>
        <v>0</v>
      </c>
      <c r="Q86" s="20" t="b">
        <f t="shared" si="10"/>
        <v>1</v>
      </c>
      <c r="R86" s="20" t="b">
        <f t="shared" si="11"/>
        <v>0</v>
      </c>
    </row>
    <row r="87" spans="1:18" x14ac:dyDescent="0.25">
      <c r="A87" s="20" t="str">
        <f>IF(R87,Load_Switch_NFET[[#This Row],[PARTNUMBER]],"")</f>
        <v/>
      </c>
      <c r="B87"/>
      <c r="C87" s="20" t="b">
        <f>AND((Load_Switch_NFET[[#This Row],[VDSMAX]]&gt;=Vi*1.1),(Load_Switch_NFET[[#This Row],[VGSMAX]]&gt;=(VGS_DR)*1.1),(Load_Switch_NFET[[#This Row],[IDSMAX]]&gt;=Io),VGS_DR&gt;=1.8)</f>
        <v>1</v>
      </c>
      <c r="D87" s="20" t="b">
        <f>AND(Vi&lt;=27,Load_Switch_NFET[[#This Row],[VDSMAX]]&lt;=30)</f>
        <v>0</v>
      </c>
      <c r="E87" s="20" t="b">
        <f>AND(Vi&lt;=36,Vi&gt;=20,Load_Switch_NFET[[#This Row],[VDSMAX]]=40)</f>
        <v>0</v>
      </c>
      <c r="F87" s="20" t="b">
        <f>AND(Vi&lt;=54,Vi&gt;=25,Load_Switch_NFET[[#This Row],[VDSMAX]]=60)</f>
        <v>0</v>
      </c>
      <c r="G87" s="20" t="b">
        <f>AND(Vi&lt;=72,Vi&gt;=36,Load_Switch_NFET[[#This Row],[VDSMAX]]=80)</f>
        <v>0</v>
      </c>
      <c r="H87" s="20" t="b">
        <f>AND(Vi&lt;=90,Vi&gt;=48,Load_Switch_NFET[[#This Row],[VDSMAX]]=100)</f>
        <v>0</v>
      </c>
      <c r="I87" s="20" t="b">
        <f t="shared" si="9"/>
        <v>0</v>
      </c>
      <c r="J87" s="20" t="b">
        <f>AND(((VGS_DR)&lt;2.5),('NFET Data'!$AC87&lt;&gt;"(Null)"))</f>
        <v>0</v>
      </c>
      <c r="K87" s="20" t="b">
        <f>AND(((VGS_DR)&gt;=2.5),((VGS_DR)&lt;3),OR(('NFET Data'!$AD87&lt;&gt;"(Null)"),('NFET Data'!$AC87&lt;&gt;"(Null)")))</f>
        <v>0</v>
      </c>
      <c r="L87" s="20" t="b">
        <f>AND(((VGS_DR)&gt;=3),((VGS_DR)&lt;4.5),OR(('NFET Data'!$AE87&lt;&gt;"(Null)"),('NFET Data'!$AD87&lt;&gt;"(Null)"),('NFET Data'!$AC87&lt;&gt;"(Null)")))</f>
        <v>0</v>
      </c>
      <c r="M87" s="20" t="b">
        <f>AND(((VGS_DR)&gt;=4.5),((VGS_DR)&lt;6),OR(('NFET Data'!$AF87&lt;&gt;"(Null)"),('NFET Data'!$AE87&lt;&gt;"(Null)"),('NFET Data'!$AD87&lt;&gt;"(Null)"),('NFET Data'!$AC87&lt;&gt;"(Null)")))</f>
        <v>1</v>
      </c>
      <c r="N87" s="20" t="b">
        <f>AND(((VGS_DR)&gt;=6),((VGS_DR)&lt;8),OR(('NFET Data'!$AG87&lt;&gt;"(Null)"),('NFET Data'!$AF87&lt;&gt;"(Null)"),('NFET Data'!$AE87&lt;&gt;"(Null)"),('NFET Data'!$AD87&lt;&gt;"(Null)"),('NFET Data'!$AC87&lt;&gt;"(Null)")))</f>
        <v>0</v>
      </c>
      <c r="O87" s="20" t="b">
        <f>AND(((VGS_DR)&gt;=8),((VGS_DR)&lt;10),OR(('NFET Data'!$AH87&lt;&gt;"(Null)"),('NFET Data'!$AG87&lt;&gt;"(Null)"),('NFET Data'!$AF87&lt;&gt;"(Null)"),('NFET Data'!$AE87&lt;&gt;"(Null)"),('NFET Data'!$AD87&lt;&gt;"(Null)"),('NFET Data'!$AC87&lt;&gt;"(Null)")))</f>
        <v>0</v>
      </c>
      <c r="P87" s="20" t="b">
        <f>AND(((VGS_DR)&gt;=10),OR(('NFET Data'!$AI87&lt;&gt;"(Null)"),('NFET Data'!$AH87&lt;&gt;"(Null)"),('NFET Data'!$AG87&lt;&gt;"(Null)"),('NFET Data'!$AF87&lt;&gt;"(Null)"),('NFET Data'!$AE87&lt;&gt;"(Null)"),('NFET Data'!$AD87&lt;&gt;"(Null)"),('NFET Data'!$AC87&lt;&gt;"(Null)")))</f>
        <v>0</v>
      </c>
      <c r="Q87" s="20" t="b">
        <f t="shared" si="10"/>
        <v>1</v>
      </c>
      <c r="R87" s="20" t="b">
        <f t="shared" si="11"/>
        <v>0</v>
      </c>
    </row>
    <row r="88" spans="1:18" x14ac:dyDescent="0.25">
      <c r="A88" s="20" t="str">
        <f>IF(R88,Load_Switch_NFET[[#This Row],[PARTNUMBER]],"")</f>
        <v/>
      </c>
      <c r="B88"/>
      <c r="C88" s="20" t="b">
        <f>AND((Load_Switch_NFET[[#This Row],[VDSMAX]]&gt;=Vi*1.1),(Load_Switch_NFET[[#This Row],[VGSMAX]]&gt;=(VGS_DR)*1.1),(Load_Switch_NFET[[#This Row],[IDSMAX]]&gt;=Io),VGS_DR&gt;=1.8)</f>
        <v>1</v>
      </c>
      <c r="D88" s="20" t="b">
        <f>AND(Vi&lt;=27,Load_Switch_NFET[[#This Row],[VDSMAX]]&lt;=30)</f>
        <v>0</v>
      </c>
      <c r="E88" s="20" t="b">
        <f>AND(Vi&lt;=36,Vi&gt;=20,Load_Switch_NFET[[#This Row],[VDSMAX]]=40)</f>
        <v>0</v>
      </c>
      <c r="F88" s="20" t="b">
        <f>AND(Vi&lt;=54,Vi&gt;=25,Load_Switch_NFET[[#This Row],[VDSMAX]]=60)</f>
        <v>0</v>
      </c>
      <c r="G88" s="20" t="b">
        <f>AND(Vi&lt;=72,Vi&gt;=36,Load_Switch_NFET[[#This Row],[VDSMAX]]=80)</f>
        <v>0</v>
      </c>
      <c r="H88" s="20" t="b">
        <f>AND(Vi&lt;=90,Vi&gt;=48,Load_Switch_NFET[[#This Row],[VDSMAX]]=100)</f>
        <v>0</v>
      </c>
      <c r="I88" s="20" t="b">
        <f t="shared" si="9"/>
        <v>0</v>
      </c>
      <c r="J88" s="20" t="b">
        <f>AND(((VGS_DR)&lt;2.5),('NFET Data'!$AC88&lt;&gt;"(Null)"))</f>
        <v>0</v>
      </c>
      <c r="K88" s="20" t="b">
        <f>AND(((VGS_DR)&gt;=2.5),((VGS_DR)&lt;3),OR(('NFET Data'!$AD88&lt;&gt;"(Null)"),('NFET Data'!$AC88&lt;&gt;"(Null)")))</f>
        <v>0</v>
      </c>
      <c r="L88" s="20" t="b">
        <f>AND(((VGS_DR)&gt;=3),((VGS_DR)&lt;4.5),OR(('NFET Data'!$AE88&lt;&gt;"(Null)"),('NFET Data'!$AD88&lt;&gt;"(Null)"),('NFET Data'!$AC88&lt;&gt;"(Null)")))</f>
        <v>0</v>
      </c>
      <c r="M88" s="20" t="b">
        <f>AND(((VGS_DR)&gt;=4.5),((VGS_DR)&lt;6),OR(('NFET Data'!$AF88&lt;&gt;"(Null)"),('NFET Data'!$AE88&lt;&gt;"(Null)"),('NFET Data'!$AD88&lt;&gt;"(Null)"),('NFET Data'!$AC88&lt;&gt;"(Null)")))</f>
        <v>1</v>
      </c>
      <c r="N88" s="20" t="b">
        <f>AND(((VGS_DR)&gt;=6),((VGS_DR)&lt;8),OR(('NFET Data'!$AG88&lt;&gt;"(Null)"),('NFET Data'!$AF88&lt;&gt;"(Null)"),('NFET Data'!$AE88&lt;&gt;"(Null)"),('NFET Data'!$AD88&lt;&gt;"(Null)"),('NFET Data'!$AC88&lt;&gt;"(Null)")))</f>
        <v>0</v>
      </c>
      <c r="O88" s="20" t="b">
        <f>AND(((VGS_DR)&gt;=8),((VGS_DR)&lt;10),OR(('NFET Data'!$AH88&lt;&gt;"(Null)"),('NFET Data'!$AG88&lt;&gt;"(Null)"),('NFET Data'!$AF88&lt;&gt;"(Null)"),('NFET Data'!$AE88&lt;&gt;"(Null)"),('NFET Data'!$AD88&lt;&gt;"(Null)"),('NFET Data'!$AC88&lt;&gt;"(Null)")))</f>
        <v>0</v>
      </c>
      <c r="P88" s="20" t="b">
        <f>AND(((VGS_DR)&gt;=10),OR(('NFET Data'!$AI88&lt;&gt;"(Null)"),('NFET Data'!$AH88&lt;&gt;"(Null)"),('NFET Data'!$AG88&lt;&gt;"(Null)"),('NFET Data'!$AF88&lt;&gt;"(Null)"),('NFET Data'!$AE88&lt;&gt;"(Null)"),('NFET Data'!$AD88&lt;&gt;"(Null)"),('NFET Data'!$AC88&lt;&gt;"(Null)")))</f>
        <v>0</v>
      </c>
      <c r="Q88" s="20" t="b">
        <f t="shared" si="10"/>
        <v>1</v>
      </c>
      <c r="R88" s="20" t="b">
        <f t="shared" si="11"/>
        <v>0</v>
      </c>
    </row>
    <row r="89" spans="1:18" x14ac:dyDescent="0.25">
      <c r="A89" s="20" t="str">
        <f>IF(R89,Load_Switch_NFET[[#This Row],[PARTNUMBER]],"")</f>
        <v/>
      </c>
      <c r="B89"/>
      <c r="C89" s="20" t="b">
        <f>AND((Load_Switch_NFET[[#This Row],[VDSMAX]]&gt;=Vi*1.1),(Load_Switch_NFET[[#This Row],[VGSMAX]]&gt;=(VGS_DR)*1.1),(Load_Switch_NFET[[#This Row],[IDSMAX]]&gt;=Io),VGS_DR&gt;=1.8)</f>
        <v>1</v>
      </c>
      <c r="D89" s="20" t="b">
        <f>AND(Vi&lt;=27,Load_Switch_NFET[[#This Row],[VDSMAX]]&lt;=30)</f>
        <v>0</v>
      </c>
      <c r="E89" s="20" t="b">
        <f>AND(Vi&lt;=36,Vi&gt;=20,Load_Switch_NFET[[#This Row],[VDSMAX]]=40)</f>
        <v>0</v>
      </c>
      <c r="F89" s="20" t="b">
        <f>AND(Vi&lt;=54,Vi&gt;=25,Load_Switch_NFET[[#This Row],[VDSMAX]]=60)</f>
        <v>0</v>
      </c>
      <c r="G89" s="20" t="b">
        <f>AND(Vi&lt;=72,Vi&gt;=36,Load_Switch_NFET[[#This Row],[VDSMAX]]=80)</f>
        <v>0</v>
      </c>
      <c r="H89" s="20" t="b">
        <f>AND(Vi&lt;=90,Vi&gt;=48,Load_Switch_NFET[[#This Row],[VDSMAX]]=100)</f>
        <v>0</v>
      </c>
      <c r="I89" s="20" t="b">
        <f t="shared" si="9"/>
        <v>0</v>
      </c>
      <c r="J89" s="20" t="b">
        <f>AND(((VGS_DR)&lt;2.5),('NFET Data'!$AC89&lt;&gt;"(Null)"))</f>
        <v>0</v>
      </c>
      <c r="K89" s="20" t="b">
        <f>AND(((VGS_DR)&gt;=2.5),((VGS_DR)&lt;3),OR(('NFET Data'!$AD89&lt;&gt;"(Null)"),('NFET Data'!$AC89&lt;&gt;"(Null)")))</f>
        <v>0</v>
      </c>
      <c r="L89" s="20" t="b">
        <f>AND(((VGS_DR)&gt;=3),((VGS_DR)&lt;4.5),OR(('NFET Data'!$AE89&lt;&gt;"(Null)"),('NFET Data'!$AD89&lt;&gt;"(Null)"),('NFET Data'!$AC89&lt;&gt;"(Null)")))</f>
        <v>0</v>
      </c>
      <c r="M89" s="20" t="b">
        <f>AND(((VGS_DR)&gt;=4.5),((VGS_DR)&lt;6),OR(('NFET Data'!$AF89&lt;&gt;"(Null)"),('NFET Data'!$AE89&lt;&gt;"(Null)"),('NFET Data'!$AD89&lt;&gt;"(Null)"),('NFET Data'!$AC89&lt;&gt;"(Null)")))</f>
        <v>1</v>
      </c>
      <c r="N89" s="20" t="b">
        <f>AND(((VGS_DR)&gt;=6),((VGS_DR)&lt;8),OR(('NFET Data'!$AG89&lt;&gt;"(Null)"),('NFET Data'!$AF89&lt;&gt;"(Null)"),('NFET Data'!$AE89&lt;&gt;"(Null)"),('NFET Data'!$AD89&lt;&gt;"(Null)"),('NFET Data'!$AC89&lt;&gt;"(Null)")))</f>
        <v>0</v>
      </c>
      <c r="O89" s="20" t="b">
        <f>AND(((VGS_DR)&gt;=8),((VGS_DR)&lt;10),OR(('NFET Data'!$AH89&lt;&gt;"(Null)"),('NFET Data'!$AG89&lt;&gt;"(Null)"),('NFET Data'!$AF89&lt;&gt;"(Null)"),('NFET Data'!$AE89&lt;&gt;"(Null)"),('NFET Data'!$AD89&lt;&gt;"(Null)"),('NFET Data'!$AC89&lt;&gt;"(Null)")))</f>
        <v>0</v>
      </c>
      <c r="P89" s="20" t="b">
        <f>AND(((VGS_DR)&gt;=10),OR(('NFET Data'!$AI89&lt;&gt;"(Null)"),('NFET Data'!$AH89&lt;&gt;"(Null)"),('NFET Data'!$AG89&lt;&gt;"(Null)"),('NFET Data'!$AF89&lt;&gt;"(Null)"),('NFET Data'!$AE89&lt;&gt;"(Null)"),('NFET Data'!$AD89&lt;&gt;"(Null)"),('NFET Data'!$AC89&lt;&gt;"(Null)")))</f>
        <v>0</v>
      </c>
      <c r="Q89" s="20" t="b">
        <f t="shared" si="10"/>
        <v>1</v>
      </c>
      <c r="R89" s="20" t="b">
        <f t="shared" si="11"/>
        <v>0</v>
      </c>
    </row>
    <row r="90" spans="1:18" x14ac:dyDescent="0.25">
      <c r="A90" s="20" t="str">
        <f>IF(R90,Load_Switch_NFET[[#This Row],[PARTNUMBER]],"")</f>
        <v/>
      </c>
      <c r="B90"/>
      <c r="C90" s="20" t="b">
        <f>AND((Load_Switch_NFET[[#This Row],[VDSMAX]]&gt;=Vi*1.1),(Load_Switch_NFET[[#This Row],[VGSMAX]]&gt;=(VGS_DR)*1.1),(Load_Switch_NFET[[#This Row],[IDSMAX]]&gt;=Io),VGS_DR&gt;=1.8)</f>
        <v>1</v>
      </c>
      <c r="D90" s="20" t="b">
        <f>AND(Vi&lt;=27,Load_Switch_NFET[[#This Row],[VDSMAX]]&lt;=30)</f>
        <v>0</v>
      </c>
      <c r="E90" s="20" t="b">
        <f>AND(Vi&lt;=36,Vi&gt;=20,Load_Switch_NFET[[#This Row],[VDSMAX]]=40)</f>
        <v>0</v>
      </c>
      <c r="F90" s="20" t="b">
        <f>AND(Vi&lt;=54,Vi&gt;=25,Load_Switch_NFET[[#This Row],[VDSMAX]]=60)</f>
        <v>0</v>
      </c>
      <c r="G90" s="20" t="b">
        <f>AND(Vi&lt;=72,Vi&gt;=36,Load_Switch_NFET[[#This Row],[VDSMAX]]=80)</f>
        <v>0</v>
      </c>
      <c r="H90" s="20" t="b">
        <f>AND(Vi&lt;=90,Vi&gt;=48,Load_Switch_NFET[[#This Row],[VDSMAX]]=100)</f>
        <v>0</v>
      </c>
      <c r="I90" s="20" t="b">
        <f t="shared" si="9"/>
        <v>0</v>
      </c>
      <c r="J90" s="20" t="b">
        <f>AND(((VGS_DR)&lt;2.5),('NFET Data'!$AC90&lt;&gt;"(Null)"))</f>
        <v>0</v>
      </c>
      <c r="K90" s="20" t="b">
        <f>AND(((VGS_DR)&gt;=2.5),((VGS_DR)&lt;3),OR(('NFET Data'!$AD90&lt;&gt;"(Null)"),('NFET Data'!$AC90&lt;&gt;"(Null)")))</f>
        <v>0</v>
      </c>
      <c r="L90" s="20" t="b">
        <f>AND(((VGS_DR)&gt;=3),((VGS_DR)&lt;4.5),OR(('NFET Data'!$AE90&lt;&gt;"(Null)"),('NFET Data'!$AD90&lt;&gt;"(Null)"),('NFET Data'!$AC90&lt;&gt;"(Null)")))</f>
        <v>0</v>
      </c>
      <c r="M90" s="20" t="b">
        <f>AND(((VGS_DR)&gt;=4.5),((VGS_DR)&lt;6),OR(('NFET Data'!$AF90&lt;&gt;"(Null)"),('NFET Data'!$AE90&lt;&gt;"(Null)"),('NFET Data'!$AD90&lt;&gt;"(Null)"),('NFET Data'!$AC90&lt;&gt;"(Null)")))</f>
        <v>1</v>
      </c>
      <c r="N90" s="20" t="b">
        <f>AND(((VGS_DR)&gt;=6),((VGS_DR)&lt;8),OR(('NFET Data'!$AG90&lt;&gt;"(Null)"),('NFET Data'!$AF90&lt;&gt;"(Null)"),('NFET Data'!$AE90&lt;&gt;"(Null)"),('NFET Data'!$AD90&lt;&gt;"(Null)"),('NFET Data'!$AC90&lt;&gt;"(Null)")))</f>
        <v>0</v>
      </c>
      <c r="O90" s="20" t="b">
        <f>AND(((VGS_DR)&gt;=8),((VGS_DR)&lt;10),OR(('NFET Data'!$AH90&lt;&gt;"(Null)"),('NFET Data'!$AG90&lt;&gt;"(Null)"),('NFET Data'!$AF90&lt;&gt;"(Null)"),('NFET Data'!$AE90&lt;&gt;"(Null)"),('NFET Data'!$AD90&lt;&gt;"(Null)"),('NFET Data'!$AC90&lt;&gt;"(Null)")))</f>
        <v>0</v>
      </c>
      <c r="P90" s="20" t="b">
        <f>AND(((VGS_DR)&gt;=10),OR(('NFET Data'!$AI90&lt;&gt;"(Null)"),('NFET Data'!$AH90&lt;&gt;"(Null)"),('NFET Data'!$AG90&lt;&gt;"(Null)"),('NFET Data'!$AF90&lt;&gt;"(Null)"),('NFET Data'!$AE90&lt;&gt;"(Null)"),('NFET Data'!$AD90&lt;&gt;"(Null)"),('NFET Data'!$AC90&lt;&gt;"(Null)")))</f>
        <v>0</v>
      </c>
      <c r="Q90" s="20" t="b">
        <f t="shared" si="10"/>
        <v>1</v>
      </c>
      <c r="R90" s="20" t="b">
        <f t="shared" si="11"/>
        <v>0</v>
      </c>
    </row>
    <row r="91" spans="1:18" x14ac:dyDescent="0.25">
      <c r="A91" s="20" t="str">
        <f>IF(R91,Load_Switch_NFET[[#This Row],[PARTNUMBER]],"")</f>
        <v/>
      </c>
      <c r="B91"/>
      <c r="C91" s="20" t="b">
        <f>AND((Load_Switch_NFET[[#This Row],[VDSMAX]]&gt;=Vi*1.1),(Load_Switch_NFET[[#This Row],[VGSMAX]]&gt;=(VGS_DR)*1.1),(Load_Switch_NFET[[#This Row],[IDSMAX]]&gt;=Io),VGS_DR&gt;=1.8)</f>
        <v>1</v>
      </c>
      <c r="D91" s="20" t="b">
        <f>AND(Vi&lt;=27,Load_Switch_NFET[[#This Row],[VDSMAX]]&lt;=30)</f>
        <v>0</v>
      </c>
      <c r="E91" s="20" t="b">
        <f>AND(Vi&lt;=36,Vi&gt;=20,Load_Switch_NFET[[#This Row],[VDSMAX]]=40)</f>
        <v>0</v>
      </c>
      <c r="F91" s="20" t="b">
        <f>AND(Vi&lt;=54,Vi&gt;=25,Load_Switch_NFET[[#This Row],[VDSMAX]]=60)</f>
        <v>0</v>
      </c>
      <c r="G91" s="20" t="b">
        <f>AND(Vi&lt;=72,Vi&gt;=36,Load_Switch_NFET[[#This Row],[VDSMAX]]=80)</f>
        <v>0</v>
      </c>
      <c r="H91" s="20" t="b">
        <f>AND(Vi&lt;=90,Vi&gt;=48,Load_Switch_NFET[[#This Row],[VDSMAX]]=100)</f>
        <v>0</v>
      </c>
      <c r="I91" s="20" t="b">
        <f t="shared" si="9"/>
        <v>0</v>
      </c>
      <c r="J91" s="20" t="b">
        <f>AND(((VGS_DR)&lt;2.5),('NFET Data'!$AC91&lt;&gt;"(Null)"))</f>
        <v>0</v>
      </c>
      <c r="K91" s="20" t="b">
        <f>AND(((VGS_DR)&gt;=2.5),((VGS_DR)&lt;3),OR(('NFET Data'!$AD91&lt;&gt;"(Null)"),('NFET Data'!$AC91&lt;&gt;"(Null)")))</f>
        <v>0</v>
      </c>
      <c r="L91" s="20" t="b">
        <f>AND(((VGS_DR)&gt;=3),((VGS_DR)&lt;4.5),OR(('NFET Data'!$AE91&lt;&gt;"(Null)"),('NFET Data'!$AD91&lt;&gt;"(Null)"),('NFET Data'!$AC91&lt;&gt;"(Null)")))</f>
        <v>0</v>
      </c>
      <c r="M91" s="20" t="b">
        <f>AND(((VGS_DR)&gt;=4.5),((VGS_DR)&lt;6),OR(('NFET Data'!$AF91&lt;&gt;"(Null)"),('NFET Data'!$AE91&lt;&gt;"(Null)"),('NFET Data'!$AD91&lt;&gt;"(Null)"),('NFET Data'!$AC91&lt;&gt;"(Null)")))</f>
        <v>1</v>
      </c>
      <c r="N91" s="20" t="b">
        <f>AND(((VGS_DR)&gt;=6),((VGS_DR)&lt;8),OR(('NFET Data'!$AG91&lt;&gt;"(Null)"),('NFET Data'!$AF91&lt;&gt;"(Null)"),('NFET Data'!$AE91&lt;&gt;"(Null)"),('NFET Data'!$AD91&lt;&gt;"(Null)"),('NFET Data'!$AC91&lt;&gt;"(Null)")))</f>
        <v>0</v>
      </c>
      <c r="O91" s="20" t="b">
        <f>AND(((VGS_DR)&gt;=8),((VGS_DR)&lt;10),OR(('NFET Data'!$AH91&lt;&gt;"(Null)"),('NFET Data'!$AG91&lt;&gt;"(Null)"),('NFET Data'!$AF91&lt;&gt;"(Null)"),('NFET Data'!$AE91&lt;&gt;"(Null)"),('NFET Data'!$AD91&lt;&gt;"(Null)"),('NFET Data'!$AC91&lt;&gt;"(Null)")))</f>
        <v>0</v>
      </c>
      <c r="P91" s="20" t="b">
        <f>AND(((VGS_DR)&gt;=10),OR(('NFET Data'!$AI91&lt;&gt;"(Null)"),('NFET Data'!$AH91&lt;&gt;"(Null)"),('NFET Data'!$AG91&lt;&gt;"(Null)"),('NFET Data'!$AF91&lt;&gt;"(Null)"),('NFET Data'!$AE91&lt;&gt;"(Null)"),('NFET Data'!$AD91&lt;&gt;"(Null)"),('NFET Data'!$AC91&lt;&gt;"(Null)")))</f>
        <v>0</v>
      </c>
      <c r="Q91" s="20" t="b">
        <f t="shared" si="10"/>
        <v>1</v>
      </c>
      <c r="R91" s="20" t="b">
        <f t="shared" si="11"/>
        <v>0</v>
      </c>
    </row>
    <row r="92" spans="1:18" x14ac:dyDescent="0.25">
      <c r="A92" s="20" t="str">
        <f>IF(R92,Load_Switch_NFET[[#This Row],[PARTNUMBER]],"")</f>
        <v/>
      </c>
      <c r="B92"/>
      <c r="C92" s="20" t="b">
        <f>AND((Load_Switch_NFET[[#This Row],[VDSMAX]]&gt;=Vi*1.1),(Load_Switch_NFET[[#This Row],[VGSMAX]]&gt;=(VGS_DR)*1.1),(Load_Switch_NFET[[#This Row],[IDSMAX]]&gt;=Io),VGS_DR&gt;=1.8)</f>
        <v>1</v>
      </c>
      <c r="D92" s="20" t="b">
        <f>AND(Vi&lt;=27,Load_Switch_NFET[[#This Row],[VDSMAX]]&lt;=30)</f>
        <v>0</v>
      </c>
      <c r="E92" s="20" t="b">
        <f>AND(Vi&lt;=36,Vi&gt;=20,Load_Switch_NFET[[#This Row],[VDSMAX]]=40)</f>
        <v>0</v>
      </c>
      <c r="F92" s="20" t="b">
        <f>AND(Vi&lt;=54,Vi&gt;=25,Load_Switch_NFET[[#This Row],[VDSMAX]]=60)</f>
        <v>0</v>
      </c>
      <c r="G92" s="20" t="b">
        <f>AND(Vi&lt;=72,Vi&gt;=36,Load_Switch_NFET[[#This Row],[VDSMAX]]=80)</f>
        <v>0</v>
      </c>
      <c r="H92" s="20" t="b">
        <f>AND(Vi&lt;=90,Vi&gt;=48,Load_Switch_NFET[[#This Row],[VDSMAX]]=100)</f>
        <v>0</v>
      </c>
      <c r="I92" s="20" t="b">
        <f t="shared" si="9"/>
        <v>0</v>
      </c>
      <c r="J92" s="20" t="b">
        <f>AND(((VGS_DR)&lt;2.5),('NFET Data'!$AC92&lt;&gt;"(Null)"))</f>
        <v>0</v>
      </c>
      <c r="K92" s="20" t="b">
        <f>AND(((VGS_DR)&gt;=2.5),((VGS_DR)&lt;3),OR(('NFET Data'!$AD92&lt;&gt;"(Null)"),('NFET Data'!$AC92&lt;&gt;"(Null)")))</f>
        <v>0</v>
      </c>
      <c r="L92" s="20" t="b">
        <f>AND(((VGS_DR)&gt;=3),((VGS_DR)&lt;4.5),OR(('NFET Data'!$AE92&lt;&gt;"(Null)"),('NFET Data'!$AD92&lt;&gt;"(Null)"),('NFET Data'!$AC92&lt;&gt;"(Null)")))</f>
        <v>0</v>
      </c>
      <c r="M92" s="20" t="b">
        <f>AND(((VGS_DR)&gt;=4.5),((VGS_DR)&lt;6),OR(('NFET Data'!$AF92&lt;&gt;"(Null)"),('NFET Data'!$AE92&lt;&gt;"(Null)"),('NFET Data'!$AD92&lt;&gt;"(Null)"),('NFET Data'!$AC92&lt;&gt;"(Null)")))</f>
        <v>1</v>
      </c>
      <c r="N92" s="20" t="b">
        <f>AND(((VGS_DR)&gt;=6),((VGS_DR)&lt;8),OR(('NFET Data'!$AG92&lt;&gt;"(Null)"),('NFET Data'!$AF92&lt;&gt;"(Null)"),('NFET Data'!$AE92&lt;&gt;"(Null)"),('NFET Data'!$AD92&lt;&gt;"(Null)"),('NFET Data'!$AC92&lt;&gt;"(Null)")))</f>
        <v>0</v>
      </c>
      <c r="O92" s="20" t="b">
        <f>AND(((VGS_DR)&gt;=8),((VGS_DR)&lt;10),OR(('NFET Data'!$AH92&lt;&gt;"(Null)"),('NFET Data'!$AG92&lt;&gt;"(Null)"),('NFET Data'!$AF92&lt;&gt;"(Null)"),('NFET Data'!$AE92&lt;&gt;"(Null)"),('NFET Data'!$AD92&lt;&gt;"(Null)"),('NFET Data'!$AC92&lt;&gt;"(Null)")))</f>
        <v>0</v>
      </c>
      <c r="P92" s="20" t="b">
        <f>AND(((VGS_DR)&gt;=10),OR(('NFET Data'!$AI92&lt;&gt;"(Null)"),('NFET Data'!$AH92&lt;&gt;"(Null)"),('NFET Data'!$AG92&lt;&gt;"(Null)"),('NFET Data'!$AF92&lt;&gt;"(Null)"),('NFET Data'!$AE92&lt;&gt;"(Null)"),('NFET Data'!$AD92&lt;&gt;"(Null)"),('NFET Data'!$AC92&lt;&gt;"(Null)")))</f>
        <v>0</v>
      </c>
      <c r="Q92" s="20" t="b">
        <f t="shared" si="10"/>
        <v>1</v>
      </c>
      <c r="R92" s="20" t="b">
        <f t="shared" si="11"/>
        <v>0</v>
      </c>
    </row>
    <row r="93" spans="1:18" x14ac:dyDescent="0.25">
      <c r="A93" s="20" t="str">
        <f>IF(R93,Load_Switch_NFET[[#This Row],[PARTNUMBER]],"")</f>
        <v/>
      </c>
      <c r="B93"/>
      <c r="C93" s="20" t="b">
        <f>AND((Load_Switch_NFET[[#This Row],[VDSMAX]]&gt;=Vi*1.1),(Load_Switch_NFET[[#This Row],[VGSMAX]]&gt;=(VGS_DR)*1.1),(Load_Switch_NFET[[#This Row],[IDSMAX]]&gt;=Io),VGS_DR&gt;=1.8)</f>
        <v>1</v>
      </c>
      <c r="D93" s="20" t="b">
        <f>AND(Vi&lt;=27,Load_Switch_NFET[[#This Row],[VDSMAX]]&lt;=30)</f>
        <v>0</v>
      </c>
      <c r="E93" s="20" t="b">
        <f>AND(Vi&lt;=36,Vi&gt;=20,Load_Switch_NFET[[#This Row],[VDSMAX]]=40)</f>
        <v>0</v>
      </c>
      <c r="F93" s="20" t="b">
        <f>AND(Vi&lt;=54,Vi&gt;=25,Load_Switch_NFET[[#This Row],[VDSMAX]]=60)</f>
        <v>0</v>
      </c>
      <c r="G93" s="20" t="b">
        <f>AND(Vi&lt;=72,Vi&gt;=36,Load_Switch_NFET[[#This Row],[VDSMAX]]=80)</f>
        <v>0</v>
      </c>
      <c r="H93" s="20" t="b">
        <f>AND(Vi&lt;=90,Vi&gt;=48,Load_Switch_NFET[[#This Row],[VDSMAX]]=100)</f>
        <v>0</v>
      </c>
      <c r="I93" s="20" t="b">
        <f t="shared" si="9"/>
        <v>0</v>
      </c>
      <c r="J93" s="20" t="b">
        <f>AND(((VGS_DR)&lt;2.5),('NFET Data'!$AC93&lt;&gt;"(Null)"))</f>
        <v>0</v>
      </c>
      <c r="K93" s="20" t="b">
        <f>AND(((VGS_DR)&gt;=2.5),((VGS_DR)&lt;3),OR(('NFET Data'!$AD93&lt;&gt;"(Null)"),('NFET Data'!$AC93&lt;&gt;"(Null)")))</f>
        <v>0</v>
      </c>
      <c r="L93" s="20" t="b">
        <f>AND(((VGS_DR)&gt;=3),((VGS_DR)&lt;4.5),OR(('NFET Data'!$AE93&lt;&gt;"(Null)"),('NFET Data'!$AD93&lt;&gt;"(Null)"),('NFET Data'!$AC93&lt;&gt;"(Null)")))</f>
        <v>0</v>
      </c>
      <c r="M93" s="20" t="b">
        <f>AND(((VGS_DR)&gt;=4.5),((VGS_DR)&lt;6),OR(('NFET Data'!$AF93&lt;&gt;"(Null)"),('NFET Data'!$AE93&lt;&gt;"(Null)"),('NFET Data'!$AD93&lt;&gt;"(Null)"),('NFET Data'!$AC93&lt;&gt;"(Null)")))</f>
        <v>1</v>
      </c>
      <c r="N93" s="20" t="b">
        <f>AND(((VGS_DR)&gt;=6),((VGS_DR)&lt;8),OR(('NFET Data'!$AG93&lt;&gt;"(Null)"),('NFET Data'!$AF93&lt;&gt;"(Null)"),('NFET Data'!$AE93&lt;&gt;"(Null)"),('NFET Data'!$AD93&lt;&gt;"(Null)"),('NFET Data'!$AC93&lt;&gt;"(Null)")))</f>
        <v>0</v>
      </c>
      <c r="O93" s="20" t="b">
        <f>AND(((VGS_DR)&gt;=8),((VGS_DR)&lt;10),OR(('NFET Data'!$AH93&lt;&gt;"(Null)"),('NFET Data'!$AG93&lt;&gt;"(Null)"),('NFET Data'!$AF93&lt;&gt;"(Null)"),('NFET Data'!$AE93&lt;&gt;"(Null)"),('NFET Data'!$AD93&lt;&gt;"(Null)"),('NFET Data'!$AC93&lt;&gt;"(Null)")))</f>
        <v>0</v>
      </c>
      <c r="P93" s="20" t="b">
        <f>AND(((VGS_DR)&gt;=10),OR(('NFET Data'!$AI93&lt;&gt;"(Null)"),('NFET Data'!$AH93&lt;&gt;"(Null)"),('NFET Data'!$AG93&lt;&gt;"(Null)"),('NFET Data'!$AF93&lt;&gt;"(Null)"),('NFET Data'!$AE93&lt;&gt;"(Null)"),('NFET Data'!$AD93&lt;&gt;"(Null)"),('NFET Data'!$AC93&lt;&gt;"(Null)")))</f>
        <v>0</v>
      </c>
      <c r="Q93" s="20" t="b">
        <f t="shared" si="10"/>
        <v>1</v>
      </c>
      <c r="R93" s="20" t="b">
        <f t="shared" si="11"/>
        <v>0</v>
      </c>
    </row>
    <row r="94" spans="1:18" x14ac:dyDescent="0.25">
      <c r="A94" s="20" t="str">
        <f>IF(R94,Load_Switch_NFET[[#This Row],[PARTNUMBER]],"")</f>
        <v/>
      </c>
      <c r="B94"/>
      <c r="C94" s="20" t="b">
        <f>AND((Load_Switch_NFET[[#This Row],[VDSMAX]]&gt;=Vi*1.1),(Load_Switch_NFET[[#This Row],[VGSMAX]]&gt;=(VGS_DR)*1.1),(Load_Switch_NFET[[#This Row],[IDSMAX]]&gt;=Io),VGS_DR&gt;=1.8)</f>
        <v>1</v>
      </c>
      <c r="D94" s="20" t="b">
        <f>AND(Vi&lt;=27,Load_Switch_NFET[[#This Row],[VDSMAX]]&lt;=30)</f>
        <v>0</v>
      </c>
      <c r="E94" s="20" t="b">
        <f>AND(Vi&lt;=36,Vi&gt;=20,Load_Switch_NFET[[#This Row],[VDSMAX]]=40)</f>
        <v>0</v>
      </c>
      <c r="F94" s="20" t="b">
        <f>AND(Vi&lt;=54,Vi&gt;=25,Load_Switch_NFET[[#This Row],[VDSMAX]]=60)</f>
        <v>0</v>
      </c>
      <c r="G94" s="20" t="b">
        <f>AND(Vi&lt;=72,Vi&gt;=36,Load_Switch_NFET[[#This Row],[VDSMAX]]=80)</f>
        <v>0</v>
      </c>
      <c r="H94" s="20" t="b">
        <f>AND(Vi&lt;=90,Vi&gt;=48,Load_Switch_NFET[[#This Row],[VDSMAX]]=100)</f>
        <v>0</v>
      </c>
      <c r="I94" s="20" t="b">
        <f t="shared" si="9"/>
        <v>0</v>
      </c>
      <c r="J94" s="20" t="b">
        <f>AND(((VGS_DR)&lt;2.5),('NFET Data'!$AC94&lt;&gt;"(Null)"))</f>
        <v>0</v>
      </c>
      <c r="K94" s="20" t="b">
        <f>AND(((VGS_DR)&gt;=2.5),((VGS_DR)&lt;3),OR(('NFET Data'!$AD94&lt;&gt;"(Null)"),('NFET Data'!$AC94&lt;&gt;"(Null)")))</f>
        <v>0</v>
      </c>
      <c r="L94" s="20" t="b">
        <f>AND(((VGS_DR)&gt;=3),((VGS_DR)&lt;4.5),OR(('NFET Data'!$AE94&lt;&gt;"(Null)"),('NFET Data'!$AD94&lt;&gt;"(Null)"),('NFET Data'!$AC94&lt;&gt;"(Null)")))</f>
        <v>0</v>
      </c>
      <c r="M94" s="20" t="b">
        <f>AND(((VGS_DR)&gt;=4.5),((VGS_DR)&lt;6),OR(('NFET Data'!$AF94&lt;&gt;"(Null)"),('NFET Data'!$AE94&lt;&gt;"(Null)"),('NFET Data'!$AD94&lt;&gt;"(Null)"),('NFET Data'!$AC94&lt;&gt;"(Null)")))</f>
        <v>1</v>
      </c>
      <c r="N94" s="20" t="b">
        <f>AND(((VGS_DR)&gt;=6),((VGS_DR)&lt;8),OR(('NFET Data'!$AG94&lt;&gt;"(Null)"),('NFET Data'!$AF94&lt;&gt;"(Null)"),('NFET Data'!$AE94&lt;&gt;"(Null)"),('NFET Data'!$AD94&lt;&gt;"(Null)"),('NFET Data'!$AC94&lt;&gt;"(Null)")))</f>
        <v>0</v>
      </c>
      <c r="O94" s="20" t="b">
        <f>AND(((VGS_DR)&gt;=8),((VGS_DR)&lt;10),OR(('NFET Data'!$AH94&lt;&gt;"(Null)"),('NFET Data'!$AG94&lt;&gt;"(Null)"),('NFET Data'!$AF94&lt;&gt;"(Null)"),('NFET Data'!$AE94&lt;&gt;"(Null)"),('NFET Data'!$AD94&lt;&gt;"(Null)"),('NFET Data'!$AC94&lt;&gt;"(Null)")))</f>
        <v>0</v>
      </c>
      <c r="P94" s="20" t="b">
        <f>AND(((VGS_DR)&gt;=10),OR(('NFET Data'!$AI94&lt;&gt;"(Null)"),('NFET Data'!$AH94&lt;&gt;"(Null)"),('NFET Data'!$AG94&lt;&gt;"(Null)"),('NFET Data'!$AF94&lt;&gt;"(Null)"),('NFET Data'!$AE94&lt;&gt;"(Null)"),('NFET Data'!$AD94&lt;&gt;"(Null)"),('NFET Data'!$AC94&lt;&gt;"(Null)")))</f>
        <v>0</v>
      </c>
      <c r="Q94" s="20" t="b">
        <f t="shared" si="10"/>
        <v>1</v>
      </c>
      <c r="R94" s="20" t="b">
        <f t="shared" si="11"/>
        <v>0</v>
      </c>
    </row>
    <row r="95" spans="1:18" x14ac:dyDescent="0.25">
      <c r="A95" s="20" t="str">
        <f>IF(R95,Load_Switch_NFET[[#This Row],[PARTNUMBER]],"")</f>
        <v/>
      </c>
      <c r="B95"/>
      <c r="C95" s="20" t="b">
        <f>AND((Load_Switch_NFET[[#This Row],[VDSMAX]]&gt;=Vi*1.1),(Load_Switch_NFET[[#This Row],[VGSMAX]]&gt;=(VGS_DR)*1.1),(Load_Switch_NFET[[#This Row],[IDSMAX]]&gt;=Io),VGS_DR&gt;=1.8)</f>
        <v>1</v>
      </c>
      <c r="D95" s="20" t="b">
        <f>AND(Vi&lt;=27,Load_Switch_NFET[[#This Row],[VDSMAX]]&lt;=30)</f>
        <v>0</v>
      </c>
      <c r="E95" s="20" t="b">
        <f>AND(Vi&lt;=36,Vi&gt;=20,Load_Switch_NFET[[#This Row],[VDSMAX]]=40)</f>
        <v>0</v>
      </c>
      <c r="F95" s="20" t="b">
        <f>AND(Vi&lt;=54,Vi&gt;=25,Load_Switch_NFET[[#This Row],[VDSMAX]]=60)</f>
        <v>0</v>
      </c>
      <c r="G95" s="20" t="b">
        <f>AND(Vi&lt;=72,Vi&gt;=36,Load_Switch_NFET[[#This Row],[VDSMAX]]=80)</f>
        <v>0</v>
      </c>
      <c r="H95" s="20" t="b">
        <f>AND(Vi&lt;=90,Vi&gt;=48,Load_Switch_NFET[[#This Row],[VDSMAX]]=100)</f>
        <v>0</v>
      </c>
      <c r="I95" s="20" t="b">
        <f t="shared" si="9"/>
        <v>0</v>
      </c>
      <c r="J95" s="20" t="b">
        <f>AND(((VGS_DR)&lt;2.5),('NFET Data'!$AC95&lt;&gt;"(Null)"))</f>
        <v>0</v>
      </c>
      <c r="K95" s="20" t="b">
        <f>AND(((VGS_DR)&gt;=2.5),((VGS_DR)&lt;3),OR(('NFET Data'!$AD95&lt;&gt;"(Null)"),('NFET Data'!$AC95&lt;&gt;"(Null)")))</f>
        <v>0</v>
      </c>
      <c r="L95" s="20" t="b">
        <f>AND(((VGS_DR)&gt;=3),((VGS_DR)&lt;4.5),OR(('NFET Data'!$AE95&lt;&gt;"(Null)"),('NFET Data'!$AD95&lt;&gt;"(Null)"),('NFET Data'!$AC95&lt;&gt;"(Null)")))</f>
        <v>0</v>
      </c>
      <c r="M95" s="20" t="b">
        <f>AND(((VGS_DR)&gt;=4.5),((VGS_DR)&lt;6),OR(('NFET Data'!$AF95&lt;&gt;"(Null)"),('NFET Data'!$AE95&lt;&gt;"(Null)"),('NFET Data'!$AD95&lt;&gt;"(Null)"),('NFET Data'!$AC95&lt;&gt;"(Null)")))</f>
        <v>1</v>
      </c>
      <c r="N95" s="20" t="b">
        <f>AND(((VGS_DR)&gt;=6),((VGS_DR)&lt;8),OR(('NFET Data'!$AG95&lt;&gt;"(Null)"),('NFET Data'!$AF95&lt;&gt;"(Null)"),('NFET Data'!$AE95&lt;&gt;"(Null)"),('NFET Data'!$AD95&lt;&gt;"(Null)"),('NFET Data'!$AC95&lt;&gt;"(Null)")))</f>
        <v>0</v>
      </c>
      <c r="O95" s="20" t="b">
        <f>AND(((VGS_DR)&gt;=8),((VGS_DR)&lt;10),OR(('NFET Data'!$AH95&lt;&gt;"(Null)"),('NFET Data'!$AG95&lt;&gt;"(Null)"),('NFET Data'!$AF95&lt;&gt;"(Null)"),('NFET Data'!$AE95&lt;&gt;"(Null)"),('NFET Data'!$AD95&lt;&gt;"(Null)"),('NFET Data'!$AC95&lt;&gt;"(Null)")))</f>
        <v>0</v>
      </c>
      <c r="P95" s="20" t="b">
        <f>AND(((VGS_DR)&gt;=10),OR(('NFET Data'!$AI95&lt;&gt;"(Null)"),('NFET Data'!$AH95&lt;&gt;"(Null)"),('NFET Data'!$AG95&lt;&gt;"(Null)"),('NFET Data'!$AF95&lt;&gt;"(Null)"),('NFET Data'!$AE95&lt;&gt;"(Null)"),('NFET Data'!$AD95&lt;&gt;"(Null)"),('NFET Data'!$AC95&lt;&gt;"(Null)")))</f>
        <v>0</v>
      </c>
      <c r="Q95" s="20" t="b">
        <f t="shared" si="10"/>
        <v>1</v>
      </c>
      <c r="R95" s="20" t="b">
        <f t="shared" si="11"/>
        <v>0</v>
      </c>
    </row>
    <row r="96" spans="1:18" x14ac:dyDescent="0.25">
      <c r="A96" s="20" t="str">
        <f>IF(R96,Load_Switch_NFET[[#This Row],[PARTNUMBER]],"")</f>
        <v/>
      </c>
      <c r="B96"/>
      <c r="C96" s="20" t="b">
        <f>AND((Load_Switch_NFET[[#This Row],[VDSMAX]]&gt;=Vi*1.1),(Load_Switch_NFET[[#This Row],[VGSMAX]]&gt;=(VGS_DR)*1.1),(Load_Switch_NFET[[#This Row],[IDSMAX]]&gt;=Io),VGS_DR&gt;=1.8)</f>
        <v>1</v>
      </c>
      <c r="D96" s="20" t="b">
        <f>AND(Vi&lt;=27,Load_Switch_NFET[[#This Row],[VDSMAX]]&lt;=30)</f>
        <v>0</v>
      </c>
      <c r="E96" s="20" t="b">
        <f>AND(Vi&lt;=36,Vi&gt;=20,Load_Switch_NFET[[#This Row],[VDSMAX]]=40)</f>
        <v>0</v>
      </c>
      <c r="F96" s="20" t="b">
        <f>AND(Vi&lt;=54,Vi&gt;=25,Load_Switch_NFET[[#This Row],[VDSMAX]]=60)</f>
        <v>0</v>
      </c>
      <c r="G96" s="20" t="b">
        <f>AND(Vi&lt;=72,Vi&gt;=36,Load_Switch_NFET[[#This Row],[VDSMAX]]=80)</f>
        <v>0</v>
      </c>
      <c r="H96" s="20" t="b">
        <f>AND(Vi&lt;=90,Vi&gt;=48,Load_Switch_NFET[[#This Row],[VDSMAX]]=100)</f>
        <v>0</v>
      </c>
      <c r="I96" s="20" t="b">
        <f t="shared" si="9"/>
        <v>0</v>
      </c>
      <c r="J96" s="20" t="b">
        <f>AND(((VGS_DR)&lt;2.5),('NFET Data'!$AC96&lt;&gt;"(Null)"))</f>
        <v>0</v>
      </c>
      <c r="K96" s="20" t="b">
        <f>AND(((VGS_DR)&gt;=2.5),((VGS_DR)&lt;3),OR(('NFET Data'!$AD96&lt;&gt;"(Null)"),('NFET Data'!$AC96&lt;&gt;"(Null)")))</f>
        <v>0</v>
      </c>
      <c r="L96" s="20" t="b">
        <f>AND(((VGS_DR)&gt;=3),((VGS_DR)&lt;4.5),OR(('NFET Data'!$AE96&lt;&gt;"(Null)"),('NFET Data'!$AD96&lt;&gt;"(Null)"),('NFET Data'!$AC96&lt;&gt;"(Null)")))</f>
        <v>0</v>
      </c>
      <c r="M96" s="20" t="b">
        <f>AND(((VGS_DR)&gt;=4.5),((VGS_DR)&lt;6),OR(('NFET Data'!$AF96&lt;&gt;"(Null)"),('NFET Data'!$AE96&lt;&gt;"(Null)"),('NFET Data'!$AD96&lt;&gt;"(Null)"),('NFET Data'!$AC96&lt;&gt;"(Null)")))</f>
        <v>1</v>
      </c>
      <c r="N96" s="20" t="b">
        <f>AND(((VGS_DR)&gt;=6),((VGS_DR)&lt;8),OR(('NFET Data'!$AG96&lt;&gt;"(Null)"),('NFET Data'!$AF96&lt;&gt;"(Null)"),('NFET Data'!$AE96&lt;&gt;"(Null)"),('NFET Data'!$AD96&lt;&gt;"(Null)"),('NFET Data'!$AC96&lt;&gt;"(Null)")))</f>
        <v>0</v>
      </c>
      <c r="O96" s="20" t="b">
        <f>AND(((VGS_DR)&gt;=8),((VGS_DR)&lt;10),OR(('NFET Data'!$AH96&lt;&gt;"(Null)"),('NFET Data'!$AG96&lt;&gt;"(Null)"),('NFET Data'!$AF96&lt;&gt;"(Null)"),('NFET Data'!$AE96&lt;&gt;"(Null)"),('NFET Data'!$AD96&lt;&gt;"(Null)"),('NFET Data'!$AC96&lt;&gt;"(Null)")))</f>
        <v>0</v>
      </c>
      <c r="P96" s="20" t="b">
        <f>AND(((VGS_DR)&gt;=10),OR(('NFET Data'!$AI96&lt;&gt;"(Null)"),('NFET Data'!$AH96&lt;&gt;"(Null)"),('NFET Data'!$AG96&lt;&gt;"(Null)"),('NFET Data'!$AF96&lt;&gt;"(Null)"),('NFET Data'!$AE96&lt;&gt;"(Null)"),('NFET Data'!$AD96&lt;&gt;"(Null)"),('NFET Data'!$AC96&lt;&gt;"(Null)")))</f>
        <v>0</v>
      </c>
      <c r="Q96" s="20" t="b">
        <f t="shared" si="10"/>
        <v>1</v>
      </c>
      <c r="R96" s="20" t="b">
        <f t="shared" si="11"/>
        <v>0</v>
      </c>
    </row>
    <row r="97" spans="1:18" x14ac:dyDescent="0.25">
      <c r="A97" s="20" t="str">
        <f>IF(R97,Load_Switch_NFET[[#This Row],[PARTNUMBER]],"")</f>
        <v/>
      </c>
      <c r="B97"/>
      <c r="C97" s="20" t="b">
        <f>AND((Load_Switch_NFET[[#This Row],[VDSMAX]]&gt;=Vi*1.1),(Load_Switch_NFET[[#This Row],[VGSMAX]]&gt;=(VGS_DR)*1.1),(Load_Switch_NFET[[#This Row],[IDSMAX]]&gt;=Io),VGS_DR&gt;=1.8)</f>
        <v>1</v>
      </c>
      <c r="D97" s="20" t="b">
        <f>AND(Vi&lt;=27,Load_Switch_NFET[[#This Row],[VDSMAX]]&lt;=30)</f>
        <v>0</v>
      </c>
      <c r="E97" s="20" t="b">
        <f>AND(Vi&lt;=36,Vi&gt;=20,Load_Switch_NFET[[#This Row],[VDSMAX]]=40)</f>
        <v>0</v>
      </c>
      <c r="F97" s="20" t="b">
        <f>AND(Vi&lt;=54,Vi&gt;=25,Load_Switch_NFET[[#This Row],[VDSMAX]]=60)</f>
        <v>0</v>
      </c>
      <c r="G97" s="20" t="b">
        <f>AND(Vi&lt;=72,Vi&gt;=36,Load_Switch_NFET[[#This Row],[VDSMAX]]=80)</f>
        <v>0</v>
      </c>
      <c r="H97" s="20" t="b">
        <f>AND(Vi&lt;=90,Vi&gt;=48,Load_Switch_NFET[[#This Row],[VDSMAX]]=100)</f>
        <v>0</v>
      </c>
      <c r="I97" s="20" t="b">
        <f t="shared" si="9"/>
        <v>0</v>
      </c>
      <c r="J97" s="20" t="b">
        <f>AND(((VGS_DR)&lt;2.5),('NFET Data'!$AC97&lt;&gt;"(Null)"))</f>
        <v>0</v>
      </c>
      <c r="K97" s="20" t="b">
        <f>AND(((VGS_DR)&gt;=2.5),((VGS_DR)&lt;3),OR(('NFET Data'!$AD97&lt;&gt;"(Null)"),('NFET Data'!$AC97&lt;&gt;"(Null)")))</f>
        <v>0</v>
      </c>
      <c r="L97" s="20" t="b">
        <f>AND(((VGS_DR)&gt;=3),((VGS_DR)&lt;4.5),OR(('NFET Data'!$AE97&lt;&gt;"(Null)"),('NFET Data'!$AD97&lt;&gt;"(Null)"),('NFET Data'!$AC97&lt;&gt;"(Null)")))</f>
        <v>0</v>
      </c>
      <c r="M97" s="20" t="b">
        <f>AND(((VGS_DR)&gt;=4.5),((VGS_DR)&lt;6),OR(('NFET Data'!$AF97&lt;&gt;"(Null)"),('NFET Data'!$AE97&lt;&gt;"(Null)"),('NFET Data'!$AD97&lt;&gt;"(Null)"),('NFET Data'!$AC97&lt;&gt;"(Null)")))</f>
        <v>1</v>
      </c>
      <c r="N97" s="20" t="b">
        <f>AND(((VGS_DR)&gt;=6),((VGS_DR)&lt;8),OR(('NFET Data'!$AG97&lt;&gt;"(Null)"),('NFET Data'!$AF97&lt;&gt;"(Null)"),('NFET Data'!$AE97&lt;&gt;"(Null)"),('NFET Data'!$AD97&lt;&gt;"(Null)"),('NFET Data'!$AC97&lt;&gt;"(Null)")))</f>
        <v>0</v>
      </c>
      <c r="O97" s="20" t="b">
        <f>AND(((VGS_DR)&gt;=8),((VGS_DR)&lt;10),OR(('NFET Data'!$AH97&lt;&gt;"(Null)"),('NFET Data'!$AG97&lt;&gt;"(Null)"),('NFET Data'!$AF97&lt;&gt;"(Null)"),('NFET Data'!$AE97&lt;&gt;"(Null)"),('NFET Data'!$AD97&lt;&gt;"(Null)"),('NFET Data'!$AC97&lt;&gt;"(Null)")))</f>
        <v>0</v>
      </c>
      <c r="P97" s="20" t="b">
        <f>AND(((VGS_DR)&gt;=10),OR(('NFET Data'!$AI97&lt;&gt;"(Null)"),('NFET Data'!$AH97&lt;&gt;"(Null)"),('NFET Data'!$AG97&lt;&gt;"(Null)"),('NFET Data'!$AF97&lt;&gt;"(Null)"),('NFET Data'!$AE97&lt;&gt;"(Null)"),('NFET Data'!$AD97&lt;&gt;"(Null)"),('NFET Data'!$AC97&lt;&gt;"(Null)")))</f>
        <v>0</v>
      </c>
      <c r="Q97" s="20" t="b">
        <f t="shared" si="10"/>
        <v>1</v>
      </c>
      <c r="R97" s="20" t="b">
        <f t="shared" si="11"/>
        <v>0</v>
      </c>
    </row>
    <row r="98" spans="1:18" x14ac:dyDescent="0.25">
      <c r="A98" s="20" t="str">
        <f>IF(R98,Load_Switch_NFET[[#This Row],[PARTNUMBER]],"")</f>
        <v/>
      </c>
      <c r="B98"/>
      <c r="C98" s="20" t="b">
        <f>AND((Load_Switch_NFET[[#This Row],[VDSMAX]]&gt;=Vi*1.1),(Load_Switch_NFET[[#This Row],[VGSMAX]]&gt;=(VGS_DR)*1.1),(Load_Switch_NFET[[#This Row],[IDSMAX]]&gt;=Io),VGS_DR&gt;=1.8)</f>
        <v>1</v>
      </c>
      <c r="D98" s="20" t="b">
        <f>AND(Vi&lt;=27,Load_Switch_NFET[[#This Row],[VDSMAX]]&lt;=30)</f>
        <v>0</v>
      </c>
      <c r="E98" s="20" t="b">
        <f>AND(Vi&lt;=36,Vi&gt;=20,Load_Switch_NFET[[#This Row],[VDSMAX]]=40)</f>
        <v>0</v>
      </c>
      <c r="F98" s="20" t="b">
        <f>AND(Vi&lt;=54,Vi&gt;=25,Load_Switch_NFET[[#This Row],[VDSMAX]]=60)</f>
        <v>0</v>
      </c>
      <c r="G98" s="20" t="b">
        <f>AND(Vi&lt;=72,Vi&gt;=36,Load_Switch_NFET[[#This Row],[VDSMAX]]=80)</f>
        <v>0</v>
      </c>
      <c r="H98" s="20" t="b">
        <f>AND(Vi&lt;=90,Vi&gt;=48,Load_Switch_NFET[[#This Row],[VDSMAX]]=100)</f>
        <v>0</v>
      </c>
      <c r="I98" s="20" t="b">
        <f t="shared" si="9"/>
        <v>0</v>
      </c>
      <c r="J98" s="20" t="b">
        <f>AND(((VGS_DR)&lt;2.5),('NFET Data'!$AC98&lt;&gt;"(Null)"))</f>
        <v>0</v>
      </c>
      <c r="K98" s="20" t="b">
        <f>AND(((VGS_DR)&gt;=2.5),((VGS_DR)&lt;3),OR(('NFET Data'!$AD98&lt;&gt;"(Null)"),('NFET Data'!$AC98&lt;&gt;"(Null)")))</f>
        <v>0</v>
      </c>
      <c r="L98" s="20" t="b">
        <f>AND(((VGS_DR)&gt;=3),((VGS_DR)&lt;4.5),OR(('NFET Data'!$AE98&lt;&gt;"(Null)"),('NFET Data'!$AD98&lt;&gt;"(Null)"),('NFET Data'!$AC98&lt;&gt;"(Null)")))</f>
        <v>0</v>
      </c>
      <c r="M98" s="20" t="b">
        <f>AND(((VGS_DR)&gt;=4.5),((VGS_DR)&lt;6),OR(('NFET Data'!$AF98&lt;&gt;"(Null)"),('NFET Data'!$AE98&lt;&gt;"(Null)"),('NFET Data'!$AD98&lt;&gt;"(Null)"),('NFET Data'!$AC98&lt;&gt;"(Null)")))</f>
        <v>1</v>
      </c>
      <c r="N98" s="20" t="b">
        <f>AND(((VGS_DR)&gt;=6),((VGS_DR)&lt;8),OR(('NFET Data'!$AG98&lt;&gt;"(Null)"),('NFET Data'!$AF98&lt;&gt;"(Null)"),('NFET Data'!$AE98&lt;&gt;"(Null)"),('NFET Data'!$AD98&lt;&gt;"(Null)"),('NFET Data'!$AC98&lt;&gt;"(Null)")))</f>
        <v>0</v>
      </c>
      <c r="O98" s="20" t="b">
        <f>AND(((VGS_DR)&gt;=8),((VGS_DR)&lt;10),OR(('NFET Data'!$AH98&lt;&gt;"(Null)"),('NFET Data'!$AG98&lt;&gt;"(Null)"),('NFET Data'!$AF98&lt;&gt;"(Null)"),('NFET Data'!$AE98&lt;&gt;"(Null)"),('NFET Data'!$AD98&lt;&gt;"(Null)"),('NFET Data'!$AC98&lt;&gt;"(Null)")))</f>
        <v>0</v>
      </c>
      <c r="P98" s="20" t="b">
        <f>AND(((VGS_DR)&gt;=10),OR(('NFET Data'!$AI98&lt;&gt;"(Null)"),('NFET Data'!$AH98&lt;&gt;"(Null)"),('NFET Data'!$AG98&lt;&gt;"(Null)"),('NFET Data'!$AF98&lt;&gt;"(Null)"),('NFET Data'!$AE98&lt;&gt;"(Null)"),('NFET Data'!$AD98&lt;&gt;"(Null)"),('NFET Data'!$AC98&lt;&gt;"(Null)")))</f>
        <v>0</v>
      </c>
      <c r="Q98" s="20" t="b">
        <f t="shared" si="10"/>
        <v>1</v>
      </c>
      <c r="R98" s="20" t="b">
        <f t="shared" si="11"/>
        <v>0</v>
      </c>
    </row>
    <row r="99" spans="1:18" x14ac:dyDescent="0.25">
      <c r="A99" s="20" t="str">
        <f>IF(R99,Load_Switch_NFET[[#This Row],[PARTNUMBER]],"")</f>
        <v/>
      </c>
      <c r="B99"/>
      <c r="C99" s="20" t="b">
        <f>AND((Load_Switch_NFET[[#This Row],[VDSMAX]]&gt;=Vi*1.1),(Load_Switch_NFET[[#This Row],[VGSMAX]]&gt;=(VGS_DR)*1.1),(Load_Switch_NFET[[#This Row],[IDSMAX]]&gt;=Io),VGS_DR&gt;=1.8)</f>
        <v>1</v>
      </c>
      <c r="D99" s="20" t="b">
        <f>AND(Vi&lt;=27,Load_Switch_NFET[[#This Row],[VDSMAX]]&lt;=30)</f>
        <v>0</v>
      </c>
      <c r="E99" s="20" t="b">
        <f>AND(Vi&lt;=36,Vi&gt;=20,Load_Switch_NFET[[#This Row],[VDSMAX]]=40)</f>
        <v>0</v>
      </c>
      <c r="F99" s="20" t="b">
        <f>AND(Vi&lt;=54,Vi&gt;=25,Load_Switch_NFET[[#This Row],[VDSMAX]]=60)</f>
        <v>0</v>
      </c>
      <c r="G99" s="20" t="b">
        <f>AND(Vi&lt;=72,Vi&gt;=36,Load_Switch_NFET[[#This Row],[VDSMAX]]=80)</f>
        <v>0</v>
      </c>
      <c r="H99" s="20" t="b">
        <f>AND(Vi&lt;=90,Vi&gt;=48,Load_Switch_NFET[[#This Row],[VDSMAX]]=100)</f>
        <v>0</v>
      </c>
      <c r="I99" s="20" t="b">
        <f t="shared" si="9"/>
        <v>0</v>
      </c>
      <c r="J99" s="20" t="b">
        <f>AND(((VGS_DR)&lt;2.5),('NFET Data'!$AC99&lt;&gt;"(Null)"))</f>
        <v>0</v>
      </c>
      <c r="K99" s="20" t="b">
        <f>AND(((VGS_DR)&gt;=2.5),((VGS_DR)&lt;3),OR(('NFET Data'!$AD99&lt;&gt;"(Null)"),('NFET Data'!$AC99&lt;&gt;"(Null)")))</f>
        <v>0</v>
      </c>
      <c r="L99" s="20" t="b">
        <f>AND(((VGS_DR)&gt;=3),((VGS_DR)&lt;4.5),OR(('NFET Data'!$AE99&lt;&gt;"(Null)"),('NFET Data'!$AD99&lt;&gt;"(Null)"),('NFET Data'!$AC99&lt;&gt;"(Null)")))</f>
        <v>0</v>
      </c>
      <c r="M99" s="20" t="b">
        <f>AND(((VGS_DR)&gt;=4.5),((VGS_DR)&lt;6),OR(('NFET Data'!$AF99&lt;&gt;"(Null)"),('NFET Data'!$AE99&lt;&gt;"(Null)"),('NFET Data'!$AD99&lt;&gt;"(Null)"),('NFET Data'!$AC99&lt;&gt;"(Null)")))</f>
        <v>1</v>
      </c>
      <c r="N99" s="20" t="b">
        <f>AND(((VGS_DR)&gt;=6),((VGS_DR)&lt;8),OR(('NFET Data'!$AG99&lt;&gt;"(Null)"),('NFET Data'!$AF99&lt;&gt;"(Null)"),('NFET Data'!$AE99&lt;&gt;"(Null)"),('NFET Data'!$AD99&lt;&gt;"(Null)"),('NFET Data'!$AC99&lt;&gt;"(Null)")))</f>
        <v>0</v>
      </c>
      <c r="O99" s="20" t="b">
        <f>AND(((VGS_DR)&gt;=8),((VGS_DR)&lt;10),OR(('NFET Data'!$AH99&lt;&gt;"(Null)"),('NFET Data'!$AG99&lt;&gt;"(Null)"),('NFET Data'!$AF99&lt;&gt;"(Null)"),('NFET Data'!$AE99&lt;&gt;"(Null)"),('NFET Data'!$AD99&lt;&gt;"(Null)"),('NFET Data'!$AC99&lt;&gt;"(Null)")))</f>
        <v>0</v>
      </c>
      <c r="P99" s="20" t="b">
        <f>AND(((VGS_DR)&gt;=10),OR(('NFET Data'!$AI99&lt;&gt;"(Null)"),('NFET Data'!$AH99&lt;&gt;"(Null)"),('NFET Data'!$AG99&lt;&gt;"(Null)"),('NFET Data'!$AF99&lt;&gt;"(Null)"),('NFET Data'!$AE99&lt;&gt;"(Null)"),('NFET Data'!$AD99&lt;&gt;"(Null)"),('NFET Data'!$AC99&lt;&gt;"(Null)")))</f>
        <v>0</v>
      </c>
      <c r="Q99" s="20" t="b">
        <f t="shared" si="10"/>
        <v>1</v>
      </c>
      <c r="R99" s="20" t="b">
        <f t="shared" si="11"/>
        <v>0</v>
      </c>
    </row>
    <row r="100" spans="1:18" x14ac:dyDescent="0.25">
      <c r="A100" s="20" t="str">
        <f>IF(R100,Load_Switch_NFET[[#This Row],[PARTNUMBER]],"")</f>
        <v/>
      </c>
      <c r="B100"/>
      <c r="C100" s="20" t="b">
        <f>AND((Load_Switch_NFET[[#This Row],[VDSMAX]]&gt;=Vi*1.1),(Load_Switch_NFET[[#This Row],[VGSMAX]]&gt;=(VGS_DR)*1.1),(Load_Switch_NFET[[#This Row],[IDSMAX]]&gt;=Io),VGS_DR&gt;=1.8)</f>
        <v>1</v>
      </c>
      <c r="D100" s="20" t="b">
        <f>AND(Vi&lt;=27,Load_Switch_NFET[[#This Row],[VDSMAX]]&lt;=30)</f>
        <v>0</v>
      </c>
      <c r="E100" s="20" t="b">
        <f>AND(Vi&lt;=36,Vi&gt;=20,Load_Switch_NFET[[#This Row],[VDSMAX]]=40)</f>
        <v>0</v>
      </c>
      <c r="F100" s="20" t="b">
        <f>AND(Vi&lt;=54,Vi&gt;=25,Load_Switch_NFET[[#This Row],[VDSMAX]]=60)</f>
        <v>0</v>
      </c>
      <c r="G100" s="20" t="b">
        <f>AND(Vi&lt;=72,Vi&gt;=36,Load_Switch_NFET[[#This Row],[VDSMAX]]=80)</f>
        <v>0</v>
      </c>
      <c r="H100" s="20" t="b">
        <f>AND(Vi&lt;=90,Vi&gt;=48,Load_Switch_NFET[[#This Row],[VDSMAX]]=100)</f>
        <v>0</v>
      </c>
      <c r="I100" s="20" t="b">
        <f t="shared" si="9"/>
        <v>0</v>
      </c>
      <c r="J100" s="20" t="b">
        <f>AND(((VGS_DR)&lt;2.5),('NFET Data'!$AC100&lt;&gt;"(Null)"))</f>
        <v>0</v>
      </c>
      <c r="K100" s="20" t="b">
        <f>AND(((VGS_DR)&gt;=2.5),((VGS_DR)&lt;3),OR(('NFET Data'!$AD100&lt;&gt;"(Null)"),('NFET Data'!$AC100&lt;&gt;"(Null)")))</f>
        <v>0</v>
      </c>
      <c r="L100" s="20" t="b">
        <f>AND(((VGS_DR)&gt;=3),((VGS_DR)&lt;4.5),OR(('NFET Data'!$AE100&lt;&gt;"(Null)"),('NFET Data'!$AD100&lt;&gt;"(Null)"),('NFET Data'!$AC100&lt;&gt;"(Null)")))</f>
        <v>0</v>
      </c>
      <c r="M100" s="20" t="b">
        <f>AND(((VGS_DR)&gt;=4.5),((VGS_DR)&lt;6),OR(('NFET Data'!$AF100&lt;&gt;"(Null)"),('NFET Data'!$AE100&lt;&gt;"(Null)"),('NFET Data'!$AD100&lt;&gt;"(Null)"),('NFET Data'!$AC100&lt;&gt;"(Null)")))</f>
        <v>1</v>
      </c>
      <c r="N100" s="20" t="b">
        <f>AND(((VGS_DR)&gt;=6),((VGS_DR)&lt;8),OR(('NFET Data'!$AG100&lt;&gt;"(Null)"),('NFET Data'!$AF100&lt;&gt;"(Null)"),('NFET Data'!$AE100&lt;&gt;"(Null)"),('NFET Data'!$AD100&lt;&gt;"(Null)"),('NFET Data'!$AC100&lt;&gt;"(Null)")))</f>
        <v>0</v>
      </c>
      <c r="O100" s="20" t="b">
        <f>AND(((VGS_DR)&gt;=8),((VGS_DR)&lt;10),OR(('NFET Data'!$AH100&lt;&gt;"(Null)"),('NFET Data'!$AG100&lt;&gt;"(Null)"),('NFET Data'!$AF100&lt;&gt;"(Null)"),('NFET Data'!$AE100&lt;&gt;"(Null)"),('NFET Data'!$AD100&lt;&gt;"(Null)"),('NFET Data'!$AC100&lt;&gt;"(Null)")))</f>
        <v>0</v>
      </c>
      <c r="P100" s="20" t="b">
        <f>AND(((VGS_DR)&gt;=10),OR(('NFET Data'!$AI100&lt;&gt;"(Null)"),('NFET Data'!$AH100&lt;&gt;"(Null)"),('NFET Data'!$AG100&lt;&gt;"(Null)"),('NFET Data'!$AF100&lt;&gt;"(Null)"),('NFET Data'!$AE100&lt;&gt;"(Null)"),('NFET Data'!$AD100&lt;&gt;"(Null)"),('NFET Data'!$AC100&lt;&gt;"(Null)")))</f>
        <v>0</v>
      </c>
      <c r="Q100" s="20" t="b">
        <f t="shared" si="10"/>
        <v>1</v>
      </c>
      <c r="R100" s="20" t="b">
        <f t="shared" si="11"/>
        <v>0</v>
      </c>
    </row>
    <row r="101" spans="1:18" x14ac:dyDescent="0.25">
      <c r="A101" s="20" t="str">
        <f>IF(R101,Load_Switch_NFET[[#This Row],[PARTNUMBER]],"")</f>
        <v/>
      </c>
      <c r="B101"/>
      <c r="C101" s="20" t="b">
        <f>AND((Load_Switch_NFET[[#This Row],[VDSMAX]]&gt;=Vi*1.1),(Load_Switch_NFET[[#This Row],[VGSMAX]]&gt;=(VGS_DR)*1.1),(Load_Switch_NFET[[#This Row],[IDSMAX]]&gt;=Io),VGS_DR&gt;=1.8)</f>
        <v>1</v>
      </c>
      <c r="D101" s="20" t="b">
        <f>AND(Vi&lt;=27,Load_Switch_NFET[[#This Row],[VDSMAX]]&lt;=30)</f>
        <v>0</v>
      </c>
      <c r="E101" s="20" t="b">
        <f>AND(Vi&lt;=36,Vi&gt;=20,Load_Switch_NFET[[#This Row],[VDSMAX]]=40)</f>
        <v>0</v>
      </c>
      <c r="F101" s="20" t="b">
        <f>AND(Vi&lt;=54,Vi&gt;=25,Load_Switch_NFET[[#This Row],[VDSMAX]]=60)</f>
        <v>0</v>
      </c>
      <c r="G101" s="20" t="b">
        <f>AND(Vi&lt;=72,Vi&gt;=36,Load_Switch_NFET[[#This Row],[VDSMAX]]=80)</f>
        <v>0</v>
      </c>
      <c r="H101" s="20" t="b">
        <f>AND(Vi&lt;=90,Vi&gt;=48,Load_Switch_NFET[[#This Row],[VDSMAX]]=100)</f>
        <v>0</v>
      </c>
      <c r="I101" s="20" t="b">
        <f t="shared" si="9"/>
        <v>0</v>
      </c>
      <c r="J101" s="20" t="b">
        <f>AND(((VGS_DR)&lt;2.5),('NFET Data'!$AC101&lt;&gt;"(Null)"))</f>
        <v>0</v>
      </c>
      <c r="K101" s="20" t="b">
        <f>AND(((VGS_DR)&gt;=2.5),((VGS_DR)&lt;3),OR(('NFET Data'!$AD101&lt;&gt;"(Null)"),('NFET Data'!$AC101&lt;&gt;"(Null)")))</f>
        <v>0</v>
      </c>
      <c r="L101" s="20" t="b">
        <f>AND(((VGS_DR)&gt;=3),((VGS_DR)&lt;4.5),OR(('NFET Data'!$AE101&lt;&gt;"(Null)"),('NFET Data'!$AD101&lt;&gt;"(Null)"),('NFET Data'!$AC101&lt;&gt;"(Null)")))</f>
        <v>0</v>
      </c>
      <c r="M101" s="20" t="b">
        <f>AND(((VGS_DR)&gt;=4.5),((VGS_DR)&lt;6),OR(('NFET Data'!$AF101&lt;&gt;"(Null)"),('NFET Data'!$AE101&lt;&gt;"(Null)"),('NFET Data'!$AD101&lt;&gt;"(Null)"),('NFET Data'!$AC101&lt;&gt;"(Null)")))</f>
        <v>1</v>
      </c>
      <c r="N101" s="20" t="b">
        <f>AND(((VGS_DR)&gt;=6),((VGS_DR)&lt;8),OR(('NFET Data'!$AG101&lt;&gt;"(Null)"),('NFET Data'!$AF101&lt;&gt;"(Null)"),('NFET Data'!$AE101&lt;&gt;"(Null)"),('NFET Data'!$AD101&lt;&gt;"(Null)"),('NFET Data'!$AC101&lt;&gt;"(Null)")))</f>
        <v>0</v>
      </c>
      <c r="O101" s="20" t="b">
        <f>AND(((VGS_DR)&gt;=8),((VGS_DR)&lt;10),OR(('NFET Data'!$AH101&lt;&gt;"(Null)"),('NFET Data'!$AG101&lt;&gt;"(Null)"),('NFET Data'!$AF101&lt;&gt;"(Null)"),('NFET Data'!$AE101&lt;&gt;"(Null)"),('NFET Data'!$AD101&lt;&gt;"(Null)"),('NFET Data'!$AC101&lt;&gt;"(Null)")))</f>
        <v>0</v>
      </c>
      <c r="P101" s="20" t="b">
        <f>AND(((VGS_DR)&gt;=10),OR(('NFET Data'!$AI101&lt;&gt;"(Null)"),('NFET Data'!$AH101&lt;&gt;"(Null)"),('NFET Data'!$AG101&lt;&gt;"(Null)"),('NFET Data'!$AF101&lt;&gt;"(Null)"),('NFET Data'!$AE101&lt;&gt;"(Null)"),('NFET Data'!$AD101&lt;&gt;"(Null)"),('NFET Data'!$AC101&lt;&gt;"(Null)")))</f>
        <v>0</v>
      </c>
      <c r="Q101" s="20" t="b">
        <f t="shared" si="10"/>
        <v>1</v>
      </c>
      <c r="R101" s="20" t="b">
        <f t="shared" si="11"/>
        <v>0</v>
      </c>
    </row>
    <row r="102" spans="1:18" x14ac:dyDescent="0.25">
      <c r="A102" s="20" t="str">
        <f>IF(R102,Load_Switch_NFET[[#This Row],[PARTNUMBER]],"")</f>
        <v/>
      </c>
      <c r="B102"/>
      <c r="C102" s="20" t="b">
        <f>AND((Load_Switch_NFET[[#This Row],[VDSMAX]]&gt;=Vi*1.1),(Load_Switch_NFET[[#This Row],[VGSMAX]]&gt;=(VGS_DR)*1.1),(Load_Switch_NFET[[#This Row],[IDSMAX]]&gt;=Io),VGS_DR&gt;=1.8)</f>
        <v>1</v>
      </c>
      <c r="D102" s="20" t="b">
        <f>AND(Vi&lt;=27,Load_Switch_NFET[[#This Row],[VDSMAX]]&lt;=30)</f>
        <v>0</v>
      </c>
      <c r="E102" s="20" t="b">
        <f>AND(Vi&lt;=36,Vi&gt;=20,Load_Switch_NFET[[#This Row],[VDSMAX]]=40)</f>
        <v>0</v>
      </c>
      <c r="F102" s="20" t="b">
        <f>AND(Vi&lt;=54,Vi&gt;=25,Load_Switch_NFET[[#This Row],[VDSMAX]]=60)</f>
        <v>0</v>
      </c>
      <c r="G102" s="20" t="b">
        <f>AND(Vi&lt;=72,Vi&gt;=36,Load_Switch_NFET[[#This Row],[VDSMAX]]=80)</f>
        <v>0</v>
      </c>
      <c r="H102" s="20" t="b">
        <f>AND(Vi&lt;=90,Vi&gt;=48,Load_Switch_NFET[[#This Row],[VDSMAX]]=100)</f>
        <v>0</v>
      </c>
      <c r="I102" s="20" t="b">
        <f t="shared" si="9"/>
        <v>0</v>
      </c>
      <c r="J102" s="20" t="b">
        <f>AND(((VGS_DR)&lt;2.5),('NFET Data'!$AC102&lt;&gt;"(Null)"))</f>
        <v>0</v>
      </c>
      <c r="K102" s="20" t="b">
        <f>AND(((VGS_DR)&gt;=2.5),((VGS_DR)&lt;3),OR(('NFET Data'!$AD102&lt;&gt;"(Null)"),('NFET Data'!$AC102&lt;&gt;"(Null)")))</f>
        <v>0</v>
      </c>
      <c r="L102" s="20" t="b">
        <f>AND(((VGS_DR)&gt;=3),((VGS_DR)&lt;4.5),OR(('NFET Data'!$AE102&lt;&gt;"(Null)"),('NFET Data'!$AD102&lt;&gt;"(Null)"),('NFET Data'!$AC102&lt;&gt;"(Null)")))</f>
        <v>0</v>
      </c>
      <c r="M102" s="20" t="b">
        <f>AND(((VGS_DR)&gt;=4.5),((VGS_DR)&lt;6),OR(('NFET Data'!$AF102&lt;&gt;"(Null)"),('NFET Data'!$AE102&lt;&gt;"(Null)"),('NFET Data'!$AD102&lt;&gt;"(Null)"),('NFET Data'!$AC102&lt;&gt;"(Null)")))</f>
        <v>1</v>
      </c>
      <c r="N102" s="20" t="b">
        <f>AND(((VGS_DR)&gt;=6),((VGS_DR)&lt;8),OR(('NFET Data'!$AG102&lt;&gt;"(Null)"),('NFET Data'!$AF102&lt;&gt;"(Null)"),('NFET Data'!$AE102&lt;&gt;"(Null)"),('NFET Data'!$AD102&lt;&gt;"(Null)"),('NFET Data'!$AC102&lt;&gt;"(Null)")))</f>
        <v>0</v>
      </c>
      <c r="O102" s="20" t="b">
        <f>AND(((VGS_DR)&gt;=8),((VGS_DR)&lt;10),OR(('NFET Data'!$AH102&lt;&gt;"(Null)"),('NFET Data'!$AG102&lt;&gt;"(Null)"),('NFET Data'!$AF102&lt;&gt;"(Null)"),('NFET Data'!$AE102&lt;&gt;"(Null)"),('NFET Data'!$AD102&lt;&gt;"(Null)"),('NFET Data'!$AC102&lt;&gt;"(Null)")))</f>
        <v>0</v>
      </c>
      <c r="P102" s="20" t="b">
        <f>AND(((VGS_DR)&gt;=10),OR(('NFET Data'!$AI102&lt;&gt;"(Null)"),('NFET Data'!$AH102&lt;&gt;"(Null)"),('NFET Data'!$AG102&lt;&gt;"(Null)"),('NFET Data'!$AF102&lt;&gt;"(Null)"),('NFET Data'!$AE102&lt;&gt;"(Null)"),('NFET Data'!$AD102&lt;&gt;"(Null)"),('NFET Data'!$AC102&lt;&gt;"(Null)")))</f>
        <v>0</v>
      </c>
      <c r="Q102" s="20" t="b">
        <f t="shared" si="10"/>
        <v>1</v>
      </c>
      <c r="R102" s="20" t="b">
        <f t="shared" si="11"/>
        <v>0</v>
      </c>
    </row>
    <row r="103" spans="1:18" x14ac:dyDescent="0.25">
      <c r="A103" s="20" t="str">
        <f>IF(R103,Load_Switch_NFET[[#This Row],[PARTNUMBER]],"")</f>
        <v/>
      </c>
      <c r="B103"/>
      <c r="C103" s="20" t="b">
        <f>AND((Load_Switch_NFET[[#This Row],[VDSMAX]]&gt;=Vi*1.1),(Load_Switch_NFET[[#This Row],[VGSMAX]]&gt;=(VGS_DR)*1.1),(Load_Switch_NFET[[#This Row],[IDSMAX]]&gt;=Io),VGS_DR&gt;=1.8)</f>
        <v>1</v>
      </c>
      <c r="D103" s="20" t="b">
        <f>AND(Vi&lt;=27,Load_Switch_NFET[[#This Row],[VDSMAX]]&lt;=30)</f>
        <v>0</v>
      </c>
      <c r="E103" s="20" t="b">
        <f>AND(Vi&lt;=36,Vi&gt;=20,Load_Switch_NFET[[#This Row],[VDSMAX]]=40)</f>
        <v>0</v>
      </c>
      <c r="F103" s="20" t="b">
        <f>AND(Vi&lt;=54,Vi&gt;=25,Load_Switch_NFET[[#This Row],[VDSMAX]]=60)</f>
        <v>0</v>
      </c>
      <c r="G103" s="20" t="b">
        <f>AND(Vi&lt;=72,Vi&gt;=36,Load_Switch_NFET[[#This Row],[VDSMAX]]=80)</f>
        <v>0</v>
      </c>
      <c r="H103" s="20" t="b">
        <f>AND(Vi&lt;=90,Vi&gt;=48,Load_Switch_NFET[[#This Row],[VDSMAX]]=100)</f>
        <v>0</v>
      </c>
      <c r="I103" s="20" t="b">
        <f t="shared" si="9"/>
        <v>0</v>
      </c>
      <c r="J103" s="20" t="b">
        <f>AND(((VGS_DR)&lt;2.5),('NFET Data'!$AC103&lt;&gt;"(Null)"))</f>
        <v>0</v>
      </c>
      <c r="K103" s="20" t="b">
        <f>AND(((VGS_DR)&gt;=2.5),((VGS_DR)&lt;3),OR(('NFET Data'!$AD103&lt;&gt;"(Null)"),('NFET Data'!$AC103&lt;&gt;"(Null)")))</f>
        <v>0</v>
      </c>
      <c r="L103" s="20" t="b">
        <f>AND(((VGS_DR)&gt;=3),((VGS_DR)&lt;4.5),OR(('NFET Data'!$AE103&lt;&gt;"(Null)"),('NFET Data'!$AD103&lt;&gt;"(Null)"),('NFET Data'!$AC103&lt;&gt;"(Null)")))</f>
        <v>0</v>
      </c>
      <c r="M103" s="20" t="b">
        <f>AND(((VGS_DR)&gt;=4.5),((VGS_DR)&lt;6),OR(('NFET Data'!$AF103&lt;&gt;"(Null)"),('NFET Data'!$AE103&lt;&gt;"(Null)"),('NFET Data'!$AD103&lt;&gt;"(Null)"),('NFET Data'!$AC103&lt;&gt;"(Null)")))</f>
        <v>1</v>
      </c>
      <c r="N103" s="20" t="b">
        <f>AND(((VGS_DR)&gt;=6),((VGS_DR)&lt;8),OR(('NFET Data'!$AG103&lt;&gt;"(Null)"),('NFET Data'!$AF103&lt;&gt;"(Null)"),('NFET Data'!$AE103&lt;&gt;"(Null)"),('NFET Data'!$AD103&lt;&gt;"(Null)"),('NFET Data'!$AC103&lt;&gt;"(Null)")))</f>
        <v>0</v>
      </c>
      <c r="O103" s="20" t="b">
        <f>AND(((VGS_DR)&gt;=8),((VGS_DR)&lt;10),OR(('NFET Data'!$AH103&lt;&gt;"(Null)"),('NFET Data'!$AG103&lt;&gt;"(Null)"),('NFET Data'!$AF103&lt;&gt;"(Null)"),('NFET Data'!$AE103&lt;&gt;"(Null)"),('NFET Data'!$AD103&lt;&gt;"(Null)"),('NFET Data'!$AC103&lt;&gt;"(Null)")))</f>
        <v>0</v>
      </c>
      <c r="P103" s="20" t="b">
        <f>AND(((VGS_DR)&gt;=10),OR(('NFET Data'!$AI103&lt;&gt;"(Null)"),('NFET Data'!$AH103&lt;&gt;"(Null)"),('NFET Data'!$AG103&lt;&gt;"(Null)"),('NFET Data'!$AF103&lt;&gt;"(Null)"),('NFET Data'!$AE103&lt;&gt;"(Null)"),('NFET Data'!$AD103&lt;&gt;"(Null)"),('NFET Data'!$AC103&lt;&gt;"(Null)")))</f>
        <v>0</v>
      </c>
      <c r="Q103" s="20" t="b">
        <f t="shared" si="10"/>
        <v>1</v>
      </c>
      <c r="R103" s="20" t="b">
        <f t="shared" si="11"/>
        <v>0</v>
      </c>
    </row>
    <row r="104" spans="1:18" x14ac:dyDescent="0.25">
      <c r="A104" s="20" t="str">
        <f>IF(R104,Load_Switch_NFET[[#This Row],[PARTNUMBER]],"")</f>
        <v/>
      </c>
      <c r="B104"/>
      <c r="C104" s="20" t="b">
        <f>AND((Load_Switch_NFET[[#This Row],[VDSMAX]]&gt;=Vi*1.1),(Load_Switch_NFET[[#This Row],[VGSMAX]]&gt;=(VGS_DR)*1.1),(Load_Switch_NFET[[#This Row],[IDSMAX]]&gt;=Io),VGS_DR&gt;=1.8)</f>
        <v>1</v>
      </c>
      <c r="D104" s="20" t="b">
        <f>AND(Vi&lt;=27,Load_Switch_NFET[[#This Row],[VDSMAX]]&lt;=30)</f>
        <v>0</v>
      </c>
      <c r="E104" s="20" t="b">
        <f>AND(Vi&lt;=36,Vi&gt;=20,Load_Switch_NFET[[#This Row],[VDSMAX]]=40)</f>
        <v>0</v>
      </c>
      <c r="F104" s="20" t="b">
        <f>AND(Vi&lt;=54,Vi&gt;=25,Load_Switch_NFET[[#This Row],[VDSMAX]]=60)</f>
        <v>0</v>
      </c>
      <c r="G104" s="20" t="b">
        <f>AND(Vi&lt;=72,Vi&gt;=36,Load_Switch_NFET[[#This Row],[VDSMAX]]=80)</f>
        <v>0</v>
      </c>
      <c r="H104" s="20" t="b">
        <f>AND(Vi&lt;=90,Vi&gt;=48,Load_Switch_NFET[[#This Row],[VDSMAX]]=100)</f>
        <v>0</v>
      </c>
      <c r="I104" s="20" t="b">
        <f t="shared" si="9"/>
        <v>0</v>
      </c>
      <c r="J104" s="20" t="b">
        <f>AND(((VGS_DR)&lt;2.5),('NFET Data'!$AC104&lt;&gt;"(Null)"))</f>
        <v>0</v>
      </c>
      <c r="K104" s="20" t="b">
        <f>AND(((VGS_DR)&gt;=2.5),((VGS_DR)&lt;3),OR(('NFET Data'!$AD104&lt;&gt;"(Null)"),('NFET Data'!$AC104&lt;&gt;"(Null)")))</f>
        <v>0</v>
      </c>
      <c r="L104" s="20" t="b">
        <f>AND(((VGS_DR)&gt;=3),((VGS_DR)&lt;4.5),OR(('NFET Data'!$AE104&lt;&gt;"(Null)"),('NFET Data'!$AD104&lt;&gt;"(Null)"),('NFET Data'!$AC104&lt;&gt;"(Null)")))</f>
        <v>0</v>
      </c>
      <c r="M104" s="20" t="b">
        <f>AND(((VGS_DR)&gt;=4.5),((VGS_DR)&lt;6),OR(('NFET Data'!$AF104&lt;&gt;"(Null)"),('NFET Data'!$AE104&lt;&gt;"(Null)"),('NFET Data'!$AD104&lt;&gt;"(Null)"),('NFET Data'!$AC104&lt;&gt;"(Null)")))</f>
        <v>0</v>
      </c>
      <c r="N104" s="20" t="b">
        <f>AND(((VGS_DR)&gt;=6),((VGS_DR)&lt;8),OR(('NFET Data'!$AG104&lt;&gt;"(Null)"),('NFET Data'!$AF104&lt;&gt;"(Null)"),('NFET Data'!$AE104&lt;&gt;"(Null)"),('NFET Data'!$AD104&lt;&gt;"(Null)"),('NFET Data'!$AC104&lt;&gt;"(Null)")))</f>
        <v>0</v>
      </c>
      <c r="O104" s="20" t="b">
        <f>AND(((VGS_DR)&gt;=8),((VGS_DR)&lt;10),OR(('NFET Data'!$AH104&lt;&gt;"(Null)"),('NFET Data'!$AG104&lt;&gt;"(Null)"),('NFET Data'!$AF104&lt;&gt;"(Null)"),('NFET Data'!$AE104&lt;&gt;"(Null)"),('NFET Data'!$AD104&lt;&gt;"(Null)"),('NFET Data'!$AC104&lt;&gt;"(Null)")))</f>
        <v>0</v>
      </c>
      <c r="P104" s="20" t="b">
        <f>AND(((VGS_DR)&gt;=10),OR(('NFET Data'!$AI104&lt;&gt;"(Null)"),('NFET Data'!$AH104&lt;&gt;"(Null)"),('NFET Data'!$AG104&lt;&gt;"(Null)"),('NFET Data'!$AF104&lt;&gt;"(Null)"),('NFET Data'!$AE104&lt;&gt;"(Null)"),('NFET Data'!$AD104&lt;&gt;"(Null)"),('NFET Data'!$AC104&lt;&gt;"(Null)")))</f>
        <v>0</v>
      </c>
      <c r="Q104" s="20" t="b">
        <f t="shared" si="10"/>
        <v>0</v>
      </c>
      <c r="R104" s="20" t="b">
        <f t="shared" si="11"/>
        <v>0</v>
      </c>
    </row>
    <row r="105" spans="1:18" x14ac:dyDescent="0.25">
      <c r="A105" s="20" t="str">
        <f>IF(R105,Load_Switch_NFET[[#This Row],[PARTNUMBER]],"")</f>
        <v/>
      </c>
      <c r="B105"/>
      <c r="C105" s="20" t="b">
        <f>AND((Load_Switch_NFET[[#This Row],[VDSMAX]]&gt;=Vi*1.1),(Load_Switch_NFET[[#This Row],[VGSMAX]]&gt;=(VGS_DR)*1.1),(Load_Switch_NFET[[#This Row],[IDSMAX]]&gt;=Io),VGS_DR&gt;=1.8)</f>
        <v>1</v>
      </c>
      <c r="D105" s="20" t="b">
        <f>AND(Vi&lt;=27,Load_Switch_NFET[[#This Row],[VDSMAX]]&lt;=30)</f>
        <v>0</v>
      </c>
      <c r="E105" s="20" t="b">
        <f>AND(Vi&lt;=36,Vi&gt;=20,Load_Switch_NFET[[#This Row],[VDSMAX]]=40)</f>
        <v>0</v>
      </c>
      <c r="F105" s="20" t="b">
        <f>AND(Vi&lt;=54,Vi&gt;=25,Load_Switch_NFET[[#This Row],[VDSMAX]]=60)</f>
        <v>0</v>
      </c>
      <c r="G105" s="20" t="b">
        <f>AND(Vi&lt;=72,Vi&gt;=36,Load_Switch_NFET[[#This Row],[VDSMAX]]=80)</f>
        <v>0</v>
      </c>
      <c r="H105" s="20" t="b">
        <f>AND(Vi&lt;=90,Vi&gt;=48,Load_Switch_NFET[[#This Row],[VDSMAX]]=100)</f>
        <v>0</v>
      </c>
      <c r="I105" s="20" t="b">
        <f t="shared" si="9"/>
        <v>0</v>
      </c>
      <c r="J105" s="20" t="b">
        <f>AND(((VGS_DR)&lt;2.5),('NFET Data'!$AC105&lt;&gt;"(Null)"))</f>
        <v>0</v>
      </c>
      <c r="K105" s="20" t="b">
        <f>AND(((VGS_DR)&gt;=2.5),((VGS_DR)&lt;3),OR(('NFET Data'!$AD105&lt;&gt;"(Null)"),('NFET Data'!$AC105&lt;&gt;"(Null)")))</f>
        <v>0</v>
      </c>
      <c r="L105" s="20" t="b">
        <f>AND(((VGS_DR)&gt;=3),((VGS_DR)&lt;4.5),OR(('NFET Data'!$AE105&lt;&gt;"(Null)"),('NFET Data'!$AD105&lt;&gt;"(Null)"),('NFET Data'!$AC105&lt;&gt;"(Null)")))</f>
        <v>0</v>
      </c>
      <c r="M105" s="20" t="b">
        <f>AND(((VGS_DR)&gt;=4.5),((VGS_DR)&lt;6),OR(('NFET Data'!$AF105&lt;&gt;"(Null)"),('NFET Data'!$AE105&lt;&gt;"(Null)"),('NFET Data'!$AD105&lt;&gt;"(Null)"),('NFET Data'!$AC105&lt;&gt;"(Null)")))</f>
        <v>1</v>
      </c>
      <c r="N105" s="20" t="b">
        <f>AND(((VGS_DR)&gt;=6),((VGS_DR)&lt;8),OR(('NFET Data'!$AG105&lt;&gt;"(Null)"),('NFET Data'!$AF105&lt;&gt;"(Null)"),('NFET Data'!$AE105&lt;&gt;"(Null)"),('NFET Data'!$AD105&lt;&gt;"(Null)"),('NFET Data'!$AC105&lt;&gt;"(Null)")))</f>
        <v>0</v>
      </c>
      <c r="O105" s="20" t="b">
        <f>AND(((VGS_DR)&gt;=8),((VGS_DR)&lt;10),OR(('NFET Data'!$AH105&lt;&gt;"(Null)"),('NFET Data'!$AG105&lt;&gt;"(Null)"),('NFET Data'!$AF105&lt;&gt;"(Null)"),('NFET Data'!$AE105&lt;&gt;"(Null)"),('NFET Data'!$AD105&lt;&gt;"(Null)"),('NFET Data'!$AC105&lt;&gt;"(Null)")))</f>
        <v>0</v>
      </c>
      <c r="P105" s="20" t="b">
        <f>AND(((VGS_DR)&gt;=10),OR(('NFET Data'!$AI105&lt;&gt;"(Null)"),('NFET Data'!$AH105&lt;&gt;"(Null)"),('NFET Data'!$AG105&lt;&gt;"(Null)"),('NFET Data'!$AF105&lt;&gt;"(Null)"),('NFET Data'!$AE105&lt;&gt;"(Null)"),('NFET Data'!$AD105&lt;&gt;"(Null)"),('NFET Data'!$AC105&lt;&gt;"(Null)")))</f>
        <v>0</v>
      </c>
      <c r="Q105" s="20" t="b">
        <f t="shared" si="10"/>
        <v>1</v>
      </c>
      <c r="R105" s="20" t="b">
        <f t="shared" si="11"/>
        <v>0</v>
      </c>
    </row>
    <row r="106" spans="1:18" x14ac:dyDescent="0.25">
      <c r="A106" s="20" t="str">
        <f>IF(R106,Load_Switch_NFET[[#This Row],[PARTNUMBER]],"")</f>
        <v/>
      </c>
      <c r="B106"/>
      <c r="C106" s="20" t="b">
        <f>AND((Load_Switch_NFET[[#This Row],[VDSMAX]]&gt;=Vi*1.1),(Load_Switch_NFET[[#This Row],[VGSMAX]]&gt;=(VGS_DR)*1.1),(Load_Switch_NFET[[#This Row],[IDSMAX]]&gt;=Io),VGS_DR&gt;=1.8)</f>
        <v>1</v>
      </c>
      <c r="D106" s="20" t="b">
        <f>AND(Vi&lt;=27,Load_Switch_NFET[[#This Row],[VDSMAX]]&lt;=30)</f>
        <v>0</v>
      </c>
      <c r="E106" s="20" t="b">
        <f>AND(Vi&lt;=36,Vi&gt;=20,Load_Switch_NFET[[#This Row],[VDSMAX]]=40)</f>
        <v>0</v>
      </c>
      <c r="F106" s="20" t="b">
        <f>AND(Vi&lt;=54,Vi&gt;=25,Load_Switch_NFET[[#This Row],[VDSMAX]]=60)</f>
        <v>0</v>
      </c>
      <c r="G106" s="20" t="b">
        <f>AND(Vi&lt;=72,Vi&gt;=36,Load_Switch_NFET[[#This Row],[VDSMAX]]=80)</f>
        <v>0</v>
      </c>
      <c r="H106" s="20" t="b">
        <f>AND(Vi&lt;=90,Vi&gt;=48,Load_Switch_NFET[[#This Row],[VDSMAX]]=100)</f>
        <v>0</v>
      </c>
      <c r="I106" s="20" t="b">
        <f t="shared" si="9"/>
        <v>0</v>
      </c>
      <c r="J106" s="20" t="b">
        <f>AND(((VGS_DR)&lt;2.5),('NFET Data'!$AC106&lt;&gt;"(Null)"))</f>
        <v>0</v>
      </c>
      <c r="K106" s="20" t="b">
        <f>AND(((VGS_DR)&gt;=2.5),((VGS_DR)&lt;3),OR(('NFET Data'!$AD106&lt;&gt;"(Null)"),('NFET Data'!$AC106&lt;&gt;"(Null)")))</f>
        <v>0</v>
      </c>
      <c r="L106" s="20" t="b">
        <f>AND(((VGS_DR)&gt;=3),((VGS_DR)&lt;4.5),OR(('NFET Data'!$AE106&lt;&gt;"(Null)"),('NFET Data'!$AD106&lt;&gt;"(Null)"),('NFET Data'!$AC106&lt;&gt;"(Null)")))</f>
        <v>0</v>
      </c>
      <c r="M106" s="20" t="b">
        <f>AND(((VGS_DR)&gt;=4.5),((VGS_DR)&lt;6),OR(('NFET Data'!$AF106&lt;&gt;"(Null)"),('NFET Data'!$AE106&lt;&gt;"(Null)"),('NFET Data'!$AD106&lt;&gt;"(Null)"),('NFET Data'!$AC106&lt;&gt;"(Null)")))</f>
        <v>1</v>
      </c>
      <c r="N106" s="20" t="b">
        <f>AND(((VGS_DR)&gt;=6),((VGS_DR)&lt;8),OR(('NFET Data'!$AG106&lt;&gt;"(Null)"),('NFET Data'!$AF106&lt;&gt;"(Null)"),('NFET Data'!$AE106&lt;&gt;"(Null)"),('NFET Data'!$AD106&lt;&gt;"(Null)"),('NFET Data'!$AC106&lt;&gt;"(Null)")))</f>
        <v>0</v>
      </c>
      <c r="O106" s="20" t="b">
        <f>AND(((VGS_DR)&gt;=8),((VGS_DR)&lt;10),OR(('NFET Data'!$AH106&lt;&gt;"(Null)"),('NFET Data'!$AG106&lt;&gt;"(Null)"),('NFET Data'!$AF106&lt;&gt;"(Null)"),('NFET Data'!$AE106&lt;&gt;"(Null)"),('NFET Data'!$AD106&lt;&gt;"(Null)"),('NFET Data'!$AC106&lt;&gt;"(Null)")))</f>
        <v>0</v>
      </c>
      <c r="P106" s="20" t="b">
        <f>AND(((VGS_DR)&gt;=10),OR(('NFET Data'!$AI106&lt;&gt;"(Null)"),('NFET Data'!$AH106&lt;&gt;"(Null)"),('NFET Data'!$AG106&lt;&gt;"(Null)"),('NFET Data'!$AF106&lt;&gt;"(Null)"),('NFET Data'!$AE106&lt;&gt;"(Null)"),('NFET Data'!$AD106&lt;&gt;"(Null)"),('NFET Data'!$AC106&lt;&gt;"(Null)")))</f>
        <v>0</v>
      </c>
      <c r="Q106" s="20" t="b">
        <f t="shared" si="10"/>
        <v>1</v>
      </c>
      <c r="R106" s="20" t="b">
        <f t="shared" si="11"/>
        <v>0</v>
      </c>
    </row>
    <row r="107" spans="1:18" x14ac:dyDescent="0.25">
      <c r="A107" s="20" t="str">
        <f>IF(R107,Load_Switch_NFET[[#This Row],[PARTNUMBER]],"")</f>
        <v/>
      </c>
      <c r="B107"/>
      <c r="C107" s="20" t="b">
        <f>AND((Load_Switch_NFET[[#This Row],[VDSMAX]]&gt;=Vi*1.1),(Load_Switch_NFET[[#This Row],[VGSMAX]]&gt;=(VGS_DR)*1.1),(Load_Switch_NFET[[#This Row],[IDSMAX]]&gt;=Io),VGS_DR&gt;=1.8)</f>
        <v>1</v>
      </c>
      <c r="D107" s="20" t="b">
        <f>AND(Vi&lt;=27,Load_Switch_NFET[[#This Row],[VDSMAX]]&lt;=30)</f>
        <v>0</v>
      </c>
      <c r="E107" s="20" t="b">
        <f>AND(Vi&lt;=36,Vi&gt;=20,Load_Switch_NFET[[#This Row],[VDSMAX]]=40)</f>
        <v>0</v>
      </c>
      <c r="F107" s="20" t="b">
        <f>AND(Vi&lt;=54,Vi&gt;=25,Load_Switch_NFET[[#This Row],[VDSMAX]]=60)</f>
        <v>0</v>
      </c>
      <c r="G107" s="20" t="b">
        <f>AND(Vi&lt;=72,Vi&gt;=36,Load_Switch_NFET[[#This Row],[VDSMAX]]=80)</f>
        <v>0</v>
      </c>
      <c r="H107" s="20" t="b">
        <f>AND(Vi&lt;=90,Vi&gt;=48,Load_Switch_NFET[[#This Row],[VDSMAX]]=100)</f>
        <v>0</v>
      </c>
      <c r="I107" s="20" t="b">
        <f t="shared" si="9"/>
        <v>0</v>
      </c>
      <c r="J107" s="20" t="b">
        <f>AND(((VGS_DR)&lt;2.5),('NFET Data'!$AC107&lt;&gt;"(Null)"))</f>
        <v>0</v>
      </c>
      <c r="K107" s="20" t="b">
        <f>AND(((VGS_DR)&gt;=2.5),((VGS_DR)&lt;3),OR(('NFET Data'!$AD107&lt;&gt;"(Null)"),('NFET Data'!$AC107&lt;&gt;"(Null)")))</f>
        <v>0</v>
      </c>
      <c r="L107" s="20" t="b">
        <f>AND(((VGS_DR)&gt;=3),((VGS_DR)&lt;4.5),OR(('NFET Data'!$AE107&lt;&gt;"(Null)"),('NFET Data'!$AD107&lt;&gt;"(Null)"),('NFET Data'!$AC107&lt;&gt;"(Null)")))</f>
        <v>0</v>
      </c>
      <c r="M107" s="20" t="b">
        <f>AND(((VGS_DR)&gt;=4.5),((VGS_DR)&lt;6),OR(('NFET Data'!$AF107&lt;&gt;"(Null)"),('NFET Data'!$AE107&lt;&gt;"(Null)"),('NFET Data'!$AD107&lt;&gt;"(Null)"),('NFET Data'!$AC107&lt;&gt;"(Null)")))</f>
        <v>1</v>
      </c>
      <c r="N107" s="20" t="b">
        <f>AND(((VGS_DR)&gt;=6),((VGS_DR)&lt;8),OR(('NFET Data'!$AG107&lt;&gt;"(Null)"),('NFET Data'!$AF107&lt;&gt;"(Null)"),('NFET Data'!$AE107&lt;&gt;"(Null)"),('NFET Data'!$AD107&lt;&gt;"(Null)"),('NFET Data'!$AC107&lt;&gt;"(Null)")))</f>
        <v>0</v>
      </c>
      <c r="O107" s="20" t="b">
        <f>AND(((VGS_DR)&gt;=8),((VGS_DR)&lt;10),OR(('NFET Data'!$AH107&lt;&gt;"(Null)"),('NFET Data'!$AG107&lt;&gt;"(Null)"),('NFET Data'!$AF107&lt;&gt;"(Null)"),('NFET Data'!$AE107&lt;&gt;"(Null)"),('NFET Data'!$AD107&lt;&gt;"(Null)"),('NFET Data'!$AC107&lt;&gt;"(Null)")))</f>
        <v>0</v>
      </c>
      <c r="P107" s="20" t="b">
        <f>AND(((VGS_DR)&gt;=10),OR(('NFET Data'!$AI107&lt;&gt;"(Null)"),('NFET Data'!$AH107&lt;&gt;"(Null)"),('NFET Data'!$AG107&lt;&gt;"(Null)"),('NFET Data'!$AF107&lt;&gt;"(Null)"),('NFET Data'!$AE107&lt;&gt;"(Null)"),('NFET Data'!$AD107&lt;&gt;"(Null)"),('NFET Data'!$AC107&lt;&gt;"(Null)")))</f>
        <v>0</v>
      </c>
      <c r="Q107" s="20" t="b">
        <f t="shared" si="10"/>
        <v>1</v>
      </c>
      <c r="R107" s="20" t="b">
        <f t="shared" si="11"/>
        <v>0</v>
      </c>
    </row>
    <row r="108" spans="1:18" x14ac:dyDescent="0.25">
      <c r="A108" s="20" t="str">
        <f>IF(R108,Load_Switch_NFET[[#This Row],[PARTNUMBER]],"")</f>
        <v/>
      </c>
      <c r="B108"/>
      <c r="C108" s="20" t="b">
        <f>AND((Load_Switch_NFET[[#This Row],[VDSMAX]]&gt;=Vi*1.1),(Load_Switch_NFET[[#This Row],[VGSMAX]]&gt;=(VGS_DR)*1.1),(Load_Switch_NFET[[#This Row],[IDSMAX]]&gt;=Io),VGS_DR&gt;=1.8)</f>
        <v>1</v>
      </c>
      <c r="D108" s="20" t="b">
        <f>AND(Vi&lt;=27,Load_Switch_NFET[[#This Row],[VDSMAX]]&lt;=30)</f>
        <v>0</v>
      </c>
      <c r="E108" s="20" t="b">
        <f>AND(Vi&lt;=36,Vi&gt;=20,Load_Switch_NFET[[#This Row],[VDSMAX]]=40)</f>
        <v>0</v>
      </c>
      <c r="F108" s="20" t="b">
        <f>AND(Vi&lt;=54,Vi&gt;=25,Load_Switch_NFET[[#This Row],[VDSMAX]]=60)</f>
        <v>0</v>
      </c>
      <c r="G108" s="20" t="b">
        <f>AND(Vi&lt;=72,Vi&gt;=36,Load_Switch_NFET[[#This Row],[VDSMAX]]=80)</f>
        <v>0</v>
      </c>
      <c r="H108" s="20" t="b">
        <f>AND(Vi&lt;=90,Vi&gt;=48,Load_Switch_NFET[[#This Row],[VDSMAX]]=100)</f>
        <v>0</v>
      </c>
      <c r="I108" s="20" t="b">
        <f t="shared" si="9"/>
        <v>0</v>
      </c>
      <c r="J108" s="20" t="b">
        <f>AND(((VGS_DR)&lt;2.5),('NFET Data'!$AC108&lt;&gt;"(Null)"))</f>
        <v>0</v>
      </c>
      <c r="K108" s="20" t="b">
        <f>AND(((VGS_DR)&gt;=2.5),((VGS_DR)&lt;3),OR(('NFET Data'!$AD108&lt;&gt;"(Null)"),('NFET Data'!$AC108&lt;&gt;"(Null)")))</f>
        <v>0</v>
      </c>
      <c r="L108" s="20" t="b">
        <f>AND(((VGS_DR)&gt;=3),((VGS_DR)&lt;4.5),OR(('NFET Data'!$AE108&lt;&gt;"(Null)"),('NFET Data'!$AD108&lt;&gt;"(Null)"),('NFET Data'!$AC108&lt;&gt;"(Null)")))</f>
        <v>0</v>
      </c>
      <c r="M108" s="20" t="b">
        <f>AND(((VGS_DR)&gt;=4.5),((VGS_DR)&lt;6),OR(('NFET Data'!$AF108&lt;&gt;"(Null)"),('NFET Data'!$AE108&lt;&gt;"(Null)"),('NFET Data'!$AD108&lt;&gt;"(Null)"),('NFET Data'!$AC108&lt;&gt;"(Null)")))</f>
        <v>1</v>
      </c>
      <c r="N108" s="20" t="b">
        <f>AND(((VGS_DR)&gt;=6),((VGS_DR)&lt;8),OR(('NFET Data'!$AG108&lt;&gt;"(Null)"),('NFET Data'!$AF108&lt;&gt;"(Null)"),('NFET Data'!$AE108&lt;&gt;"(Null)"),('NFET Data'!$AD108&lt;&gt;"(Null)"),('NFET Data'!$AC108&lt;&gt;"(Null)")))</f>
        <v>0</v>
      </c>
      <c r="O108" s="20" t="b">
        <f>AND(((VGS_DR)&gt;=8),((VGS_DR)&lt;10),OR(('NFET Data'!$AH108&lt;&gt;"(Null)"),('NFET Data'!$AG108&lt;&gt;"(Null)"),('NFET Data'!$AF108&lt;&gt;"(Null)"),('NFET Data'!$AE108&lt;&gt;"(Null)"),('NFET Data'!$AD108&lt;&gt;"(Null)"),('NFET Data'!$AC108&lt;&gt;"(Null)")))</f>
        <v>0</v>
      </c>
      <c r="P108" s="20" t="b">
        <f>AND(((VGS_DR)&gt;=10),OR(('NFET Data'!$AI108&lt;&gt;"(Null)"),('NFET Data'!$AH108&lt;&gt;"(Null)"),('NFET Data'!$AG108&lt;&gt;"(Null)"),('NFET Data'!$AF108&lt;&gt;"(Null)"),('NFET Data'!$AE108&lt;&gt;"(Null)"),('NFET Data'!$AD108&lt;&gt;"(Null)"),('NFET Data'!$AC108&lt;&gt;"(Null)")))</f>
        <v>0</v>
      </c>
      <c r="Q108" s="20" t="b">
        <f t="shared" si="10"/>
        <v>1</v>
      </c>
      <c r="R108" s="20" t="b">
        <f t="shared" si="11"/>
        <v>0</v>
      </c>
    </row>
    <row r="109" spans="1:18" x14ac:dyDescent="0.25">
      <c r="A109" s="20" t="str">
        <f>IF(R109,Load_Switch_NFET[[#This Row],[PARTNUMBER]],"")</f>
        <v/>
      </c>
      <c r="B109"/>
      <c r="C109" s="20" t="b">
        <f>AND((Load_Switch_NFET[[#This Row],[VDSMAX]]&gt;=Vi*1.1),(Load_Switch_NFET[[#This Row],[VGSMAX]]&gt;=(VGS_DR)*1.1),(Load_Switch_NFET[[#This Row],[IDSMAX]]&gt;=Io),VGS_DR&gt;=1.8)</f>
        <v>1</v>
      </c>
      <c r="D109" s="20" t="b">
        <f>AND(Vi&lt;=27,Load_Switch_NFET[[#This Row],[VDSMAX]]&lt;=30)</f>
        <v>0</v>
      </c>
      <c r="E109" s="20" t="b">
        <f>AND(Vi&lt;=36,Vi&gt;=20,Load_Switch_NFET[[#This Row],[VDSMAX]]=40)</f>
        <v>0</v>
      </c>
      <c r="F109" s="20" t="b">
        <f>AND(Vi&lt;=54,Vi&gt;=25,Load_Switch_NFET[[#This Row],[VDSMAX]]=60)</f>
        <v>0</v>
      </c>
      <c r="G109" s="20" t="b">
        <f>AND(Vi&lt;=72,Vi&gt;=36,Load_Switch_NFET[[#This Row],[VDSMAX]]=80)</f>
        <v>0</v>
      </c>
      <c r="H109" s="20" t="b">
        <f>AND(Vi&lt;=90,Vi&gt;=48,Load_Switch_NFET[[#This Row],[VDSMAX]]=100)</f>
        <v>0</v>
      </c>
      <c r="I109" s="20" t="b">
        <f t="shared" si="9"/>
        <v>0</v>
      </c>
      <c r="J109" s="20" t="b">
        <f>AND(((VGS_DR)&lt;2.5),('NFET Data'!$AC109&lt;&gt;"(Null)"))</f>
        <v>0</v>
      </c>
      <c r="K109" s="20" t="b">
        <f>AND(((VGS_DR)&gt;=2.5),((VGS_DR)&lt;3),OR(('NFET Data'!$AD109&lt;&gt;"(Null)"),('NFET Data'!$AC109&lt;&gt;"(Null)")))</f>
        <v>0</v>
      </c>
      <c r="L109" s="20" t="b">
        <f>AND(((VGS_DR)&gt;=3),((VGS_DR)&lt;4.5),OR(('NFET Data'!$AE109&lt;&gt;"(Null)"),('NFET Data'!$AD109&lt;&gt;"(Null)"),('NFET Data'!$AC109&lt;&gt;"(Null)")))</f>
        <v>0</v>
      </c>
      <c r="M109" s="20" t="b">
        <f>AND(((VGS_DR)&gt;=4.5),((VGS_DR)&lt;6),OR(('NFET Data'!$AF109&lt;&gt;"(Null)"),('NFET Data'!$AE109&lt;&gt;"(Null)"),('NFET Data'!$AD109&lt;&gt;"(Null)"),('NFET Data'!$AC109&lt;&gt;"(Null)")))</f>
        <v>1</v>
      </c>
      <c r="N109" s="20" t="b">
        <f>AND(((VGS_DR)&gt;=6),((VGS_DR)&lt;8),OR(('NFET Data'!$AG109&lt;&gt;"(Null)"),('NFET Data'!$AF109&lt;&gt;"(Null)"),('NFET Data'!$AE109&lt;&gt;"(Null)"),('NFET Data'!$AD109&lt;&gt;"(Null)"),('NFET Data'!$AC109&lt;&gt;"(Null)")))</f>
        <v>0</v>
      </c>
      <c r="O109" s="20" t="b">
        <f>AND(((VGS_DR)&gt;=8),((VGS_DR)&lt;10),OR(('NFET Data'!$AH109&lt;&gt;"(Null)"),('NFET Data'!$AG109&lt;&gt;"(Null)"),('NFET Data'!$AF109&lt;&gt;"(Null)"),('NFET Data'!$AE109&lt;&gt;"(Null)"),('NFET Data'!$AD109&lt;&gt;"(Null)"),('NFET Data'!$AC109&lt;&gt;"(Null)")))</f>
        <v>0</v>
      </c>
      <c r="P109" s="20" t="b">
        <f>AND(((VGS_DR)&gt;=10),OR(('NFET Data'!$AI109&lt;&gt;"(Null)"),('NFET Data'!$AH109&lt;&gt;"(Null)"),('NFET Data'!$AG109&lt;&gt;"(Null)"),('NFET Data'!$AF109&lt;&gt;"(Null)"),('NFET Data'!$AE109&lt;&gt;"(Null)"),('NFET Data'!$AD109&lt;&gt;"(Null)"),('NFET Data'!$AC109&lt;&gt;"(Null)")))</f>
        <v>0</v>
      </c>
      <c r="Q109" s="20" t="b">
        <f t="shared" si="10"/>
        <v>1</v>
      </c>
      <c r="R109" s="20" t="b">
        <f t="shared" si="11"/>
        <v>0</v>
      </c>
    </row>
    <row r="110" spans="1:18" x14ac:dyDescent="0.25">
      <c r="A110" s="20" t="str">
        <f>IF(R110,Load_Switch_NFET[[#This Row],[PARTNUMBER]],"")</f>
        <v/>
      </c>
      <c r="B110"/>
      <c r="C110" s="20" t="b">
        <f>AND((Load_Switch_NFET[[#This Row],[VDSMAX]]&gt;=Vi*1.1),(Load_Switch_NFET[[#This Row],[VGSMAX]]&gt;=(VGS_DR)*1.1),(Load_Switch_NFET[[#This Row],[IDSMAX]]&gt;=Io),VGS_DR&gt;=1.8)</f>
        <v>1</v>
      </c>
      <c r="D110" s="20" t="b">
        <f>AND(Vi&lt;=27,Load_Switch_NFET[[#This Row],[VDSMAX]]&lt;=30)</f>
        <v>0</v>
      </c>
      <c r="E110" s="20" t="b">
        <f>AND(Vi&lt;=36,Vi&gt;=20,Load_Switch_NFET[[#This Row],[VDSMAX]]=40)</f>
        <v>0</v>
      </c>
      <c r="F110" s="20" t="b">
        <f>AND(Vi&lt;=54,Vi&gt;=25,Load_Switch_NFET[[#This Row],[VDSMAX]]=60)</f>
        <v>0</v>
      </c>
      <c r="G110" s="20" t="b">
        <f>AND(Vi&lt;=72,Vi&gt;=36,Load_Switch_NFET[[#This Row],[VDSMAX]]=80)</f>
        <v>0</v>
      </c>
      <c r="H110" s="20" t="b">
        <f>AND(Vi&lt;=90,Vi&gt;=48,Load_Switch_NFET[[#This Row],[VDSMAX]]=100)</f>
        <v>0</v>
      </c>
      <c r="I110" s="20" t="b">
        <f t="shared" si="9"/>
        <v>0</v>
      </c>
      <c r="J110" s="20" t="b">
        <f>AND(((VGS_DR)&lt;2.5),('NFET Data'!$AC110&lt;&gt;"(Null)"))</f>
        <v>0</v>
      </c>
      <c r="K110" s="20" t="b">
        <f>AND(((VGS_DR)&gt;=2.5),((VGS_DR)&lt;3),OR(('NFET Data'!$AD110&lt;&gt;"(Null)"),('NFET Data'!$AC110&lt;&gt;"(Null)")))</f>
        <v>0</v>
      </c>
      <c r="L110" s="20" t="b">
        <f>AND(((VGS_DR)&gt;=3),((VGS_DR)&lt;4.5),OR(('NFET Data'!$AE110&lt;&gt;"(Null)"),('NFET Data'!$AD110&lt;&gt;"(Null)"),('NFET Data'!$AC110&lt;&gt;"(Null)")))</f>
        <v>0</v>
      </c>
      <c r="M110" s="20" t="b">
        <f>AND(((VGS_DR)&gt;=4.5),((VGS_DR)&lt;6),OR(('NFET Data'!$AF110&lt;&gt;"(Null)"),('NFET Data'!$AE110&lt;&gt;"(Null)"),('NFET Data'!$AD110&lt;&gt;"(Null)"),('NFET Data'!$AC110&lt;&gt;"(Null)")))</f>
        <v>1</v>
      </c>
      <c r="N110" s="20" t="b">
        <f>AND(((VGS_DR)&gt;=6),((VGS_DR)&lt;8),OR(('NFET Data'!$AG110&lt;&gt;"(Null)"),('NFET Data'!$AF110&lt;&gt;"(Null)"),('NFET Data'!$AE110&lt;&gt;"(Null)"),('NFET Data'!$AD110&lt;&gt;"(Null)"),('NFET Data'!$AC110&lt;&gt;"(Null)")))</f>
        <v>0</v>
      </c>
      <c r="O110" s="20" t="b">
        <f>AND(((VGS_DR)&gt;=8),((VGS_DR)&lt;10),OR(('NFET Data'!$AH110&lt;&gt;"(Null)"),('NFET Data'!$AG110&lt;&gt;"(Null)"),('NFET Data'!$AF110&lt;&gt;"(Null)"),('NFET Data'!$AE110&lt;&gt;"(Null)"),('NFET Data'!$AD110&lt;&gt;"(Null)"),('NFET Data'!$AC110&lt;&gt;"(Null)")))</f>
        <v>0</v>
      </c>
      <c r="P110" s="20" t="b">
        <f>AND(((VGS_DR)&gt;=10),OR(('NFET Data'!$AI110&lt;&gt;"(Null)"),('NFET Data'!$AH110&lt;&gt;"(Null)"),('NFET Data'!$AG110&lt;&gt;"(Null)"),('NFET Data'!$AF110&lt;&gt;"(Null)"),('NFET Data'!$AE110&lt;&gt;"(Null)"),('NFET Data'!$AD110&lt;&gt;"(Null)"),('NFET Data'!$AC110&lt;&gt;"(Null)")))</f>
        <v>0</v>
      </c>
      <c r="Q110" s="20" t="b">
        <f t="shared" si="10"/>
        <v>1</v>
      </c>
      <c r="R110" s="20" t="b">
        <f t="shared" si="11"/>
        <v>0</v>
      </c>
    </row>
    <row r="111" spans="1:18" x14ac:dyDescent="0.25">
      <c r="A111" s="20" t="str">
        <f>IF(R111,Load_Switch_NFET[[#This Row],[PARTNUMBER]],"")</f>
        <v/>
      </c>
      <c r="B111"/>
      <c r="C111" s="20" t="b">
        <f>AND((Load_Switch_NFET[[#This Row],[VDSMAX]]&gt;=Vi*1.1),(Load_Switch_NFET[[#This Row],[VGSMAX]]&gt;=(VGS_DR)*1.1),(Load_Switch_NFET[[#This Row],[IDSMAX]]&gt;=Io),VGS_DR&gt;=1.8)</f>
        <v>1</v>
      </c>
      <c r="D111" s="20" t="b">
        <f>AND(Vi&lt;=27,Load_Switch_NFET[[#This Row],[VDSMAX]]&lt;=30)</f>
        <v>0</v>
      </c>
      <c r="E111" s="20" t="b">
        <f>AND(Vi&lt;=36,Vi&gt;=20,Load_Switch_NFET[[#This Row],[VDSMAX]]=40)</f>
        <v>0</v>
      </c>
      <c r="F111" s="20" t="b">
        <f>AND(Vi&lt;=54,Vi&gt;=25,Load_Switch_NFET[[#This Row],[VDSMAX]]=60)</f>
        <v>0</v>
      </c>
      <c r="G111" s="20" t="b">
        <f>AND(Vi&lt;=72,Vi&gt;=36,Load_Switch_NFET[[#This Row],[VDSMAX]]=80)</f>
        <v>0</v>
      </c>
      <c r="H111" s="20" t="b">
        <f>AND(Vi&lt;=90,Vi&gt;=48,Load_Switch_NFET[[#This Row],[VDSMAX]]=100)</f>
        <v>0</v>
      </c>
      <c r="I111" s="20" t="b">
        <f t="shared" si="9"/>
        <v>0</v>
      </c>
      <c r="J111" s="20" t="b">
        <f>AND(((VGS_DR)&lt;2.5),('NFET Data'!$AC111&lt;&gt;"(Null)"))</f>
        <v>0</v>
      </c>
      <c r="K111" s="20" t="b">
        <f>AND(((VGS_DR)&gt;=2.5),((VGS_DR)&lt;3),OR(('NFET Data'!$AD111&lt;&gt;"(Null)"),('NFET Data'!$AC111&lt;&gt;"(Null)")))</f>
        <v>0</v>
      </c>
      <c r="L111" s="20" t="b">
        <f>AND(((VGS_DR)&gt;=3),((VGS_DR)&lt;4.5),OR(('NFET Data'!$AE111&lt;&gt;"(Null)"),('NFET Data'!$AD111&lt;&gt;"(Null)"),('NFET Data'!$AC111&lt;&gt;"(Null)")))</f>
        <v>0</v>
      </c>
      <c r="M111" s="20" t="b">
        <f>AND(((VGS_DR)&gt;=4.5),((VGS_DR)&lt;6),OR(('NFET Data'!$AF111&lt;&gt;"(Null)"),('NFET Data'!$AE111&lt;&gt;"(Null)"),('NFET Data'!$AD111&lt;&gt;"(Null)"),('NFET Data'!$AC111&lt;&gt;"(Null)")))</f>
        <v>1</v>
      </c>
      <c r="N111" s="20" t="b">
        <f>AND(((VGS_DR)&gt;=6),((VGS_DR)&lt;8),OR(('NFET Data'!$AG111&lt;&gt;"(Null)"),('NFET Data'!$AF111&lt;&gt;"(Null)"),('NFET Data'!$AE111&lt;&gt;"(Null)"),('NFET Data'!$AD111&lt;&gt;"(Null)"),('NFET Data'!$AC111&lt;&gt;"(Null)")))</f>
        <v>0</v>
      </c>
      <c r="O111" s="20" t="b">
        <f>AND(((VGS_DR)&gt;=8),((VGS_DR)&lt;10),OR(('NFET Data'!$AH111&lt;&gt;"(Null)"),('NFET Data'!$AG111&lt;&gt;"(Null)"),('NFET Data'!$AF111&lt;&gt;"(Null)"),('NFET Data'!$AE111&lt;&gt;"(Null)"),('NFET Data'!$AD111&lt;&gt;"(Null)"),('NFET Data'!$AC111&lt;&gt;"(Null)")))</f>
        <v>0</v>
      </c>
      <c r="P111" s="20" t="b">
        <f>AND(((VGS_DR)&gt;=10),OR(('NFET Data'!$AI111&lt;&gt;"(Null)"),('NFET Data'!$AH111&lt;&gt;"(Null)"),('NFET Data'!$AG111&lt;&gt;"(Null)"),('NFET Data'!$AF111&lt;&gt;"(Null)"),('NFET Data'!$AE111&lt;&gt;"(Null)"),('NFET Data'!$AD111&lt;&gt;"(Null)"),('NFET Data'!$AC111&lt;&gt;"(Null)")))</f>
        <v>0</v>
      </c>
      <c r="Q111" s="20" t="b">
        <f t="shared" si="10"/>
        <v>1</v>
      </c>
      <c r="R111" s="20" t="b">
        <f t="shared" si="11"/>
        <v>0</v>
      </c>
    </row>
    <row r="112" spans="1:18" x14ac:dyDescent="0.25">
      <c r="A112" s="20" t="str">
        <f>IF(R112,Load_Switch_NFET[[#This Row],[PARTNUMBER]],"")</f>
        <v/>
      </c>
      <c r="B112"/>
      <c r="C112" s="20" t="b">
        <f>AND((Load_Switch_NFET[[#This Row],[VDSMAX]]&gt;=Vi*1.1),(Load_Switch_NFET[[#This Row],[VGSMAX]]&gt;=(VGS_DR)*1.1),(Load_Switch_NFET[[#This Row],[IDSMAX]]&gt;=Io),VGS_DR&gt;=1.8)</f>
        <v>1</v>
      </c>
      <c r="D112" s="20" t="b">
        <f>AND(Vi&lt;=27,Load_Switch_NFET[[#This Row],[VDSMAX]]&lt;=30)</f>
        <v>0</v>
      </c>
      <c r="E112" s="20" t="b">
        <f>AND(Vi&lt;=36,Vi&gt;=20,Load_Switch_NFET[[#This Row],[VDSMAX]]=40)</f>
        <v>0</v>
      </c>
      <c r="F112" s="20" t="b">
        <f>AND(Vi&lt;=54,Vi&gt;=25,Load_Switch_NFET[[#This Row],[VDSMAX]]=60)</f>
        <v>0</v>
      </c>
      <c r="G112" s="20" t="b">
        <f>AND(Vi&lt;=72,Vi&gt;=36,Load_Switch_NFET[[#This Row],[VDSMAX]]=80)</f>
        <v>0</v>
      </c>
      <c r="H112" s="20" t="b">
        <f>AND(Vi&lt;=90,Vi&gt;=48,Load_Switch_NFET[[#This Row],[VDSMAX]]=100)</f>
        <v>0</v>
      </c>
      <c r="I112" s="20" t="b">
        <f t="shared" si="9"/>
        <v>0</v>
      </c>
      <c r="J112" s="20" t="b">
        <f>AND(((VGS_DR)&lt;2.5),('NFET Data'!$AC112&lt;&gt;"(Null)"))</f>
        <v>0</v>
      </c>
      <c r="K112" s="20" t="b">
        <f>AND(((VGS_DR)&gt;=2.5),((VGS_DR)&lt;3),OR(('NFET Data'!$AD112&lt;&gt;"(Null)"),('NFET Data'!$AC112&lt;&gt;"(Null)")))</f>
        <v>0</v>
      </c>
      <c r="L112" s="20" t="b">
        <f>AND(((VGS_DR)&gt;=3),((VGS_DR)&lt;4.5),OR(('NFET Data'!$AE112&lt;&gt;"(Null)"),('NFET Data'!$AD112&lt;&gt;"(Null)"),('NFET Data'!$AC112&lt;&gt;"(Null)")))</f>
        <v>0</v>
      </c>
      <c r="M112" s="20" t="b">
        <f>AND(((VGS_DR)&gt;=4.5),((VGS_DR)&lt;6),OR(('NFET Data'!$AF112&lt;&gt;"(Null)"),('NFET Data'!$AE112&lt;&gt;"(Null)"),('NFET Data'!$AD112&lt;&gt;"(Null)"),('NFET Data'!$AC112&lt;&gt;"(Null)")))</f>
        <v>1</v>
      </c>
      <c r="N112" s="20" t="b">
        <f>AND(((VGS_DR)&gt;=6),((VGS_DR)&lt;8),OR(('NFET Data'!$AG112&lt;&gt;"(Null)"),('NFET Data'!$AF112&lt;&gt;"(Null)"),('NFET Data'!$AE112&lt;&gt;"(Null)"),('NFET Data'!$AD112&lt;&gt;"(Null)"),('NFET Data'!$AC112&lt;&gt;"(Null)")))</f>
        <v>0</v>
      </c>
      <c r="O112" s="20" t="b">
        <f>AND(((VGS_DR)&gt;=8),((VGS_DR)&lt;10),OR(('NFET Data'!$AH112&lt;&gt;"(Null)"),('NFET Data'!$AG112&lt;&gt;"(Null)"),('NFET Data'!$AF112&lt;&gt;"(Null)"),('NFET Data'!$AE112&lt;&gt;"(Null)"),('NFET Data'!$AD112&lt;&gt;"(Null)"),('NFET Data'!$AC112&lt;&gt;"(Null)")))</f>
        <v>0</v>
      </c>
      <c r="P112" s="20" t="b">
        <f>AND(((VGS_DR)&gt;=10),OR(('NFET Data'!$AI112&lt;&gt;"(Null)"),('NFET Data'!$AH112&lt;&gt;"(Null)"),('NFET Data'!$AG112&lt;&gt;"(Null)"),('NFET Data'!$AF112&lt;&gt;"(Null)"),('NFET Data'!$AE112&lt;&gt;"(Null)"),('NFET Data'!$AD112&lt;&gt;"(Null)"),('NFET Data'!$AC112&lt;&gt;"(Null)")))</f>
        <v>0</v>
      </c>
      <c r="Q112" s="20" t="b">
        <f t="shared" si="10"/>
        <v>1</v>
      </c>
      <c r="R112" s="20" t="b">
        <f t="shared" si="11"/>
        <v>0</v>
      </c>
    </row>
    <row r="113" spans="1:18" x14ac:dyDescent="0.25">
      <c r="A113" s="20" t="str">
        <f>IF(R113,Load_Switch_NFET[[#This Row],[PARTNUMBER]],"")</f>
        <v/>
      </c>
      <c r="B113"/>
      <c r="C113" s="20" t="b">
        <f>AND((Load_Switch_NFET[[#This Row],[VDSMAX]]&gt;=Vi*1.1),(Load_Switch_NFET[[#This Row],[VGSMAX]]&gt;=(VGS_DR)*1.1),(Load_Switch_NFET[[#This Row],[IDSMAX]]&gt;=Io),VGS_DR&gt;=1.8)</f>
        <v>1</v>
      </c>
      <c r="D113" s="20" t="b">
        <f>AND(Vi&lt;=27,Load_Switch_NFET[[#This Row],[VDSMAX]]&lt;=30)</f>
        <v>0</v>
      </c>
      <c r="E113" s="20" t="b">
        <f>AND(Vi&lt;=36,Vi&gt;=20,Load_Switch_NFET[[#This Row],[VDSMAX]]=40)</f>
        <v>0</v>
      </c>
      <c r="F113" s="20" t="b">
        <f>AND(Vi&lt;=54,Vi&gt;=25,Load_Switch_NFET[[#This Row],[VDSMAX]]=60)</f>
        <v>0</v>
      </c>
      <c r="G113" s="20" t="b">
        <f>AND(Vi&lt;=72,Vi&gt;=36,Load_Switch_NFET[[#This Row],[VDSMAX]]=80)</f>
        <v>0</v>
      </c>
      <c r="H113" s="20" t="b">
        <f>AND(Vi&lt;=90,Vi&gt;=48,Load_Switch_NFET[[#This Row],[VDSMAX]]=100)</f>
        <v>0</v>
      </c>
      <c r="I113" s="20" t="b">
        <f t="shared" si="9"/>
        <v>0</v>
      </c>
      <c r="J113" s="20" t="b">
        <f>AND(((VGS_DR)&lt;2.5),('NFET Data'!$AC113&lt;&gt;"(Null)"))</f>
        <v>0</v>
      </c>
      <c r="K113" s="20" t="b">
        <f>AND(((VGS_DR)&gt;=2.5),((VGS_DR)&lt;3),OR(('NFET Data'!$AD113&lt;&gt;"(Null)"),('NFET Data'!$AC113&lt;&gt;"(Null)")))</f>
        <v>0</v>
      </c>
      <c r="L113" s="20" t="b">
        <f>AND(((VGS_DR)&gt;=3),((VGS_DR)&lt;4.5),OR(('NFET Data'!$AE113&lt;&gt;"(Null)"),('NFET Data'!$AD113&lt;&gt;"(Null)"),('NFET Data'!$AC113&lt;&gt;"(Null)")))</f>
        <v>0</v>
      </c>
      <c r="M113" s="20" t="b">
        <f>AND(((VGS_DR)&gt;=4.5),((VGS_DR)&lt;6),OR(('NFET Data'!$AF113&lt;&gt;"(Null)"),('NFET Data'!$AE113&lt;&gt;"(Null)"),('NFET Data'!$AD113&lt;&gt;"(Null)"),('NFET Data'!$AC113&lt;&gt;"(Null)")))</f>
        <v>1</v>
      </c>
      <c r="N113" s="20" t="b">
        <f>AND(((VGS_DR)&gt;=6),((VGS_DR)&lt;8),OR(('NFET Data'!$AG113&lt;&gt;"(Null)"),('NFET Data'!$AF113&lt;&gt;"(Null)"),('NFET Data'!$AE113&lt;&gt;"(Null)"),('NFET Data'!$AD113&lt;&gt;"(Null)"),('NFET Data'!$AC113&lt;&gt;"(Null)")))</f>
        <v>0</v>
      </c>
      <c r="O113" s="20" t="b">
        <f>AND(((VGS_DR)&gt;=8),((VGS_DR)&lt;10),OR(('NFET Data'!$AH113&lt;&gt;"(Null)"),('NFET Data'!$AG113&lt;&gt;"(Null)"),('NFET Data'!$AF113&lt;&gt;"(Null)"),('NFET Data'!$AE113&lt;&gt;"(Null)"),('NFET Data'!$AD113&lt;&gt;"(Null)"),('NFET Data'!$AC113&lt;&gt;"(Null)")))</f>
        <v>0</v>
      </c>
      <c r="P113" s="20" t="b">
        <f>AND(((VGS_DR)&gt;=10),OR(('NFET Data'!$AI113&lt;&gt;"(Null)"),('NFET Data'!$AH113&lt;&gt;"(Null)"),('NFET Data'!$AG113&lt;&gt;"(Null)"),('NFET Data'!$AF113&lt;&gt;"(Null)"),('NFET Data'!$AE113&lt;&gt;"(Null)"),('NFET Data'!$AD113&lt;&gt;"(Null)"),('NFET Data'!$AC113&lt;&gt;"(Null)")))</f>
        <v>0</v>
      </c>
      <c r="Q113" s="20" t="b">
        <f t="shared" si="10"/>
        <v>1</v>
      </c>
      <c r="R113" s="20" t="b">
        <f t="shared" si="11"/>
        <v>0</v>
      </c>
    </row>
    <row r="114" spans="1:18" x14ac:dyDescent="0.25">
      <c r="A114" s="20" t="str">
        <f>IF(R114,Load_Switch_NFET[[#This Row],[PARTNUMBER]],"")</f>
        <v/>
      </c>
      <c r="B114"/>
      <c r="C114" s="20" t="b">
        <f>AND((Load_Switch_NFET[[#This Row],[VDSMAX]]&gt;=Vi*1.1),(Load_Switch_NFET[[#This Row],[VGSMAX]]&gt;=(VGS_DR)*1.1),(Load_Switch_NFET[[#This Row],[IDSMAX]]&gt;=Io),VGS_DR&gt;=1.8)</f>
        <v>1</v>
      </c>
      <c r="D114" s="20" t="b">
        <f>AND(Vi&lt;=27,Load_Switch_NFET[[#This Row],[VDSMAX]]&lt;=30)</f>
        <v>0</v>
      </c>
      <c r="E114" s="20" t="b">
        <f>AND(Vi&lt;=36,Vi&gt;=20,Load_Switch_NFET[[#This Row],[VDSMAX]]=40)</f>
        <v>0</v>
      </c>
      <c r="F114" s="20" t="b">
        <f>AND(Vi&lt;=54,Vi&gt;=25,Load_Switch_NFET[[#This Row],[VDSMAX]]=60)</f>
        <v>0</v>
      </c>
      <c r="G114" s="20" t="b">
        <f>AND(Vi&lt;=72,Vi&gt;=36,Load_Switch_NFET[[#This Row],[VDSMAX]]=80)</f>
        <v>0</v>
      </c>
      <c r="H114" s="20" t="b">
        <f>AND(Vi&lt;=90,Vi&gt;=48,Load_Switch_NFET[[#This Row],[VDSMAX]]=100)</f>
        <v>0</v>
      </c>
      <c r="I114" s="20" t="b">
        <f t="shared" si="9"/>
        <v>0</v>
      </c>
      <c r="J114" s="20" t="b">
        <f>AND(((VGS_DR)&lt;2.5),('NFET Data'!$AC114&lt;&gt;"(Null)"))</f>
        <v>0</v>
      </c>
      <c r="K114" s="20" t="b">
        <f>AND(((VGS_DR)&gt;=2.5),((VGS_DR)&lt;3),OR(('NFET Data'!$AD114&lt;&gt;"(Null)"),('NFET Data'!$AC114&lt;&gt;"(Null)")))</f>
        <v>0</v>
      </c>
      <c r="L114" s="20" t="b">
        <f>AND(((VGS_DR)&gt;=3),((VGS_DR)&lt;4.5),OR(('NFET Data'!$AE114&lt;&gt;"(Null)"),('NFET Data'!$AD114&lt;&gt;"(Null)"),('NFET Data'!$AC114&lt;&gt;"(Null)")))</f>
        <v>0</v>
      </c>
      <c r="M114" s="20" t="b">
        <f>AND(((VGS_DR)&gt;=4.5),((VGS_DR)&lt;6),OR(('NFET Data'!$AF114&lt;&gt;"(Null)"),('NFET Data'!$AE114&lt;&gt;"(Null)"),('NFET Data'!$AD114&lt;&gt;"(Null)"),('NFET Data'!$AC114&lt;&gt;"(Null)")))</f>
        <v>0</v>
      </c>
      <c r="N114" s="20" t="b">
        <f>AND(((VGS_DR)&gt;=6),((VGS_DR)&lt;8),OR(('NFET Data'!$AG114&lt;&gt;"(Null)"),('NFET Data'!$AF114&lt;&gt;"(Null)"),('NFET Data'!$AE114&lt;&gt;"(Null)"),('NFET Data'!$AD114&lt;&gt;"(Null)"),('NFET Data'!$AC114&lt;&gt;"(Null)")))</f>
        <v>0</v>
      </c>
      <c r="O114" s="20" t="b">
        <f>AND(((VGS_DR)&gt;=8),((VGS_DR)&lt;10),OR(('NFET Data'!$AH114&lt;&gt;"(Null)"),('NFET Data'!$AG114&lt;&gt;"(Null)"),('NFET Data'!$AF114&lt;&gt;"(Null)"),('NFET Data'!$AE114&lt;&gt;"(Null)"),('NFET Data'!$AD114&lt;&gt;"(Null)"),('NFET Data'!$AC114&lt;&gt;"(Null)")))</f>
        <v>0</v>
      </c>
      <c r="P114" s="20" t="b">
        <f>AND(((VGS_DR)&gt;=10),OR(('NFET Data'!$AI114&lt;&gt;"(Null)"),('NFET Data'!$AH114&lt;&gt;"(Null)"),('NFET Data'!$AG114&lt;&gt;"(Null)"),('NFET Data'!$AF114&lt;&gt;"(Null)"),('NFET Data'!$AE114&lt;&gt;"(Null)"),('NFET Data'!$AD114&lt;&gt;"(Null)"),('NFET Data'!$AC114&lt;&gt;"(Null)")))</f>
        <v>0</v>
      </c>
      <c r="Q114" s="20" t="b">
        <f t="shared" si="10"/>
        <v>0</v>
      </c>
      <c r="R114" s="20" t="b">
        <f t="shared" si="11"/>
        <v>0</v>
      </c>
    </row>
    <row r="115" spans="1:18" x14ac:dyDescent="0.25">
      <c r="A115" s="20" t="str">
        <f>IF(R115,Load_Switch_NFET[[#This Row],[PARTNUMBER]],"")</f>
        <v/>
      </c>
      <c r="B115"/>
      <c r="C115" s="20" t="b">
        <f>AND((Load_Switch_NFET[[#This Row],[VDSMAX]]&gt;=Vi*1.1),(Load_Switch_NFET[[#This Row],[VGSMAX]]&gt;=(VGS_DR)*1.1),(Load_Switch_NFET[[#This Row],[IDSMAX]]&gt;=Io),VGS_DR&gt;=1.8)</f>
        <v>1</v>
      </c>
      <c r="D115" s="20" t="b">
        <f>AND(Vi&lt;=27,Load_Switch_NFET[[#This Row],[VDSMAX]]&lt;=30)</f>
        <v>0</v>
      </c>
      <c r="E115" s="20" t="b">
        <f>AND(Vi&lt;=36,Vi&gt;=20,Load_Switch_NFET[[#This Row],[VDSMAX]]=40)</f>
        <v>0</v>
      </c>
      <c r="F115" s="20" t="b">
        <f>AND(Vi&lt;=54,Vi&gt;=25,Load_Switch_NFET[[#This Row],[VDSMAX]]=60)</f>
        <v>0</v>
      </c>
      <c r="G115" s="20" t="b">
        <f>AND(Vi&lt;=72,Vi&gt;=36,Load_Switch_NFET[[#This Row],[VDSMAX]]=80)</f>
        <v>0</v>
      </c>
      <c r="H115" s="20" t="b">
        <f>AND(Vi&lt;=90,Vi&gt;=48,Load_Switch_NFET[[#This Row],[VDSMAX]]=100)</f>
        <v>0</v>
      </c>
      <c r="I115" s="20" t="b">
        <f t="shared" si="9"/>
        <v>0</v>
      </c>
      <c r="J115" s="20" t="b">
        <f>AND(((VGS_DR)&lt;2.5),('NFET Data'!$AC115&lt;&gt;"(Null)"))</f>
        <v>0</v>
      </c>
      <c r="K115" s="20" t="b">
        <f>AND(((VGS_DR)&gt;=2.5),((VGS_DR)&lt;3),OR(('NFET Data'!$AD115&lt;&gt;"(Null)"),('NFET Data'!$AC115&lt;&gt;"(Null)")))</f>
        <v>0</v>
      </c>
      <c r="L115" s="20" t="b">
        <f>AND(((VGS_DR)&gt;=3),((VGS_DR)&lt;4.5),OR(('NFET Data'!$AE115&lt;&gt;"(Null)"),('NFET Data'!$AD115&lt;&gt;"(Null)"),('NFET Data'!$AC115&lt;&gt;"(Null)")))</f>
        <v>0</v>
      </c>
      <c r="M115" s="20" t="b">
        <f>AND(((VGS_DR)&gt;=4.5),((VGS_DR)&lt;6),OR(('NFET Data'!$AF115&lt;&gt;"(Null)"),('NFET Data'!$AE115&lt;&gt;"(Null)"),('NFET Data'!$AD115&lt;&gt;"(Null)"),('NFET Data'!$AC115&lt;&gt;"(Null)")))</f>
        <v>0</v>
      </c>
      <c r="N115" s="20" t="b">
        <f>AND(((VGS_DR)&gt;=6),((VGS_DR)&lt;8),OR(('NFET Data'!$AG115&lt;&gt;"(Null)"),('NFET Data'!$AF115&lt;&gt;"(Null)"),('NFET Data'!$AE115&lt;&gt;"(Null)"),('NFET Data'!$AD115&lt;&gt;"(Null)"),('NFET Data'!$AC115&lt;&gt;"(Null)")))</f>
        <v>0</v>
      </c>
      <c r="O115" s="20" t="b">
        <f>AND(((VGS_DR)&gt;=8),((VGS_DR)&lt;10),OR(('NFET Data'!$AH115&lt;&gt;"(Null)"),('NFET Data'!$AG115&lt;&gt;"(Null)"),('NFET Data'!$AF115&lt;&gt;"(Null)"),('NFET Data'!$AE115&lt;&gt;"(Null)"),('NFET Data'!$AD115&lt;&gt;"(Null)"),('NFET Data'!$AC115&lt;&gt;"(Null)")))</f>
        <v>0</v>
      </c>
      <c r="P115" s="20" t="b">
        <f>AND(((VGS_DR)&gt;=10),OR(('NFET Data'!$AI115&lt;&gt;"(Null)"),('NFET Data'!$AH115&lt;&gt;"(Null)"),('NFET Data'!$AG115&lt;&gt;"(Null)"),('NFET Data'!$AF115&lt;&gt;"(Null)"),('NFET Data'!$AE115&lt;&gt;"(Null)"),('NFET Data'!$AD115&lt;&gt;"(Null)"),('NFET Data'!$AC115&lt;&gt;"(Null)")))</f>
        <v>0</v>
      </c>
      <c r="Q115" s="20" t="b">
        <f t="shared" si="10"/>
        <v>0</v>
      </c>
      <c r="R115" s="20" t="b">
        <f t="shared" si="11"/>
        <v>0</v>
      </c>
    </row>
    <row r="116" spans="1:18" x14ac:dyDescent="0.25">
      <c r="A116" s="20" t="str">
        <f>IF(R116,Load_Switch_NFET[[#This Row],[PARTNUMBER]],"")</f>
        <v/>
      </c>
      <c r="B116"/>
      <c r="C116" s="20" t="b">
        <f>AND((Load_Switch_NFET[[#This Row],[VDSMAX]]&gt;=Vi*1.1),(Load_Switch_NFET[[#This Row],[VGSMAX]]&gt;=(VGS_DR)*1.1),(Load_Switch_NFET[[#This Row],[IDSMAX]]&gt;=Io),VGS_DR&gt;=1.8)</f>
        <v>1</v>
      </c>
      <c r="D116" s="20" t="b">
        <f>AND(Vi&lt;=27,Load_Switch_NFET[[#This Row],[VDSMAX]]&lt;=30)</f>
        <v>0</v>
      </c>
      <c r="E116" s="20" t="b">
        <f>AND(Vi&lt;=36,Vi&gt;=20,Load_Switch_NFET[[#This Row],[VDSMAX]]=40)</f>
        <v>0</v>
      </c>
      <c r="F116" s="20" t="b">
        <f>AND(Vi&lt;=54,Vi&gt;=25,Load_Switch_NFET[[#This Row],[VDSMAX]]=60)</f>
        <v>0</v>
      </c>
      <c r="G116" s="20" t="b">
        <f>AND(Vi&lt;=72,Vi&gt;=36,Load_Switch_NFET[[#This Row],[VDSMAX]]=80)</f>
        <v>0</v>
      </c>
      <c r="H116" s="20" t="b">
        <f>AND(Vi&lt;=90,Vi&gt;=48,Load_Switch_NFET[[#This Row],[VDSMAX]]=100)</f>
        <v>0</v>
      </c>
      <c r="I116" s="20" t="b">
        <f t="shared" si="9"/>
        <v>0</v>
      </c>
      <c r="J116" s="20" t="b">
        <f>AND(((VGS_DR)&lt;2.5),('NFET Data'!$AC116&lt;&gt;"(Null)"))</f>
        <v>0</v>
      </c>
      <c r="K116" s="20" t="b">
        <f>AND(((VGS_DR)&gt;=2.5),((VGS_DR)&lt;3),OR(('NFET Data'!$AD116&lt;&gt;"(Null)"),('NFET Data'!$AC116&lt;&gt;"(Null)")))</f>
        <v>0</v>
      </c>
      <c r="L116" s="20" t="b">
        <f>AND(((VGS_DR)&gt;=3),((VGS_DR)&lt;4.5),OR(('NFET Data'!$AE116&lt;&gt;"(Null)"),('NFET Data'!$AD116&lt;&gt;"(Null)"),('NFET Data'!$AC116&lt;&gt;"(Null)")))</f>
        <v>0</v>
      </c>
      <c r="M116" s="20" t="b">
        <f>AND(((VGS_DR)&gt;=4.5),((VGS_DR)&lt;6),OR(('NFET Data'!$AF116&lt;&gt;"(Null)"),('NFET Data'!$AE116&lt;&gt;"(Null)"),('NFET Data'!$AD116&lt;&gt;"(Null)"),('NFET Data'!$AC116&lt;&gt;"(Null)")))</f>
        <v>1</v>
      </c>
      <c r="N116" s="20" t="b">
        <f>AND(((VGS_DR)&gt;=6),((VGS_DR)&lt;8),OR(('NFET Data'!$AG116&lt;&gt;"(Null)"),('NFET Data'!$AF116&lt;&gt;"(Null)"),('NFET Data'!$AE116&lt;&gt;"(Null)"),('NFET Data'!$AD116&lt;&gt;"(Null)"),('NFET Data'!$AC116&lt;&gt;"(Null)")))</f>
        <v>0</v>
      </c>
      <c r="O116" s="20" t="b">
        <f>AND(((VGS_DR)&gt;=8),((VGS_DR)&lt;10),OR(('NFET Data'!$AH116&lt;&gt;"(Null)"),('NFET Data'!$AG116&lt;&gt;"(Null)"),('NFET Data'!$AF116&lt;&gt;"(Null)"),('NFET Data'!$AE116&lt;&gt;"(Null)"),('NFET Data'!$AD116&lt;&gt;"(Null)"),('NFET Data'!$AC116&lt;&gt;"(Null)")))</f>
        <v>0</v>
      </c>
      <c r="P116" s="20" t="b">
        <f>AND(((VGS_DR)&gt;=10),OR(('NFET Data'!$AI116&lt;&gt;"(Null)"),('NFET Data'!$AH116&lt;&gt;"(Null)"),('NFET Data'!$AG116&lt;&gt;"(Null)"),('NFET Data'!$AF116&lt;&gt;"(Null)"),('NFET Data'!$AE116&lt;&gt;"(Null)"),('NFET Data'!$AD116&lt;&gt;"(Null)"),('NFET Data'!$AC116&lt;&gt;"(Null)")))</f>
        <v>0</v>
      </c>
      <c r="Q116" s="20" t="b">
        <f t="shared" si="10"/>
        <v>1</v>
      </c>
      <c r="R116" s="20" t="b">
        <f t="shared" si="11"/>
        <v>0</v>
      </c>
    </row>
    <row r="117" spans="1:18" x14ac:dyDescent="0.25">
      <c r="A117" s="20" t="str">
        <f>IF(R117,Load_Switch_NFET[[#This Row],[PARTNUMBER]],"")</f>
        <v/>
      </c>
      <c r="B117"/>
      <c r="C117" s="20" t="b">
        <f>AND((Load_Switch_NFET[[#This Row],[VDSMAX]]&gt;=Vi*1.1),(Load_Switch_NFET[[#This Row],[VGSMAX]]&gt;=(VGS_DR)*1.1),(Load_Switch_NFET[[#This Row],[IDSMAX]]&gt;=Io),VGS_DR&gt;=1.8)</f>
        <v>1</v>
      </c>
      <c r="D117" s="20" t="b">
        <f>AND(Vi&lt;=27,Load_Switch_NFET[[#This Row],[VDSMAX]]&lt;=30)</f>
        <v>0</v>
      </c>
      <c r="E117" s="20" t="b">
        <f>AND(Vi&lt;=36,Vi&gt;=20,Load_Switch_NFET[[#This Row],[VDSMAX]]=40)</f>
        <v>0</v>
      </c>
      <c r="F117" s="20" t="b">
        <f>AND(Vi&lt;=54,Vi&gt;=25,Load_Switch_NFET[[#This Row],[VDSMAX]]=60)</f>
        <v>0</v>
      </c>
      <c r="G117" s="20" t="b">
        <f>AND(Vi&lt;=72,Vi&gt;=36,Load_Switch_NFET[[#This Row],[VDSMAX]]=80)</f>
        <v>0</v>
      </c>
      <c r="H117" s="20" t="b">
        <f>AND(Vi&lt;=90,Vi&gt;=48,Load_Switch_NFET[[#This Row],[VDSMAX]]=100)</f>
        <v>0</v>
      </c>
      <c r="I117" s="20" t="b">
        <f t="shared" si="9"/>
        <v>0</v>
      </c>
      <c r="J117" s="20" t="b">
        <f>AND(((VGS_DR)&lt;2.5),('NFET Data'!$AC117&lt;&gt;"(Null)"))</f>
        <v>0</v>
      </c>
      <c r="K117" s="20" t="b">
        <f>AND(((VGS_DR)&gt;=2.5),((VGS_DR)&lt;3),OR(('NFET Data'!$AD117&lt;&gt;"(Null)"),('NFET Data'!$AC117&lt;&gt;"(Null)")))</f>
        <v>0</v>
      </c>
      <c r="L117" s="20" t="b">
        <f>AND(((VGS_DR)&gt;=3),((VGS_DR)&lt;4.5),OR(('NFET Data'!$AE117&lt;&gt;"(Null)"),('NFET Data'!$AD117&lt;&gt;"(Null)"),('NFET Data'!$AC117&lt;&gt;"(Null)")))</f>
        <v>0</v>
      </c>
      <c r="M117" s="20" t="b">
        <f>AND(((VGS_DR)&gt;=4.5),((VGS_DR)&lt;6),OR(('NFET Data'!$AF117&lt;&gt;"(Null)"),('NFET Data'!$AE117&lt;&gt;"(Null)"),('NFET Data'!$AD117&lt;&gt;"(Null)"),('NFET Data'!$AC117&lt;&gt;"(Null)")))</f>
        <v>1</v>
      </c>
      <c r="N117" s="20" t="b">
        <f>AND(((VGS_DR)&gt;=6),((VGS_DR)&lt;8),OR(('NFET Data'!$AG117&lt;&gt;"(Null)"),('NFET Data'!$AF117&lt;&gt;"(Null)"),('NFET Data'!$AE117&lt;&gt;"(Null)"),('NFET Data'!$AD117&lt;&gt;"(Null)"),('NFET Data'!$AC117&lt;&gt;"(Null)")))</f>
        <v>0</v>
      </c>
      <c r="O117" s="20" t="b">
        <f>AND(((VGS_DR)&gt;=8),((VGS_DR)&lt;10),OR(('NFET Data'!$AH117&lt;&gt;"(Null)"),('NFET Data'!$AG117&lt;&gt;"(Null)"),('NFET Data'!$AF117&lt;&gt;"(Null)"),('NFET Data'!$AE117&lt;&gt;"(Null)"),('NFET Data'!$AD117&lt;&gt;"(Null)"),('NFET Data'!$AC117&lt;&gt;"(Null)")))</f>
        <v>0</v>
      </c>
      <c r="P117" s="20" t="b">
        <f>AND(((VGS_DR)&gt;=10),OR(('NFET Data'!$AI117&lt;&gt;"(Null)"),('NFET Data'!$AH117&lt;&gt;"(Null)"),('NFET Data'!$AG117&lt;&gt;"(Null)"),('NFET Data'!$AF117&lt;&gt;"(Null)"),('NFET Data'!$AE117&lt;&gt;"(Null)"),('NFET Data'!$AD117&lt;&gt;"(Null)"),('NFET Data'!$AC117&lt;&gt;"(Null)")))</f>
        <v>0</v>
      </c>
      <c r="Q117" s="20" t="b">
        <f t="shared" si="10"/>
        <v>1</v>
      </c>
      <c r="R117" s="20" t="b">
        <f t="shared" si="11"/>
        <v>0</v>
      </c>
    </row>
    <row r="118" spans="1:18" x14ac:dyDescent="0.25">
      <c r="A118" s="20" t="str">
        <f>IF(R118,Load_Switch_NFET[[#This Row],[PARTNUMBER]],"")</f>
        <v/>
      </c>
      <c r="B118"/>
      <c r="C118" s="20" t="b">
        <f>AND((Load_Switch_NFET[[#This Row],[VDSMAX]]&gt;=Vi*1.1),(Load_Switch_NFET[[#This Row],[VGSMAX]]&gt;=(VGS_DR)*1.1),(Load_Switch_NFET[[#This Row],[IDSMAX]]&gt;=Io),VGS_DR&gt;=1.8)</f>
        <v>1</v>
      </c>
      <c r="D118" s="20" t="b">
        <f>AND(Vi&lt;=27,Load_Switch_NFET[[#This Row],[VDSMAX]]&lt;=30)</f>
        <v>0</v>
      </c>
      <c r="E118" s="20" t="b">
        <f>AND(Vi&lt;=36,Vi&gt;=20,Load_Switch_NFET[[#This Row],[VDSMAX]]=40)</f>
        <v>0</v>
      </c>
      <c r="F118" s="20" t="b">
        <f>AND(Vi&lt;=54,Vi&gt;=25,Load_Switch_NFET[[#This Row],[VDSMAX]]=60)</f>
        <v>0</v>
      </c>
      <c r="G118" s="20" t="b">
        <f>AND(Vi&lt;=72,Vi&gt;=36,Load_Switch_NFET[[#This Row],[VDSMAX]]=80)</f>
        <v>0</v>
      </c>
      <c r="H118" s="20" t="b">
        <f>AND(Vi&lt;=90,Vi&gt;=48,Load_Switch_NFET[[#This Row],[VDSMAX]]=100)</f>
        <v>0</v>
      </c>
      <c r="I118" s="20" t="b">
        <f t="shared" si="9"/>
        <v>0</v>
      </c>
      <c r="J118" s="20" t="b">
        <f>AND(((VGS_DR)&lt;2.5),('NFET Data'!$AC118&lt;&gt;"(Null)"))</f>
        <v>0</v>
      </c>
      <c r="K118" s="20" t="b">
        <f>AND(((VGS_DR)&gt;=2.5),((VGS_DR)&lt;3),OR(('NFET Data'!$AD118&lt;&gt;"(Null)"),('NFET Data'!$AC118&lt;&gt;"(Null)")))</f>
        <v>0</v>
      </c>
      <c r="L118" s="20" t="b">
        <f>AND(((VGS_DR)&gt;=3),((VGS_DR)&lt;4.5),OR(('NFET Data'!$AE118&lt;&gt;"(Null)"),('NFET Data'!$AD118&lt;&gt;"(Null)"),('NFET Data'!$AC118&lt;&gt;"(Null)")))</f>
        <v>0</v>
      </c>
      <c r="M118" s="20" t="b">
        <f>AND(((VGS_DR)&gt;=4.5),((VGS_DR)&lt;6),OR(('NFET Data'!$AF118&lt;&gt;"(Null)"),('NFET Data'!$AE118&lt;&gt;"(Null)"),('NFET Data'!$AD118&lt;&gt;"(Null)"),('NFET Data'!$AC118&lt;&gt;"(Null)")))</f>
        <v>1</v>
      </c>
      <c r="N118" s="20" t="b">
        <f>AND(((VGS_DR)&gt;=6),((VGS_DR)&lt;8),OR(('NFET Data'!$AG118&lt;&gt;"(Null)"),('NFET Data'!$AF118&lt;&gt;"(Null)"),('NFET Data'!$AE118&lt;&gt;"(Null)"),('NFET Data'!$AD118&lt;&gt;"(Null)"),('NFET Data'!$AC118&lt;&gt;"(Null)")))</f>
        <v>0</v>
      </c>
      <c r="O118" s="20" t="b">
        <f>AND(((VGS_DR)&gt;=8),((VGS_DR)&lt;10),OR(('NFET Data'!$AH118&lt;&gt;"(Null)"),('NFET Data'!$AG118&lt;&gt;"(Null)"),('NFET Data'!$AF118&lt;&gt;"(Null)"),('NFET Data'!$AE118&lt;&gt;"(Null)"),('NFET Data'!$AD118&lt;&gt;"(Null)"),('NFET Data'!$AC118&lt;&gt;"(Null)")))</f>
        <v>0</v>
      </c>
      <c r="P118" s="20" t="b">
        <f>AND(((VGS_DR)&gt;=10),OR(('NFET Data'!$AI118&lt;&gt;"(Null)"),('NFET Data'!$AH118&lt;&gt;"(Null)"),('NFET Data'!$AG118&lt;&gt;"(Null)"),('NFET Data'!$AF118&lt;&gt;"(Null)"),('NFET Data'!$AE118&lt;&gt;"(Null)"),('NFET Data'!$AD118&lt;&gt;"(Null)"),('NFET Data'!$AC118&lt;&gt;"(Null)")))</f>
        <v>0</v>
      </c>
      <c r="Q118" s="20" t="b">
        <f t="shared" si="10"/>
        <v>1</v>
      </c>
      <c r="R118" s="20" t="b">
        <f t="shared" si="11"/>
        <v>0</v>
      </c>
    </row>
    <row r="119" spans="1:18" x14ac:dyDescent="0.25">
      <c r="A119" s="20" t="str">
        <f>IF(R119,Load_Switch_NFET[[#This Row],[PARTNUMBER]],"")</f>
        <v/>
      </c>
      <c r="B119"/>
      <c r="C119" s="20" t="b">
        <f>AND((Load_Switch_NFET[[#This Row],[VDSMAX]]&gt;=Vi*1.1),(Load_Switch_NFET[[#This Row],[VGSMAX]]&gt;=(VGS_DR)*1.1),(Load_Switch_NFET[[#This Row],[IDSMAX]]&gt;=Io),VGS_DR&gt;=1.8)</f>
        <v>1</v>
      </c>
      <c r="D119" s="20" t="b">
        <f>AND(Vi&lt;=27,Load_Switch_NFET[[#This Row],[VDSMAX]]&lt;=30)</f>
        <v>0</v>
      </c>
      <c r="E119" s="20" t="b">
        <f>AND(Vi&lt;=36,Vi&gt;=20,Load_Switch_NFET[[#This Row],[VDSMAX]]=40)</f>
        <v>0</v>
      </c>
      <c r="F119" s="20" t="b">
        <f>AND(Vi&lt;=54,Vi&gt;=25,Load_Switch_NFET[[#This Row],[VDSMAX]]=60)</f>
        <v>0</v>
      </c>
      <c r="G119" s="20" t="b">
        <f>AND(Vi&lt;=72,Vi&gt;=36,Load_Switch_NFET[[#This Row],[VDSMAX]]=80)</f>
        <v>0</v>
      </c>
      <c r="H119" s="20" t="b">
        <f>AND(Vi&lt;=90,Vi&gt;=48,Load_Switch_NFET[[#This Row],[VDSMAX]]=100)</f>
        <v>0</v>
      </c>
      <c r="I119" s="20" t="b">
        <f t="shared" si="9"/>
        <v>0</v>
      </c>
      <c r="J119" s="20" t="b">
        <f>AND(((VGS_DR)&lt;2.5),('NFET Data'!$AC119&lt;&gt;"(Null)"))</f>
        <v>0</v>
      </c>
      <c r="K119" s="20" t="b">
        <f>AND(((VGS_DR)&gt;=2.5),((VGS_DR)&lt;3),OR(('NFET Data'!$AD119&lt;&gt;"(Null)"),('NFET Data'!$AC119&lt;&gt;"(Null)")))</f>
        <v>0</v>
      </c>
      <c r="L119" s="20" t="b">
        <f>AND(((VGS_DR)&gt;=3),((VGS_DR)&lt;4.5),OR(('NFET Data'!$AE119&lt;&gt;"(Null)"),('NFET Data'!$AD119&lt;&gt;"(Null)"),('NFET Data'!$AC119&lt;&gt;"(Null)")))</f>
        <v>0</v>
      </c>
      <c r="M119" s="20" t="b">
        <f>AND(((VGS_DR)&gt;=4.5),((VGS_DR)&lt;6),OR(('NFET Data'!$AF119&lt;&gt;"(Null)"),('NFET Data'!$AE119&lt;&gt;"(Null)"),('NFET Data'!$AD119&lt;&gt;"(Null)"),('NFET Data'!$AC119&lt;&gt;"(Null)")))</f>
        <v>1</v>
      </c>
      <c r="N119" s="20" t="b">
        <f>AND(((VGS_DR)&gt;=6),((VGS_DR)&lt;8),OR(('NFET Data'!$AG119&lt;&gt;"(Null)"),('NFET Data'!$AF119&lt;&gt;"(Null)"),('NFET Data'!$AE119&lt;&gt;"(Null)"),('NFET Data'!$AD119&lt;&gt;"(Null)"),('NFET Data'!$AC119&lt;&gt;"(Null)")))</f>
        <v>0</v>
      </c>
      <c r="O119" s="20" t="b">
        <f>AND(((VGS_DR)&gt;=8),((VGS_DR)&lt;10),OR(('NFET Data'!$AH119&lt;&gt;"(Null)"),('NFET Data'!$AG119&lt;&gt;"(Null)"),('NFET Data'!$AF119&lt;&gt;"(Null)"),('NFET Data'!$AE119&lt;&gt;"(Null)"),('NFET Data'!$AD119&lt;&gt;"(Null)"),('NFET Data'!$AC119&lt;&gt;"(Null)")))</f>
        <v>0</v>
      </c>
      <c r="P119" s="20" t="b">
        <f>AND(((VGS_DR)&gt;=10),OR(('NFET Data'!$AI119&lt;&gt;"(Null)"),('NFET Data'!$AH119&lt;&gt;"(Null)"),('NFET Data'!$AG119&lt;&gt;"(Null)"),('NFET Data'!$AF119&lt;&gt;"(Null)"),('NFET Data'!$AE119&lt;&gt;"(Null)"),('NFET Data'!$AD119&lt;&gt;"(Null)"),('NFET Data'!$AC119&lt;&gt;"(Null)")))</f>
        <v>0</v>
      </c>
      <c r="Q119" s="20" t="b">
        <f t="shared" si="10"/>
        <v>1</v>
      </c>
      <c r="R119" s="20" t="b">
        <f t="shared" si="11"/>
        <v>0</v>
      </c>
    </row>
    <row r="120" spans="1:18" x14ac:dyDescent="0.25">
      <c r="A120" s="20" t="str">
        <f>IF(R120,Load_Switch_NFET[[#This Row],[PARTNUMBER]],"")</f>
        <v/>
      </c>
      <c r="B120"/>
      <c r="C120" s="20" t="b">
        <f>AND((Load_Switch_NFET[[#This Row],[VDSMAX]]&gt;=Vi*1.1),(Load_Switch_NFET[[#This Row],[VGSMAX]]&gt;=(VGS_DR)*1.1),(Load_Switch_NFET[[#This Row],[IDSMAX]]&gt;=Io),VGS_DR&gt;=1.8)</f>
        <v>1</v>
      </c>
      <c r="D120" s="20" t="b">
        <f>AND(Vi&lt;=27,Load_Switch_NFET[[#This Row],[VDSMAX]]&lt;=30)</f>
        <v>0</v>
      </c>
      <c r="E120" s="20" t="b">
        <f>AND(Vi&lt;=36,Vi&gt;=20,Load_Switch_NFET[[#This Row],[VDSMAX]]=40)</f>
        <v>0</v>
      </c>
      <c r="F120" s="20" t="b">
        <f>AND(Vi&lt;=54,Vi&gt;=25,Load_Switch_NFET[[#This Row],[VDSMAX]]=60)</f>
        <v>0</v>
      </c>
      <c r="G120" s="20" t="b">
        <f>AND(Vi&lt;=72,Vi&gt;=36,Load_Switch_NFET[[#This Row],[VDSMAX]]=80)</f>
        <v>0</v>
      </c>
      <c r="H120" s="20" t="b">
        <f>AND(Vi&lt;=90,Vi&gt;=48,Load_Switch_NFET[[#This Row],[VDSMAX]]=100)</f>
        <v>0</v>
      </c>
      <c r="I120" s="20" t="b">
        <f t="shared" si="9"/>
        <v>0</v>
      </c>
      <c r="J120" s="20" t="b">
        <f>AND(((VGS_DR)&lt;2.5),('NFET Data'!$AC120&lt;&gt;"(Null)"))</f>
        <v>0</v>
      </c>
      <c r="K120" s="20" t="b">
        <f>AND(((VGS_DR)&gt;=2.5),((VGS_DR)&lt;3),OR(('NFET Data'!$AD120&lt;&gt;"(Null)"),('NFET Data'!$AC120&lt;&gt;"(Null)")))</f>
        <v>0</v>
      </c>
      <c r="L120" s="20" t="b">
        <f>AND(((VGS_DR)&gt;=3),((VGS_DR)&lt;4.5),OR(('NFET Data'!$AE120&lt;&gt;"(Null)"),('NFET Data'!$AD120&lt;&gt;"(Null)"),('NFET Data'!$AC120&lt;&gt;"(Null)")))</f>
        <v>0</v>
      </c>
      <c r="M120" s="20" t="b">
        <f>AND(((VGS_DR)&gt;=4.5),((VGS_DR)&lt;6),OR(('NFET Data'!$AF120&lt;&gt;"(Null)"),('NFET Data'!$AE120&lt;&gt;"(Null)"),('NFET Data'!$AD120&lt;&gt;"(Null)"),('NFET Data'!$AC120&lt;&gt;"(Null)")))</f>
        <v>1</v>
      </c>
      <c r="N120" s="20" t="b">
        <f>AND(((VGS_DR)&gt;=6),((VGS_DR)&lt;8),OR(('NFET Data'!$AG120&lt;&gt;"(Null)"),('NFET Data'!$AF120&lt;&gt;"(Null)"),('NFET Data'!$AE120&lt;&gt;"(Null)"),('NFET Data'!$AD120&lt;&gt;"(Null)"),('NFET Data'!$AC120&lt;&gt;"(Null)")))</f>
        <v>0</v>
      </c>
      <c r="O120" s="20" t="b">
        <f>AND(((VGS_DR)&gt;=8),((VGS_DR)&lt;10),OR(('NFET Data'!$AH120&lt;&gt;"(Null)"),('NFET Data'!$AG120&lt;&gt;"(Null)"),('NFET Data'!$AF120&lt;&gt;"(Null)"),('NFET Data'!$AE120&lt;&gt;"(Null)"),('NFET Data'!$AD120&lt;&gt;"(Null)"),('NFET Data'!$AC120&lt;&gt;"(Null)")))</f>
        <v>0</v>
      </c>
      <c r="P120" s="20" t="b">
        <f>AND(((VGS_DR)&gt;=10),OR(('NFET Data'!$AI120&lt;&gt;"(Null)"),('NFET Data'!$AH120&lt;&gt;"(Null)"),('NFET Data'!$AG120&lt;&gt;"(Null)"),('NFET Data'!$AF120&lt;&gt;"(Null)"),('NFET Data'!$AE120&lt;&gt;"(Null)"),('NFET Data'!$AD120&lt;&gt;"(Null)"),('NFET Data'!$AC120&lt;&gt;"(Null)")))</f>
        <v>0</v>
      </c>
      <c r="Q120" s="20" t="b">
        <f t="shared" si="10"/>
        <v>1</v>
      </c>
      <c r="R120" s="20" t="b">
        <f t="shared" si="11"/>
        <v>0</v>
      </c>
    </row>
    <row r="121" spans="1:18" x14ac:dyDescent="0.25">
      <c r="A121" s="20" t="str">
        <f>IF(R121,Load_Switch_NFET[[#This Row],[PARTNUMBER]],"")</f>
        <v/>
      </c>
      <c r="B121"/>
      <c r="C121" s="20" t="b">
        <f>AND((Load_Switch_NFET[[#This Row],[VDSMAX]]&gt;=Vi*1.1),(Load_Switch_NFET[[#This Row],[VGSMAX]]&gt;=(VGS_DR)*1.1),(Load_Switch_NFET[[#This Row],[IDSMAX]]&gt;=Io),VGS_DR&gt;=1.8)</f>
        <v>1</v>
      </c>
      <c r="D121" s="20" t="b">
        <f>AND(Vi&lt;=27,Load_Switch_NFET[[#This Row],[VDSMAX]]&lt;=30)</f>
        <v>0</v>
      </c>
      <c r="E121" s="20" t="b">
        <f>AND(Vi&lt;=36,Vi&gt;=20,Load_Switch_NFET[[#This Row],[VDSMAX]]=40)</f>
        <v>0</v>
      </c>
      <c r="F121" s="20" t="b">
        <f>AND(Vi&lt;=54,Vi&gt;=25,Load_Switch_NFET[[#This Row],[VDSMAX]]=60)</f>
        <v>0</v>
      </c>
      <c r="G121" s="20" t="b">
        <f>AND(Vi&lt;=72,Vi&gt;=36,Load_Switch_NFET[[#This Row],[VDSMAX]]=80)</f>
        <v>0</v>
      </c>
      <c r="H121" s="20" t="b">
        <f>AND(Vi&lt;=90,Vi&gt;=48,Load_Switch_NFET[[#This Row],[VDSMAX]]=100)</f>
        <v>0</v>
      </c>
      <c r="I121" s="20" t="b">
        <f t="shared" si="9"/>
        <v>0</v>
      </c>
      <c r="J121" s="20" t="b">
        <f>AND(((VGS_DR)&lt;2.5),('NFET Data'!$AC121&lt;&gt;"(Null)"))</f>
        <v>0</v>
      </c>
      <c r="K121" s="20" t="b">
        <f>AND(((VGS_DR)&gt;=2.5),((VGS_DR)&lt;3),OR(('NFET Data'!$AD121&lt;&gt;"(Null)"),('NFET Data'!$AC121&lt;&gt;"(Null)")))</f>
        <v>0</v>
      </c>
      <c r="L121" s="20" t="b">
        <f>AND(((VGS_DR)&gt;=3),((VGS_DR)&lt;4.5),OR(('NFET Data'!$AE121&lt;&gt;"(Null)"),('NFET Data'!$AD121&lt;&gt;"(Null)"),('NFET Data'!$AC121&lt;&gt;"(Null)")))</f>
        <v>0</v>
      </c>
      <c r="M121" s="20" t="b">
        <f>AND(((VGS_DR)&gt;=4.5),((VGS_DR)&lt;6),OR(('NFET Data'!$AF121&lt;&gt;"(Null)"),('NFET Data'!$AE121&lt;&gt;"(Null)"),('NFET Data'!$AD121&lt;&gt;"(Null)"),('NFET Data'!$AC121&lt;&gt;"(Null)")))</f>
        <v>1</v>
      </c>
      <c r="N121" s="20" t="b">
        <f>AND(((VGS_DR)&gt;=6),((VGS_DR)&lt;8),OR(('NFET Data'!$AG121&lt;&gt;"(Null)"),('NFET Data'!$AF121&lt;&gt;"(Null)"),('NFET Data'!$AE121&lt;&gt;"(Null)"),('NFET Data'!$AD121&lt;&gt;"(Null)"),('NFET Data'!$AC121&lt;&gt;"(Null)")))</f>
        <v>0</v>
      </c>
      <c r="O121" s="20" t="b">
        <f>AND(((VGS_DR)&gt;=8),((VGS_DR)&lt;10),OR(('NFET Data'!$AH121&lt;&gt;"(Null)"),('NFET Data'!$AG121&lt;&gt;"(Null)"),('NFET Data'!$AF121&lt;&gt;"(Null)"),('NFET Data'!$AE121&lt;&gt;"(Null)"),('NFET Data'!$AD121&lt;&gt;"(Null)"),('NFET Data'!$AC121&lt;&gt;"(Null)")))</f>
        <v>0</v>
      </c>
      <c r="P121" s="20" t="b">
        <f>AND(((VGS_DR)&gt;=10),OR(('NFET Data'!$AI121&lt;&gt;"(Null)"),('NFET Data'!$AH121&lt;&gt;"(Null)"),('NFET Data'!$AG121&lt;&gt;"(Null)"),('NFET Data'!$AF121&lt;&gt;"(Null)"),('NFET Data'!$AE121&lt;&gt;"(Null)"),('NFET Data'!$AD121&lt;&gt;"(Null)"),('NFET Data'!$AC121&lt;&gt;"(Null)")))</f>
        <v>0</v>
      </c>
      <c r="Q121" s="20" t="b">
        <f t="shared" si="10"/>
        <v>1</v>
      </c>
      <c r="R121" s="20" t="b">
        <f t="shared" si="11"/>
        <v>0</v>
      </c>
    </row>
    <row r="122" spans="1:18" x14ac:dyDescent="0.25">
      <c r="A122" s="20" t="str">
        <f>IF(R122,Load_Switch_NFET[[#This Row],[PARTNUMBER]],"")</f>
        <v/>
      </c>
      <c r="B122"/>
      <c r="C122" s="20" t="b">
        <f>AND((Load_Switch_NFET[[#This Row],[VDSMAX]]&gt;=Vi*1.1),(Load_Switch_NFET[[#This Row],[VGSMAX]]&gt;=(VGS_DR)*1.1),(Load_Switch_NFET[[#This Row],[IDSMAX]]&gt;=Io),VGS_DR&gt;=1.8)</f>
        <v>1</v>
      </c>
      <c r="D122" s="20" t="b">
        <f>AND(Vi&lt;=27,Load_Switch_NFET[[#This Row],[VDSMAX]]&lt;=30)</f>
        <v>0</v>
      </c>
      <c r="E122" s="20" t="b">
        <f>AND(Vi&lt;=36,Vi&gt;=20,Load_Switch_NFET[[#This Row],[VDSMAX]]=40)</f>
        <v>0</v>
      </c>
      <c r="F122" s="20" t="b">
        <f>AND(Vi&lt;=54,Vi&gt;=25,Load_Switch_NFET[[#This Row],[VDSMAX]]=60)</f>
        <v>0</v>
      </c>
      <c r="G122" s="20" t="b">
        <f>AND(Vi&lt;=72,Vi&gt;=36,Load_Switch_NFET[[#This Row],[VDSMAX]]=80)</f>
        <v>0</v>
      </c>
      <c r="H122" s="20" t="b">
        <f>AND(Vi&lt;=90,Vi&gt;=48,Load_Switch_NFET[[#This Row],[VDSMAX]]=100)</f>
        <v>0</v>
      </c>
      <c r="I122" s="20" t="b">
        <f t="shared" si="9"/>
        <v>0</v>
      </c>
      <c r="J122" s="20" t="b">
        <f>AND(((VGS_DR)&lt;2.5),('NFET Data'!$AC122&lt;&gt;"(Null)"))</f>
        <v>0</v>
      </c>
      <c r="K122" s="20" t="b">
        <f>AND(((VGS_DR)&gt;=2.5),((VGS_DR)&lt;3),OR(('NFET Data'!$AD122&lt;&gt;"(Null)"),('NFET Data'!$AC122&lt;&gt;"(Null)")))</f>
        <v>0</v>
      </c>
      <c r="L122" s="20" t="b">
        <f>AND(((VGS_DR)&gt;=3),((VGS_DR)&lt;4.5),OR(('NFET Data'!$AE122&lt;&gt;"(Null)"),('NFET Data'!$AD122&lt;&gt;"(Null)"),('NFET Data'!$AC122&lt;&gt;"(Null)")))</f>
        <v>0</v>
      </c>
      <c r="M122" s="20" t="b">
        <f>AND(((VGS_DR)&gt;=4.5),((VGS_DR)&lt;6),OR(('NFET Data'!$AF122&lt;&gt;"(Null)"),('NFET Data'!$AE122&lt;&gt;"(Null)"),('NFET Data'!$AD122&lt;&gt;"(Null)"),('NFET Data'!$AC122&lt;&gt;"(Null)")))</f>
        <v>0</v>
      </c>
      <c r="N122" s="20" t="b">
        <f>AND(((VGS_DR)&gt;=6),((VGS_DR)&lt;8),OR(('NFET Data'!$AG122&lt;&gt;"(Null)"),('NFET Data'!$AF122&lt;&gt;"(Null)"),('NFET Data'!$AE122&lt;&gt;"(Null)"),('NFET Data'!$AD122&lt;&gt;"(Null)"),('NFET Data'!$AC122&lt;&gt;"(Null)")))</f>
        <v>0</v>
      </c>
      <c r="O122" s="20" t="b">
        <f>AND(((VGS_DR)&gt;=8),((VGS_DR)&lt;10),OR(('NFET Data'!$AH122&lt;&gt;"(Null)"),('NFET Data'!$AG122&lt;&gt;"(Null)"),('NFET Data'!$AF122&lt;&gt;"(Null)"),('NFET Data'!$AE122&lt;&gt;"(Null)"),('NFET Data'!$AD122&lt;&gt;"(Null)"),('NFET Data'!$AC122&lt;&gt;"(Null)")))</f>
        <v>0</v>
      </c>
      <c r="P122" s="20" t="b">
        <f>AND(((VGS_DR)&gt;=10),OR(('NFET Data'!$AI122&lt;&gt;"(Null)"),('NFET Data'!$AH122&lt;&gt;"(Null)"),('NFET Data'!$AG122&lt;&gt;"(Null)"),('NFET Data'!$AF122&lt;&gt;"(Null)"),('NFET Data'!$AE122&lt;&gt;"(Null)"),('NFET Data'!$AD122&lt;&gt;"(Null)"),('NFET Data'!$AC122&lt;&gt;"(Null)")))</f>
        <v>0</v>
      </c>
      <c r="Q122" s="20" t="b">
        <f t="shared" si="10"/>
        <v>0</v>
      </c>
      <c r="R122" s="20" t="b">
        <f t="shared" si="11"/>
        <v>0</v>
      </c>
    </row>
    <row r="123" spans="1:18" x14ac:dyDescent="0.25">
      <c r="A123" s="20" t="str">
        <f>IF(R123,Load_Switch_NFET[[#This Row],[PARTNUMBER]],"")</f>
        <v/>
      </c>
      <c r="B123"/>
      <c r="C123" s="20" t="b">
        <f>AND((Load_Switch_NFET[[#This Row],[VDSMAX]]&gt;=Vi*1.1),(Load_Switch_NFET[[#This Row],[VGSMAX]]&gt;=(VGS_DR)*1.1),(Load_Switch_NFET[[#This Row],[IDSMAX]]&gt;=Io),VGS_DR&gt;=1.8)</f>
        <v>1</v>
      </c>
      <c r="D123" s="20" t="b">
        <f>AND(Vi&lt;=27,Load_Switch_NFET[[#This Row],[VDSMAX]]&lt;=30)</f>
        <v>0</v>
      </c>
      <c r="E123" s="20" t="b">
        <f>AND(Vi&lt;=36,Vi&gt;=20,Load_Switch_NFET[[#This Row],[VDSMAX]]=40)</f>
        <v>0</v>
      </c>
      <c r="F123" s="20" t="b">
        <f>AND(Vi&lt;=54,Vi&gt;=25,Load_Switch_NFET[[#This Row],[VDSMAX]]=60)</f>
        <v>0</v>
      </c>
      <c r="G123" s="20" t="b">
        <f>AND(Vi&lt;=72,Vi&gt;=36,Load_Switch_NFET[[#This Row],[VDSMAX]]=80)</f>
        <v>0</v>
      </c>
      <c r="H123" s="20" t="b">
        <f>AND(Vi&lt;=90,Vi&gt;=48,Load_Switch_NFET[[#This Row],[VDSMAX]]=100)</f>
        <v>0</v>
      </c>
      <c r="I123" s="20" t="b">
        <f t="shared" si="9"/>
        <v>0</v>
      </c>
      <c r="J123" s="20" t="b">
        <f>AND(((VGS_DR)&lt;2.5),('NFET Data'!$AC123&lt;&gt;"(Null)"))</f>
        <v>0</v>
      </c>
      <c r="K123" s="20" t="b">
        <f>AND(((VGS_DR)&gt;=2.5),((VGS_DR)&lt;3),OR(('NFET Data'!$AD123&lt;&gt;"(Null)"),('NFET Data'!$AC123&lt;&gt;"(Null)")))</f>
        <v>0</v>
      </c>
      <c r="L123" s="20" t="b">
        <f>AND(((VGS_DR)&gt;=3),((VGS_DR)&lt;4.5),OR(('NFET Data'!$AE123&lt;&gt;"(Null)"),('NFET Data'!$AD123&lt;&gt;"(Null)"),('NFET Data'!$AC123&lt;&gt;"(Null)")))</f>
        <v>0</v>
      </c>
      <c r="M123" s="20" t="b">
        <f>AND(((VGS_DR)&gt;=4.5),((VGS_DR)&lt;6),OR(('NFET Data'!$AF123&lt;&gt;"(Null)"),('NFET Data'!$AE123&lt;&gt;"(Null)"),('NFET Data'!$AD123&lt;&gt;"(Null)"),('NFET Data'!$AC123&lt;&gt;"(Null)")))</f>
        <v>0</v>
      </c>
      <c r="N123" s="20" t="b">
        <f>AND(((VGS_DR)&gt;=6),((VGS_DR)&lt;8),OR(('NFET Data'!$AG123&lt;&gt;"(Null)"),('NFET Data'!$AF123&lt;&gt;"(Null)"),('NFET Data'!$AE123&lt;&gt;"(Null)"),('NFET Data'!$AD123&lt;&gt;"(Null)"),('NFET Data'!$AC123&lt;&gt;"(Null)")))</f>
        <v>0</v>
      </c>
      <c r="O123" s="20" t="b">
        <f>AND(((VGS_DR)&gt;=8),((VGS_DR)&lt;10),OR(('NFET Data'!$AH123&lt;&gt;"(Null)"),('NFET Data'!$AG123&lt;&gt;"(Null)"),('NFET Data'!$AF123&lt;&gt;"(Null)"),('NFET Data'!$AE123&lt;&gt;"(Null)"),('NFET Data'!$AD123&lt;&gt;"(Null)"),('NFET Data'!$AC123&lt;&gt;"(Null)")))</f>
        <v>0</v>
      </c>
      <c r="P123" s="20" t="b">
        <f>AND(((VGS_DR)&gt;=10),OR(('NFET Data'!$AI123&lt;&gt;"(Null)"),('NFET Data'!$AH123&lt;&gt;"(Null)"),('NFET Data'!$AG123&lt;&gt;"(Null)"),('NFET Data'!$AF123&lt;&gt;"(Null)"),('NFET Data'!$AE123&lt;&gt;"(Null)"),('NFET Data'!$AD123&lt;&gt;"(Null)"),('NFET Data'!$AC123&lt;&gt;"(Null)")))</f>
        <v>0</v>
      </c>
      <c r="Q123" s="20" t="b">
        <f t="shared" si="10"/>
        <v>0</v>
      </c>
      <c r="R123" s="20" t="b">
        <f t="shared" si="11"/>
        <v>0</v>
      </c>
    </row>
    <row r="124" spans="1:18" x14ac:dyDescent="0.25">
      <c r="A124" s="20" t="str">
        <f>IF(R124,Load_Switch_NFET[[#This Row],[PARTNUMBER]],"")</f>
        <v/>
      </c>
      <c r="B124"/>
      <c r="C124" s="20" t="b">
        <f>AND((Load_Switch_NFET[[#This Row],[VDSMAX]]&gt;=Vi*1.1),(Load_Switch_NFET[[#This Row],[VGSMAX]]&gt;=(VGS_DR)*1.1),(Load_Switch_NFET[[#This Row],[IDSMAX]]&gt;=Io),VGS_DR&gt;=1.8)</f>
        <v>1</v>
      </c>
      <c r="D124" s="20" t="b">
        <f>AND(Vi&lt;=27,Load_Switch_NFET[[#This Row],[VDSMAX]]&lt;=30)</f>
        <v>0</v>
      </c>
      <c r="E124" s="20" t="b">
        <f>AND(Vi&lt;=36,Vi&gt;=20,Load_Switch_NFET[[#This Row],[VDSMAX]]=40)</f>
        <v>0</v>
      </c>
      <c r="F124" s="20" t="b">
        <f>AND(Vi&lt;=54,Vi&gt;=25,Load_Switch_NFET[[#This Row],[VDSMAX]]=60)</f>
        <v>0</v>
      </c>
      <c r="G124" s="20" t="b">
        <f>AND(Vi&lt;=72,Vi&gt;=36,Load_Switch_NFET[[#This Row],[VDSMAX]]=80)</f>
        <v>0</v>
      </c>
      <c r="H124" s="20" t="b">
        <f>AND(Vi&lt;=90,Vi&gt;=48,Load_Switch_NFET[[#This Row],[VDSMAX]]=100)</f>
        <v>0</v>
      </c>
      <c r="I124" s="20" t="b">
        <f t="shared" si="9"/>
        <v>0</v>
      </c>
      <c r="J124" s="20" t="b">
        <f>AND(((VGS_DR)&lt;2.5),('NFET Data'!$AC124&lt;&gt;"(Null)"))</f>
        <v>0</v>
      </c>
      <c r="K124" s="20" t="b">
        <f>AND(((VGS_DR)&gt;=2.5),((VGS_DR)&lt;3),OR(('NFET Data'!$AD124&lt;&gt;"(Null)"),('NFET Data'!$AC124&lt;&gt;"(Null)")))</f>
        <v>0</v>
      </c>
      <c r="L124" s="20" t="b">
        <f>AND(((VGS_DR)&gt;=3),((VGS_DR)&lt;4.5),OR(('NFET Data'!$AE124&lt;&gt;"(Null)"),('NFET Data'!$AD124&lt;&gt;"(Null)"),('NFET Data'!$AC124&lt;&gt;"(Null)")))</f>
        <v>0</v>
      </c>
      <c r="M124" s="20" t="b">
        <f>AND(((VGS_DR)&gt;=4.5),((VGS_DR)&lt;6),OR(('NFET Data'!$AF124&lt;&gt;"(Null)"),('NFET Data'!$AE124&lt;&gt;"(Null)"),('NFET Data'!$AD124&lt;&gt;"(Null)"),('NFET Data'!$AC124&lt;&gt;"(Null)")))</f>
        <v>0</v>
      </c>
      <c r="N124" s="20" t="b">
        <f>AND(((VGS_DR)&gt;=6),((VGS_DR)&lt;8),OR(('NFET Data'!$AG124&lt;&gt;"(Null)"),('NFET Data'!$AF124&lt;&gt;"(Null)"),('NFET Data'!$AE124&lt;&gt;"(Null)"),('NFET Data'!$AD124&lt;&gt;"(Null)"),('NFET Data'!$AC124&lt;&gt;"(Null)")))</f>
        <v>0</v>
      </c>
      <c r="O124" s="20" t="b">
        <f>AND(((VGS_DR)&gt;=8),((VGS_DR)&lt;10),OR(('NFET Data'!$AH124&lt;&gt;"(Null)"),('NFET Data'!$AG124&lt;&gt;"(Null)"),('NFET Data'!$AF124&lt;&gt;"(Null)"),('NFET Data'!$AE124&lt;&gt;"(Null)"),('NFET Data'!$AD124&lt;&gt;"(Null)"),('NFET Data'!$AC124&lt;&gt;"(Null)")))</f>
        <v>0</v>
      </c>
      <c r="P124" s="20" t="b">
        <f>AND(((VGS_DR)&gt;=10),OR(('NFET Data'!$AI124&lt;&gt;"(Null)"),('NFET Data'!$AH124&lt;&gt;"(Null)"),('NFET Data'!$AG124&lt;&gt;"(Null)"),('NFET Data'!$AF124&lt;&gt;"(Null)"),('NFET Data'!$AE124&lt;&gt;"(Null)"),('NFET Data'!$AD124&lt;&gt;"(Null)"),('NFET Data'!$AC124&lt;&gt;"(Null)")))</f>
        <v>0</v>
      </c>
      <c r="Q124" s="20" t="b">
        <f t="shared" si="10"/>
        <v>0</v>
      </c>
      <c r="R124" s="20" t="b">
        <f t="shared" si="11"/>
        <v>0</v>
      </c>
    </row>
    <row r="125" spans="1:18" x14ac:dyDescent="0.25">
      <c r="A125" s="20" t="str">
        <f>IF(R125,Load_Switch_NFET[[#This Row],[PARTNUMBER]],"")</f>
        <v/>
      </c>
      <c r="B125"/>
      <c r="C125" s="20" t="b">
        <f>AND((Load_Switch_NFET[[#This Row],[VDSMAX]]&gt;=Vi*1.1),(Load_Switch_NFET[[#This Row],[VGSMAX]]&gt;=(VGS_DR)*1.1),(Load_Switch_NFET[[#This Row],[IDSMAX]]&gt;=Io),VGS_DR&gt;=1.8)</f>
        <v>1</v>
      </c>
      <c r="D125" s="20" t="b">
        <f>AND(Vi&lt;=27,Load_Switch_NFET[[#This Row],[VDSMAX]]&lt;=30)</f>
        <v>0</v>
      </c>
      <c r="E125" s="20" t="b">
        <f>AND(Vi&lt;=36,Vi&gt;=20,Load_Switch_NFET[[#This Row],[VDSMAX]]=40)</f>
        <v>0</v>
      </c>
      <c r="F125" s="20" t="b">
        <f>AND(Vi&lt;=54,Vi&gt;=25,Load_Switch_NFET[[#This Row],[VDSMAX]]=60)</f>
        <v>0</v>
      </c>
      <c r="G125" s="20" t="b">
        <f>AND(Vi&lt;=72,Vi&gt;=36,Load_Switch_NFET[[#This Row],[VDSMAX]]=80)</f>
        <v>0</v>
      </c>
      <c r="H125" s="20" t="b">
        <f>AND(Vi&lt;=90,Vi&gt;=48,Load_Switch_NFET[[#This Row],[VDSMAX]]=100)</f>
        <v>0</v>
      </c>
      <c r="I125" s="20" t="b">
        <f t="shared" si="9"/>
        <v>0</v>
      </c>
      <c r="J125" s="20" t="b">
        <f>AND(((VGS_DR)&lt;2.5),('NFET Data'!$AC125&lt;&gt;"(Null)"))</f>
        <v>0</v>
      </c>
      <c r="K125" s="20" t="b">
        <f>AND(((VGS_DR)&gt;=2.5),((VGS_DR)&lt;3),OR(('NFET Data'!$AD125&lt;&gt;"(Null)"),('NFET Data'!$AC125&lt;&gt;"(Null)")))</f>
        <v>0</v>
      </c>
      <c r="L125" s="20" t="b">
        <f>AND(((VGS_DR)&gt;=3),((VGS_DR)&lt;4.5),OR(('NFET Data'!$AE125&lt;&gt;"(Null)"),('NFET Data'!$AD125&lt;&gt;"(Null)"),('NFET Data'!$AC125&lt;&gt;"(Null)")))</f>
        <v>0</v>
      </c>
      <c r="M125" s="20" t="b">
        <f>AND(((VGS_DR)&gt;=4.5),((VGS_DR)&lt;6),OR(('NFET Data'!$AF125&lt;&gt;"(Null)"),('NFET Data'!$AE125&lt;&gt;"(Null)"),('NFET Data'!$AD125&lt;&gt;"(Null)"),('NFET Data'!$AC125&lt;&gt;"(Null)")))</f>
        <v>0</v>
      </c>
      <c r="N125" s="20" t="b">
        <f>AND(((VGS_DR)&gt;=6),((VGS_DR)&lt;8),OR(('NFET Data'!$AG125&lt;&gt;"(Null)"),('NFET Data'!$AF125&lt;&gt;"(Null)"),('NFET Data'!$AE125&lt;&gt;"(Null)"),('NFET Data'!$AD125&lt;&gt;"(Null)"),('NFET Data'!$AC125&lt;&gt;"(Null)")))</f>
        <v>0</v>
      </c>
      <c r="O125" s="20" t="b">
        <f>AND(((VGS_DR)&gt;=8),((VGS_DR)&lt;10),OR(('NFET Data'!$AH125&lt;&gt;"(Null)"),('NFET Data'!$AG125&lt;&gt;"(Null)"),('NFET Data'!$AF125&lt;&gt;"(Null)"),('NFET Data'!$AE125&lt;&gt;"(Null)"),('NFET Data'!$AD125&lt;&gt;"(Null)"),('NFET Data'!$AC125&lt;&gt;"(Null)")))</f>
        <v>0</v>
      </c>
      <c r="P125" s="20" t="b">
        <f>AND(((VGS_DR)&gt;=10),OR(('NFET Data'!$AI125&lt;&gt;"(Null)"),('NFET Data'!$AH125&lt;&gt;"(Null)"),('NFET Data'!$AG125&lt;&gt;"(Null)"),('NFET Data'!$AF125&lt;&gt;"(Null)"),('NFET Data'!$AE125&lt;&gt;"(Null)"),('NFET Data'!$AD125&lt;&gt;"(Null)"),('NFET Data'!$AC125&lt;&gt;"(Null)")))</f>
        <v>0</v>
      </c>
      <c r="Q125" s="20" t="b">
        <f t="shared" si="10"/>
        <v>0</v>
      </c>
      <c r="R125" s="20" t="b">
        <f t="shared" si="11"/>
        <v>0</v>
      </c>
    </row>
    <row r="126" spans="1:18" x14ac:dyDescent="0.25">
      <c r="A126" s="20" t="str">
        <f>IF(R126,Load_Switch_NFET[[#This Row],[PARTNUMBER]],"")</f>
        <v/>
      </c>
      <c r="B126"/>
      <c r="C126" s="20" t="b">
        <f>AND((Load_Switch_NFET[[#This Row],[VDSMAX]]&gt;=Vi*1.1),(Load_Switch_NFET[[#This Row],[VGSMAX]]&gt;=(VGS_DR)*1.1),(Load_Switch_NFET[[#This Row],[IDSMAX]]&gt;=Io),VGS_DR&gt;=1.8)</f>
        <v>1</v>
      </c>
      <c r="D126" s="20" t="b">
        <f>AND(Vi&lt;=27,Load_Switch_NFET[[#This Row],[VDSMAX]]&lt;=30)</f>
        <v>0</v>
      </c>
      <c r="E126" s="20" t="b">
        <f>AND(Vi&lt;=36,Vi&gt;=20,Load_Switch_NFET[[#This Row],[VDSMAX]]=40)</f>
        <v>0</v>
      </c>
      <c r="F126" s="20" t="b">
        <f>AND(Vi&lt;=54,Vi&gt;=25,Load_Switch_NFET[[#This Row],[VDSMAX]]=60)</f>
        <v>0</v>
      </c>
      <c r="G126" s="20" t="b">
        <f>AND(Vi&lt;=72,Vi&gt;=36,Load_Switch_NFET[[#This Row],[VDSMAX]]=80)</f>
        <v>0</v>
      </c>
      <c r="H126" s="20" t="b">
        <f>AND(Vi&lt;=90,Vi&gt;=48,Load_Switch_NFET[[#This Row],[VDSMAX]]=100)</f>
        <v>0</v>
      </c>
      <c r="I126" s="20" t="b">
        <f t="shared" si="9"/>
        <v>0</v>
      </c>
      <c r="J126" s="20" t="b">
        <f>AND(((VGS_DR)&lt;2.5),('NFET Data'!$AC126&lt;&gt;"(Null)"))</f>
        <v>0</v>
      </c>
      <c r="K126" s="20" t="b">
        <f>AND(((VGS_DR)&gt;=2.5),((VGS_DR)&lt;3),OR(('NFET Data'!$AD126&lt;&gt;"(Null)"),('NFET Data'!$AC126&lt;&gt;"(Null)")))</f>
        <v>0</v>
      </c>
      <c r="L126" s="20" t="b">
        <f>AND(((VGS_DR)&gt;=3),((VGS_DR)&lt;4.5),OR(('NFET Data'!$AE126&lt;&gt;"(Null)"),('NFET Data'!$AD126&lt;&gt;"(Null)"),('NFET Data'!$AC126&lt;&gt;"(Null)")))</f>
        <v>0</v>
      </c>
      <c r="M126" s="20" t="b">
        <f>AND(((VGS_DR)&gt;=4.5),((VGS_DR)&lt;6),OR(('NFET Data'!$AF126&lt;&gt;"(Null)"),('NFET Data'!$AE126&lt;&gt;"(Null)"),('NFET Data'!$AD126&lt;&gt;"(Null)"),('NFET Data'!$AC126&lt;&gt;"(Null)")))</f>
        <v>0</v>
      </c>
      <c r="N126" s="20" t="b">
        <f>AND(((VGS_DR)&gt;=6),((VGS_DR)&lt;8),OR(('NFET Data'!$AG126&lt;&gt;"(Null)"),('NFET Data'!$AF126&lt;&gt;"(Null)"),('NFET Data'!$AE126&lt;&gt;"(Null)"),('NFET Data'!$AD126&lt;&gt;"(Null)"),('NFET Data'!$AC126&lt;&gt;"(Null)")))</f>
        <v>0</v>
      </c>
      <c r="O126" s="20" t="b">
        <f>AND(((VGS_DR)&gt;=8),((VGS_DR)&lt;10),OR(('NFET Data'!$AH126&lt;&gt;"(Null)"),('NFET Data'!$AG126&lt;&gt;"(Null)"),('NFET Data'!$AF126&lt;&gt;"(Null)"),('NFET Data'!$AE126&lt;&gt;"(Null)"),('NFET Data'!$AD126&lt;&gt;"(Null)"),('NFET Data'!$AC126&lt;&gt;"(Null)")))</f>
        <v>0</v>
      </c>
      <c r="P126" s="20" t="b">
        <f>AND(((VGS_DR)&gt;=10),OR(('NFET Data'!$AI126&lt;&gt;"(Null)"),('NFET Data'!$AH126&lt;&gt;"(Null)"),('NFET Data'!$AG126&lt;&gt;"(Null)"),('NFET Data'!$AF126&lt;&gt;"(Null)"),('NFET Data'!$AE126&lt;&gt;"(Null)"),('NFET Data'!$AD126&lt;&gt;"(Null)"),('NFET Data'!$AC126&lt;&gt;"(Null)")))</f>
        <v>0</v>
      </c>
      <c r="Q126" s="20" t="b">
        <f t="shared" si="10"/>
        <v>0</v>
      </c>
      <c r="R126" s="20" t="b">
        <f t="shared" si="11"/>
        <v>0</v>
      </c>
    </row>
    <row r="127" spans="1:18" x14ac:dyDescent="0.25">
      <c r="A127" s="20" t="str">
        <f>IF(R127,Load_Switch_NFET[[#This Row],[PARTNUMBER]],"")</f>
        <v/>
      </c>
      <c r="B127"/>
      <c r="C127" s="20" t="b">
        <f>AND((Load_Switch_NFET[[#This Row],[VDSMAX]]&gt;=Vi*1.1),(Load_Switch_NFET[[#This Row],[VGSMAX]]&gt;=(VGS_DR)*1.1),(Load_Switch_NFET[[#This Row],[IDSMAX]]&gt;=Io),VGS_DR&gt;=1.8)</f>
        <v>1</v>
      </c>
      <c r="D127" s="20" t="b">
        <f>AND(Vi&lt;=27,Load_Switch_NFET[[#This Row],[VDSMAX]]&lt;=30)</f>
        <v>0</v>
      </c>
      <c r="E127" s="20" t="b">
        <f>AND(Vi&lt;=36,Vi&gt;=20,Load_Switch_NFET[[#This Row],[VDSMAX]]=40)</f>
        <v>0</v>
      </c>
      <c r="F127" s="20" t="b">
        <f>AND(Vi&lt;=54,Vi&gt;=25,Load_Switch_NFET[[#This Row],[VDSMAX]]=60)</f>
        <v>0</v>
      </c>
      <c r="G127" s="20" t="b">
        <f>AND(Vi&lt;=72,Vi&gt;=36,Load_Switch_NFET[[#This Row],[VDSMAX]]=80)</f>
        <v>0</v>
      </c>
      <c r="H127" s="20" t="b">
        <f>AND(Vi&lt;=90,Vi&gt;=48,Load_Switch_NFET[[#This Row],[VDSMAX]]=100)</f>
        <v>0</v>
      </c>
      <c r="I127" s="20" t="b">
        <f t="shared" si="9"/>
        <v>0</v>
      </c>
      <c r="J127" s="20" t="b">
        <f>AND(((VGS_DR)&lt;2.5),('NFET Data'!$AC127&lt;&gt;"(Null)"))</f>
        <v>0</v>
      </c>
      <c r="K127" s="20" t="b">
        <f>AND(((VGS_DR)&gt;=2.5),((VGS_DR)&lt;3),OR(('NFET Data'!$AD127&lt;&gt;"(Null)"),('NFET Data'!$AC127&lt;&gt;"(Null)")))</f>
        <v>0</v>
      </c>
      <c r="L127" s="20" t="b">
        <f>AND(((VGS_DR)&gt;=3),((VGS_DR)&lt;4.5),OR(('NFET Data'!$AE127&lt;&gt;"(Null)"),('NFET Data'!$AD127&lt;&gt;"(Null)"),('NFET Data'!$AC127&lt;&gt;"(Null)")))</f>
        <v>0</v>
      </c>
      <c r="M127" s="20" t="b">
        <f>AND(((VGS_DR)&gt;=4.5),((VGS_DR)&lt;6),OR(('NFET Data'!$AF127&lt;&gt;"(Null)"),('NFET Data'!$AE127&lt;&gt;"(Null)"),('NFET Data'!$AD127&lt;&gt;"(Null)"),('NFET Data'!$AC127&lt;&gt;"(Null)")))</f>
        <v>0</v>
      </c>
      <c r="N127" s="20" t="b">
        <f>AND(((VGS_DR)&gt;=6),((VGS_DR)&lt;8),OR(('NFET Data'!$AG127&lt;&gt;"(Null)"),('NFET Data'!$AF127&lt;&gt;"(Null)"),('NFET Data'!$AE127&lt;&gt;"(Null)"),('NFET Data'!$AD127&lt;&gt;"(Null)"),('NFET Data'!$AC127&lt;&gt;"(Null)")))</f>
        <v>0</v>
      </c>
      <c r="O127" s="20" t="b">
        <f>AND(((VGS_DR)&gt;=8),((VGS_DR)&lt;10),OR(('NFET Data'!$AH127&lt;&gt;"(Null)"),('NFET Data'!$AG127&lt;&gt;"(Null)"),('NFET Data'!$AF127&lt;&gt;"(Null)"),('NFET Data'!$AE127&lt;&gt;"(Null)"),('NFET Data'!$AD127&lt;&gt;"(Null)"),('NFET Data'!$AC127&lt;&gt;"(Null)")))</f>
        <v>0</v>
      </c>
      <c r="P127" s="20" t="b">
        <f>AND(((VGS_DR)&gt;=10),OR(('NFET Data'!$AI127&lt;&gt;"(Null)"),('NFET Data'!$AH127&lt;&gt;"(Null)"),('NFET Data'!$AG127&lt;&gt;"(Null)"),('NFET Data'!$AF127&lt;&gt;"(Null)"),('NFET Data'!$AE127&lt;&gt;"(Null)"),('NFET Data'!$AD127&lt;&gt;"(Null)"),('NFET Data'!$AC127&lt;&gt;"(Null)")))</f>
        <v>0</v>
      </c>
      <c r="Q127" s="20" t="b">
        <f t="shared" si="10"/>
        <v>0</v>
      </c>
      <c r="R127" s="20" t="b">
        <f t="shared" si="11"/>
        <v>0</v>
      </c>
    </row>
    <row r="128" spans="1:18" x14ac:dyDescent="0.25">
      <c r="A128" s="20" t="str">
        <f>IF(R128,Load_Switch_NFET[[#This Row],[PARTNUMBER]],"")</f>
        <v/>
      </c>
      <c r="B128"/>
      <c r="C128" s="20" t="b">
        <f>AND((Load_Switch_NFET[[#This Row],[VDSMAX]]&gt;=Vi*1.1),(Load_Switch_NFET[[#This Row],[VGSMAX]]&gt;=(VGS_DR)*1.1),(Load_Switch_NFET[[#This Row],[IDSMAX]]&gt;=Io),VGS_DR&gt;=1.8)</f>
        <v>1</v>
      </c>
      <c r="D128" s="20" t="b">
        <f>AND(Vi&lt;=27,Load_Switch_NFET[[#This Row],[VDSMAX]]&lt;=30)</f>
        <v>0</v>
      </c>
      <c r="E128" s="20" t="b">
        <f>AND(Vi&lt;=36,Vi&gt;=20,Load_Switch_NFET[[#This Row],[VDSMAX]]=40)</f>
        <v>0</v>
      </c>
      <c r="F128" s="20" t="b">
        <f>AND(Vi&lt;=54,Vi&gt;=25,Load_Switch_NFET[[#This Row],[VDSMAX]]=60)</f>
        <v>0</v>
      </c>
      <c r="G128" s="20" t="b">
        <f>AND(Vi&lt;=72,Vi&gt;=36,Load_Switch_NFET[[#This Row],[VDSMAX]]=80)</f>
        <v>0</v>
      </c>
      <c r="H128" s="20" t="b">
        <f>AND(Vi&lt;=90,Vi&gt;=48,Load_Switch_NFET[[#This Row],[VDSMAX]]=100)</f>
        <v>0</v>
      </c>
      <c r="I128" s="20" t="b">
        <f t="shared" si="9"/>
        <v>0</v>
      </c>
      <c r="J128" s="20" t="b">
        <f>AND(((VGS_DR)&lt;2.5),('NFET Data'!$AC128&lt;&gt;"(Null)"))</f>
        <v>0</v>
      </c>
      <c r="K128" s="20" t="b">
        <f>AND(((VGS_DR)&gt;=2.5),((VGS_DR)&lt;3),OR(('NFET Data'!$AD128&lt;&gt;"(Null)"),('NFET Data'!$AC128&lt;&gt;"(Null)")))</f>
        <v>0</v>
      </c>
      <c r="L128" s="20" t="b">
        <f>AND(((VGS_DR)&gt;=3),((VGS_DR)&lt;4.5),OR(('NFET Data'!$AE128&lt;&gt;"(Null)"),('NFET Data'!$AD128&lt;&gt;"(Null)"),('NFET Data'!$AC128&lt;&gt;"(Null)")))</f>
        <v>0</v>
      </c>
      <c r="M128" s="20" t="b">
        <f>AND(((VGS_DR)&gt;=4.5),((VGS_DR)&lt;6),OR(('NFET Data'!$AF128&lt;&gt;"(Null)"),('NFET Data'!$AE128&lt;&gt;"(Null)"),('NFET Data'!$AD128&lt;&gt;"(Null)"),('NFET Data'!$AC128&lt;&gt;"(Null)")))</f>
        <v>0</v>
      </c>
      <c r="N128" s="20" t="b">
        <f>AND(((VGS_DR)&gt;=6),((VGS_DR)&lt;8),OR(('NFET Data'!$AG128&lt;&gt;"(Null)"),('NFET Data'!$AF128&lt;&gt;"(Null)"),('NFET Data'!$AE128&lt;&gt;"(Null)"),('NFET Data'!$AD128&lt;&gt;"(Null)"),('NFET Data'!$AC128&lt;&gt;"(Null)")))</f>
        <v>0</v>
      </c>
      <c r="O128" s="20" t="b">
        <f>AND(((VGS_DR)&gt;=8),((VGS_DR)&lt;10),OR(('NFET Data'!$AH128&lt;&gt;"(Null)"),('NFET Data'!$AG128&lt;&gt;"(Null)"),('NFET Data'!$AF128&lt;&gt;"(Null)"),('NFET Data'!$AE128&lt;&gt;"(Null)"),('NFET Data'!$AD128&lt;&gt;"(Null)"),('NFET Data'!$AC128&lt;&gt;"(Null)")))</f>
        <v>0</v>
      </c>
      <c r="P128" s="20" t="b">
        <f>AND(((VGS_DR)&gt;=10),OR(('NFET Data'!$AI128&lt;&gt;"(Null)"),('NFET Data'!$AH128&lt;&gt;"(Null)"),('NFET Data'!$AG128&lt;&gt;"(Null)"),('NFET Data'!$AF128&lt;&gt;"(Null)"),('NFET Data'!$AE128&lt;&gt;"(Null)"),('NFET Data'!$AD128&lt;&gt;"(Null)"),('NFET Data'!$AC128&lt;&gt;"(Null)")))</f>
        <v>0</v>
      </c>
      <c r="Q128" s="20" t="b">
        <f t="shared" si="10"/>
        <v>0</v>
      </c>
      <c r="R128" s="20" t="b">
        <f t="shared" si="11"/>
        <v>0</v>
      </c>
    </row>
    <row r="129" spans="1:18" x14ac:dyDescent="0.25">
      <c r="A129" s="20" t="str">
        <f>IF(R129,Load_Switch_NFET[[#This Row],[PARTNUMBER]],"")</f>
        <v/>
      </c>
      <c r="B129"/>
      <c r="C129" s="20" t="b">
        <f>AND((Load_Switch_NFET[[#This Row],[VDSMAX]]&gt;=Vi*1.1),(Load_Switch_NFET[[#This Row],[VGSMAX]]&gt;=(VGS_DR)*1.1),(Load_Switch_NFET[[#This Row],[IDSMAX]]&gt;=Io),VGS_DR&gt;=1.8)</f>
        <v>1</v>
      </c>
      <c r="D129" s="20" t="b">
        <f>AND(Vi&lt;=27,Load_Switch_NFET[[#This Row],[VDSMAX]]&lt;=30)</f>
        <v>0</v>
      </c>
      <c r="E129" s="20" t="b">
        <f>AND(Vi&lt;=36,Vi&gt;=20,Load_Switch_NFET[[#This Row],[VDSMAX]]=40)</f>
        <v>0</v>
      </c>
      <c r="F129" s="20" t="b">
        <f>AND(Vi&lt;=54,Vi&gt;=25,Load_Switch_NFET[[#This Row],[VDSMAX]]=60)</f>
        <v>0</v>
      </c>
      <c r="G129" s="20" t="b">
        <f>AND(Vi&lt;=72,Vi&gt;=36,Load_Switch_NFET[[#This Row],[VDSMAX]]=80)</f>
        <v>0</v>
      </c>
      <c r="H129" s="20" t="b">
        <f>AND(Vi&lt;=90,Vi&gt;=48,Load_Switch_NFET[[#This Row],[VDSMAX]]=100)</f>
        <v>0</v>
      </c>
      <c r="I129" s="20" t="b">
        <f t="shared" si="9"/>
        <v>0</v>
      </c>
      <c r="J129" s="20" t="b">
        <f>AND(((VGS_DR)&lt;2.5),('NFET Data'!$AC129&lt;&gt;"(Null)"))</f>
        <v>0</v>
      </c>
      <c r="K129" s="20" t="b">
        <f>AND(((VGS_DR)&gt;=2.5),((VGS_DR)&lt;3),OR(('NFET Data'!$AD129&lt;&gt;"(Null)"),('NFET Data'!$AC129&lt;&gt;"(Null)")))</f>
        <v>0</v>
      </c>
      <c r="L129" s="20" t="b">
        <f>AND(((VGS_DR)&gt;=3),((VGS_DR)&lt;4.5),OR(('NFET Data'!$AE129&lt;&gt;"(Null)"),('NFET Data'!$AD129&lt;&gt;"(Null)"),('NFET Data'!$AC129&lt;&gt;"(Null)")))</f>
        <v>0</v>
      </c>
      <c r="M129" s="20" t="b">
        <f>AND(((VGS_DR)&gt;=4.5),((VGS_DR)&lt;6),OR(('NFET Data'!$AF129&lt;&gt;"(Null)"),('NFET Data'!$AE129&lt;&gt;"(Null)"),('NFET Data'!$AD129&lt;&gt;"(Null)"),('NFET Data'!$AC129&lt;&gt;"(Null)")))</f>
        <v>0</v>
      </c>
      <c r="N129" s="20" t="b">
        <f>AND(((VGS_DR)&gt;=6),((VGS_DR)&lt;8),OR(('NFET Data'!$AG129&lt;&gt;"(Null)"),('NFET Data'!$AF129&lt;&gt;"(Null)"),('NFET Data'!$AE129&lt;&gt;"(Null)"),('NFET Data'!$AD129&lt;&gt;"(Null)"),('NFET Data'!$AC129&lt;&gt;"(Null)")))</f>
        <v>0</v>
      </c>
      <c r="O129" s="20" t="b">
        <f>AND(((VGS_DR)&gt;=8),((VGS_DR)&lt;10),OR(('NFET Data'!$AH129&lt;&gt;"(Null)"),('NFET Data'!$AG129&lt;&gt;"(Null)"),('NFET Data'!$AF129&lt;&gt;"(Null)"),('NFET Data'!$AE129&lt;&gt;"(Null)"),('NFET Data'!$AD129&lt;&gt;"(Null)"),('NFET Data'!$AC129&lt;&gt;"(Null)")))</f>
        <v>0</v>
      </c>
      <c r="P129" s="20" t="b">
        <f>AND(((VGS_DR)&gt;=10),OR(('NFET Data'!$AI129&lt;&gt;"(Null)"),('NFET Data'!$AH129&lt;&gt;"(Null)"),('NFET Data'!$AG129&lt;&gt;"(Null)"),('NFET Data'!$AF129&lt;&gt;"(Null)"),('NFET Data'!$AE129&lt;&gt;"(Null)"),('NFET Data'!$AD129&lt;&gt;"(Null)"),('NFET Data'!$AC129&lt;&gt;"(Null)")))</f>
        <v>0</v>
      </c>
      <c r="Q129" s="20" t="b">
        <f t="shared" si="10"/>
        <v>0</v>
      </c>
      <c r="R129" s="20" t="b">
        <f t="shared" si="11"/>
        <v>0</v>
      </c>
    </row>
    <row r="130" spans="1:18" x14ac:dyDescent="0.25">
      <c r="A130" s="20" t="str">
        <f>IF(R130,Load_Switch_NFET[[#This Row],[PARTNUMBER]],"")</f>
        <v/>
      </c>
      <c r="B130"/>
      <c r="C130" s="20" t="b">
        <f>AND((Load_Switch_NFET[[#This Row],[VDSMAX]]&gt;=Vi*1.1),(Load_Switch_NFET[[#This Row],[VGSMAX]]&gt;=(VGS_DR)*1.1),(Load_Switch_NFET[[#This Row],[IDSMAX]]&gt;=Io),VGS_DR&gt;=1.8)</f>
        <v>1</v>
      </c>
      <c r="D130" s="20" t="b">
        <f>AND(Vi&lt;=27,Load_Switch_NFET[[#This Row],[VDSMAX]]&lt;=30)</f>
        <v>0</v>
      </c>
      <c r="E130" s="20" t="b">
        <f>AND(Vi&lt;=36,Vi&gt;=20,Load_Switch_NFET[[#This Row],[VDSMAX]]=40)</f>
        <v>0</v>
      </c>
      <c r="F130" s="20" t="b">
        <f>AND(Vi&lt;=54,Vi&gt;=25,Load_Switch_NFET[[#This Row],[VDSMAX]]=60)</f>
        <v>0</v>
      </c>
      <c r="G130" s="20" t="b">
        <f>AND(Vi&lt;=72,Vi&gt;=36,Load_Switch_NFET[[#This Row],[VDSMAX]]=80)</f>
        <v>0</v>
      </c>
      <c r="H130" s="20" t="b">
        <f>AND(Vi&lt;=90,Vi&gt;=48,Load_Switch_NFET[[#This Row],[VDSMAX]]=100)</f>
        <v>0</v>
      </c>
      <c r="I130" s="20" t="b">
        <f t="shared" si="9"/>
        <v>0</v>
      </c>
      <c r="J130" s="20" t="b">
        <f>AND(((VGS_DR)&lt;2.5),('NFET Data'!$AC130&lt;&gt;"(Null)"))</f>
        <v>0</v>
      </c>
      <c r="K130" s="20" t="b">
        <f>AND(((VGS_DR)&gt;=2.5),((VGS_DR)&lt;3),OR(('NFET Data'!$AD130&lt;&gt;"(Null)"),('NFET Data'!$AC130&lt;&gt;"(Null)")))</f>
        <v>0</v>
      </c>
      <c r="L130" s="20" t="b">
        <f>AND(((VGS_DR)&gt;=3),((VGS_DR)&lt;4.5),OR(('NFET Data'!$AE130&lt;&gt;"(Null)"),('NFET Data'!$AD130&lt;&gt;"(Null)"),('NFET Data'!$AC130&lt;&gt;"(Null)")))</f>
        <v>0</v>
      </c>
      <c r="M130" s="20" t="b">
        <f>AND(((VGS_DR)&gt;=4.5),((VGS_DR)&lt;6),OR(('NFET Data'!$AF130&lt;&gt;"(Null)"),('NFET Data'!$AE130&lt;&gt;"(Null)"),('NFET Data'!$AD130&lt;&gt;"(Null)"),('NFET Data'!$AC130&lt;&gt;"(Null)")))</f>
        <v>0</v>
      </c>
      <c r="N130" s="20" t="b">
        <f>AND(((VGS_DR)&gt;=6),((VGS_DR)&lt;8),OR(('NFET Data'!$AG130&lt;&gt;"(Null)"),('NFET Data'!$AF130&lt;&gt;"(Null)"),('NFET Data'!$AE130&lt;&gt;"(Null)"),('NFET Data'!$AD130&lt;&gt;"(Null)"),('NFET Data'!$AC130&lt;&gt;"(Null)")))</f>
        <v>0</v>
      </c>
      <c r="O130" s="20" t="b">
        <f>AND(((VGS_DR)&gt;=8),((VGS_DR)&lt;10),OR(('NFET Data'!$AH130&lt;&gt;"(Null)"),('NFET Data'!$AG130&lt;&gt;"(Null)"),('NFET Data'!$AF130&lt;&gt;"(Null)"),('NFET Data'!$AE130&lt;&gt;"(Null)"),('NFET Data'!$AD130&lt;&gt;"(Null)"),('NFET Data'!$AC130&lt;&gt;"(Null)")))</f>
        <v>0</v>
      </c>
      <c r="P130" s="20" t="b">
        <f>AND(((VGS_DR)&gt;=10),OR(('NFET Data'!$AI130&lt;&gt;"(Null)"),('NFET Data'!$AH130&lt;&gt;"(Null)"),('NFET Data'!$AG130&lt;&gt;"(Null)"),('NFET Data'!$AF130&lt;&gt;"(Null)"),('NFET Data'!$AE130&lt;&gt;"(Null)"),('NFET Data'!$AD130&lt;&gt;"(Null)"),('NFET Data'!$AC130&lt;&gt;"(Null)")))</f>
        <v>0</v>
      </c>
      <c r="Q130" s="20" t="b">
        <f t="shared" si="10"/>
        <v>0</v>
      </c>
      <c r="R130" s="20" t="b">
        <f t="shared" si="11"/>
        <v>0</v>
      </c>
    </row>
    <row r="131" spans="1:18" x14ac:dyDescent="0.25">
      <c r="A131" s="20" t="str">
        <f>IF(R131,Load_Switch_NFET[[#This Row],[PARTNUMBER]],"")</f>
        <v/>
      </c>
      <c r="B131"/>
      <c r="C131" s="20" t="b">
        <f>AND((Load_Switch_NFET[[#This Row],[VDSMAX]]&gt;=Vi*1.1),(Load_Switch_NFET[[#This Row],[VGSMAX]]&gt;=(VGS_DR)*1.1),(Load_Switch_NFET[[#This Row],[IDSMAX]]&gt;=Io),VGS_DR&gt;=1.8)</f>
        <v>1</v>
      </c>
      <c r="D131" s="20" t="b">
        <f>AND(Vi&lt;=27,Load_Switch_NFET[[#This Row],[VDSMAX]]&lt;=30)</f>
        <v>0</v>
      </c>
      <c r="E131" s="20" t="b">
        <f>AND(Vi&lt;=36,Vi&gt;=20,Load_Switch_NFET[[#This Row],[VDSMAX]]=40)</f>
        <v>0</v>
      </c>
      <c r="F131" s="20" t="b">
        <f>AND(Vi&lt;=54,Vi&gt;=25,Load_Switch_NFET[[#This Row],[VDSMAX]]=60)</f>
        <v>0</v>
      </c>
      <c r="G131" s="20" t="b">
        <f>AND(Vi&lt;=72,Vi&gt;=36,Load_Switch_NFET[[#This Row],[VDSMAX]]=80)</f>
        <v>0</v>
      </c>
      <c r="H131" s="20" t="b">
        <f>AND(Vi&lt;=90,Vi&gt;=48,Load_Switch_NFET[[#This Row],[VDSMAX]]=100)</f>
        <v>0</v>
      </c>
      <c r="I131" s="20" t="b">
        <f t="shared" ref="I131:I143" si="12">OR(D131:H131)</f>
        <v>0</v>
      </c>
      <c r="J131" s="20" t="b">
        <f>AND(((VGS_DR)&lt;2.5),('NFET Data'!$AC131&lt;&gt;"(Null)"))</f>
        <v>0</v>
      </c>
      <c r="K131" s="20" t="b">
        <f>AND(((VGS_DR)&gt;=2.5),((VGS_DR)&lt;3),OR(('NFET Data'!$AD131&lt;&gt;"(Null)"),('NFET Data'!$AC131&lt;&gt;"(Null)")))</f>
        <v>0</v>
      </c>
      <c r="L131" s="20" t="b">
        <f>AND(((VGS_DR)&gt;=3),((VGS_DR)&lt;4.5),OR(('NFET Data'!$AE131&lt;&gt;"(Null)"),('NFET Data'!$AD131&lt;&gt;"(Null)"),('NFET Data'!$AC131&lt;&gt;"(Null)")))</f>
        <v>0</v>
      </c>
      <c r="M131" s="20" t="b">
        <f>AND(((VGS_DR)&gt;=4.5),((VGS_DR)&lt;6),OR(('NFET Data'!$AF131&lt;&gt;"(Null)"),('NFET Data'!$AE131&lt;&gt;"(Null)"),('NFET Data'!$AD131&lt;&gt;"(Null)"),('NFET Data'!$AC131&lt;&gt;"(Null)")))</f>
        <v>0</v>
      </c>
      <c r="N131" s="20" t="b">
        <f>AND(((VGS_DR)&gt;=6),((VGS_DR)&lt;8),OR(('NFET Data'!$AG131&lt;&gt;"(Null)"),('NFET Data'!$AF131&lt;&gt;"(Null)"),('NFET Data'!$AE131&lt;&gt;"(Null)"),('NFET Data'!$AD131&lt;&gt;"(Null)"),('NFET Data'!$AC131&lt;&gt;"(Null)")))</f>
        <v>0</v>
      </c>
      <c r="O131" s="20" t="b">
        <f>AND(((VGS_DR)&gt;=8),((VGS_DR)&lt;10),OR(('NFET Data'!$AH131&lt;&gt;"(Null)"),('NFET Data'!$AG131&lt;&gt;"(Null)"),('NFET Data'!$AF131&lt;&gt;"(Null)"),('NFET Data'!$AE131&lt;&gt;"(Null)"),('NFET Data'!$AD131&lt;&gt;"(Null)"),('NFET Data'!$AC131&lt;&gt;"(Null)")))</f>
        <v>0</v>
      </c>
      <c r="P131" s="20" t="b">
        <f>AND(((VGS_DR)&gt;=10),OR(('NFET Data'!$AI131&lt;&gt;"(Null)"),('NFET Data'!$AH131&lt;&gt;"(Null)"),('NFET Data'!$AG131&lt;&gt;"(Null)"),('NFET Data'!$AF131&lt;&gt;"(Null)"),('NFET Data'!$AE131&lt;&gt;"(Null)"),('NFET Data'!$AD131&lt;&gt;"(Null)"),('NFET Data'!$AC131&lt;&gt;"(Null)")))</f>
        <v>0</v>
      </c>
      <c r="Q131" s="20" t="b">
        <f t="shared" ref="Q131:Q143" si="13">OR(J131:P131)</f>
        <v>0</v>
      </c>
      <c r="R131" s="20" t="b">
        <f t="shared" ref="R131:R143" si="14">AND(C131,I131,Q131)</f>
        <v>0</v>
      </c>
    </row>
    <row r="132" spans="1:18" x14ac:dyDescent="0.25">
      <c r="A132" s="20" t="str">
        <f>IF(R132,Load_Switch_NFET[[#This Row],[PARTNUMBER]],"")</f>
        <v/>
      </c>
      <c r="B132"/>
      <c r="C132" s="20" t="b">
        <f>AND((Load_Switch_NFET[[#This Row],[VDSMAX]]&gt;=Vi*1.1),(Load_Switch_NFET[[#This Row],[VGSMAX]]&gt;=(VGS_DR)*1.1),(Load_Switch_NFET[[#This Row],[IDSMAX]]&gt;=Io),VGS_DR&gt;=1.8)</f>
        <v>1</v>
      </c>
      <c r="D132" s="20" t="b">
        <f>AND(Vi&lt;=27,Load_Switch_NFET[[#This Row],[VDSMAX]]&lt;=30)</f>
        <v>0</v>
      </c>
      <c r="E132" s="20" t="b">
        <f>AND(Vi&lt;=36,Vi&gt;=20,Load_Switch_NFET[[#This Row],[VDSMAX]]=40)</f>
        <v>0</v>
      </c>
      <c r="F132" s="20" t="b">
        <f>AND(Vi&lt;=54,Vi&gt;=25,Load_Switch_NFET[[#This Row],[VDSMAX]]=60)</f>
        <v>0</v>
      </c>
      <c r="G132" s="20" t="b">
        <f>AND(Vi&lt;=72,Vi&gt;=36,Load_Switch_NFET[[#This Row],[VDSMAX]]=80)</f>
        <v>0</v>
      </c>
      <c r="H132" s="20" t="b">
        <f>AND(Vi&lt;=90,Vi&gt;=48,Load_Switch_NFET[[#This Row],[VDSMAX]]=100)</f>
        <v>0</v>
      </c>
      <c r="I132" s="20" t="b">
        <f t="shared" si="12"/>
        <v>0</v>
      </c>
      <c r="J132" s="20" t="b">
        <f>AND(((VGS_DR)&lt;2.5),('NFET Data'!$AC132&lt;&gt;"(Null)"))</f>
        <v>0</v>
      </c>
      <c r="K132" s="20" t="b">
        <f>AND(((VGS_DR)&gt;=2.5),((VGS_DR)&lt;3),OR(('NFET Data'!$AD132&lt;&gt;"(Null)"),('NFET Data'!$AC132&lt;&gt;"(Null)")))</f>
        <v>0</v>
      </c>
      <c r="L132" s="20" t="b">
        <f>AND(((VGS_DR)&gt;=3),((VGS_DR)&lt;4.5),OR(('NFET Data'!$AE132&lt;&gt;"(Null)"),('NFET Data'!$AD132&lt;&gt;"(Null)"),('NFET Data'!$AC132&lt;&gt;"(Null)")))</f>
        <v>0</v>
      </c>
      <c r="M132" s="20" t="b">
        <f>AND(((VGS_DR)&gt;=4.5),((VGS_DR)&lt;6),OR(('NFET Data'!$AF132&lt;&gt;"(Null)"),('NFET Data'!$AE132&lt;&gt;"(Null)"),('NFET Data'!$AD132&lt;&gt;"(Null)"),('NFET Data'!$AC132&lt;&gt;"(Null)")))</f>
        <v>0</v>
      </c>
      <c r="N132" s="20" t="b">
        <f>AND(((VGS_DR)&gt;=6),((VGS_DR)&lt;8),OR(('NFET Data'!$AG132&lt;&gt;"(Null)"),('NFET Data'!$AF132&lt;&gt;"(Null)"),('NFET Data'!$AE132&lt;&gt;"(Null)"),('NFET Data'!$AD132&lt;&gt;"(Null)"),('NFET Data'!$AC132&lt;&gt;"(Null)")))</f>
        <v>0</v>
      </c>
      <c r="O132" s="20" t="b">
        <f>AND(((VGS_DR)&gt;=8),((VGS_DR)&lt;10),OR(('NFET Data'!$AH132&lt;&gt;"(Null)"),('NFET Data'!$AG132&lt;&gt;"(Null)"),('NFET Data'!$AF132&lt;&gt;"(Null)"),('NFET Data'!$AE132&lt;&gt;"(Null)"),('NFET Data'!$AD132&lt;&gt;"(Null)"),('NFET Data'!$AC132&lt;&gt;"(Null)")))</f>
        <v>0</v>
      </c>
      <c r="P132" s="20" t="b">
        <f>AND(((VGS_DR)&gt;=10),OR(('NFET Data'!$AI132&lt;&gt;"(Null)"),('NFET Data'!$AH132&lt;&gt;"(Null)"),('NFET Data'!$AG132&lt;&gt;"(Null)"),('NFET Data'!$AF132&lt;&gt;"(Null)"),('NFET Data'!$AE132&lt;&gt;"(Null)"),('NFET Data'!$AD132&lt;&gt;"(Null)"),('NFET Data'!$AC132&lt;&gt;"(Null)")))</f>
        <v>0</v>
      </c>
      <c r="Q132" s="20" t="b">
        <f t="shared" si="13"/>
        <v>0</v>
      </c>
      <c r="R132" s="20" t="b">
        <f t="shared" si="14"/>
        <v>0</v>
      </c>
    </row>
    <row r="133" spans="1:18" x14ac:dyDescent="0.25">
      <c r="A133" s="20" t="str">
        <f>IF(R133,Load_Switch_NFET[[#This Row],[PARTNUMBER]],"")</f>
        <v/>
      </c>
      <c r="B133"/>
      <c r="C133" s="20" t="b">
        <f>AND((Load_Switch_NFET[[#This Row],[VDSMAX]]&gt;=Vi*1.1),(Load_Switch_NFET[[#This Row],[VGSMAX]]&gt;=(VGS_DR)*1.1),(Load_Switch_NFET[[#This Row],[IDSMAX]]&gt;=Io),VGS_DR&gt;=1.8)</f>
        <v>1</v>
      </c>
      <c r="D133" s="20" t="b">
        <f>AND(Vi&lt;=27,Load_Switch_NFET[[#This Row],[VDSMAX]]&lt;=30)</f>
        <v>0</v>
      </c>
      <c r="E133" s="20" t="b">
        <f>AND(Vi&lt;=36,Vi&gt;=20,Load_Switch_NFET[[#This Row],[VDSMAX]]=40)</f>
        <v>0</v>
      </c>
      <c r="F133" s="20" t="b">
        <f>AND(Vi&lt;=54,Vi&gt;=25,Load_Switch_NFET[[#This Row],[VDSMAX]]=60)</f>
        <v>0</v>
      </c>
      <c r="G133" s="20" t="b">
        <f>AND(Vi&lt;=72,Vi&gt;=36,Load_Switch_NFET[[#This Row],[VDSMAX]]=80)</f>
        <v>0</v>
      </c>
      <c r="H133" s="20" t="b">
        <f>AND(Vi&lt;=90,Vi&gt;=48,Load_Switch_NFET[[#This Row],[VDSMAX]]=100)</f>
        <v>0</v>
      </c>
      <c r="I133" s="20" t="b">
        <f t="shared" si="12"/>
        <v>0</v>
      </c>
      <c r="J133" s="20" t="b">
        <f>AND(((VGS_DR)&lt;2.5),('NFET Data'!$AC133&lt;&gt;"(Null)"))</f>
        <v>0</v>
      </c>
      <c r="K133" s="20" t="b">
        <f>AND(((VGS_DR)&gt;=2.5),((VGS_DR)&lt;3),OR(('NFET Data'!$AD133&lt;&gt;"(Null)"),('NFET Data'!$AC133&lt;&gt;"(Null)")))</f>
        <v>0</v>
      </c>
      <c r="L133" s="20" t="b">
        <f>AND(((VGS_DR)&gt;=3),((VGS_DR)&lt;4.5),OR(('NFET Data'!$AE133&lt;&gt;"(Null)"),('NFET Data'!$AD133&lt;&gt;"(Null)"),('NFET Data'!$AC133&lt;&gt;"(Null)")))</f>
        <v>0</v>
      </c>
      <c r="M133" s="20" t="b">
        <f>AND(((VGS_DR)&gt;=4.5),((VGS_DR)&lt;6),OR(('NFET Data'!$AF133&lt;&gt;"(Null)"),('NFET Data'!$AE133&lt;&gt;"(Null)"),('NFET Data'!$AD133&lt;&gt;"(Null)"),('NFET Data'!$AC133&lt;&gt;"(Null)")))</f>
        <v>0</v>
      </c>
      <c r="N133" s="20" t="b">
        <f>AND(((VGS_DR)&gt;=6),((VGS_DR)&lt;8),OR(('NFET Data'!$AG133&lt;&gt;"(Null)"),('NFET Data'!$AF133&lt;&gt;"(Null)"),('NFET Data'!$AE133&lt;&gt;"(Null)"),('NFET Data'!$AD133&lt;&gt;"(Null)"),('NFET Data'!$AC133&lt;&gt;"(Null)")))</f>
        <v>0</v>
      </c>
      <c r="O133" s="20" t="b">
        <f>AND(((VGS_DR)&gt;=8),((VGS_DR)&lt;10),OR(('NFET Data'!$AH133&lt;&gt;"(Null)"),('NFET Data'!$AG133&lt;&gt;"(Null)"),('NFET Data'!$AF133&lt;&gt;"(Null)"),('NFET Data'!$AE133&lt;&gt;"(Null)"),('NFET Data'!$AD133&lt;&gt;"(Null)"),('NFET Data'!$AC133&lt;&gt;"(Null)")))</f>
        <v>0</v>
      </c>
      <c r="P133" s="20" t="b">
        <f>AND(((VGS_DR)&gt;=10),OR(('NFET Data'!$AI133&lt;&gt;"(Null)"),('NFET Data'!$AH133&lt;&gt;"(Null)"),('NFET Data'!$AG133&lt;&gt;"(Null)"),('NFET Data'!$AF133&lt;&gt;"(Null)"),('NFET Data'!$AE133&lt;&gt;"(Null)"),('NFET Data'!$AD133&lt;&gt;"(Null)"),('NFET Data'!$AC133&lt;&gt;"(Null)")))</f>
        <v>0</v>
      </c>
      <c r="Q133" s="20" t="b">
        <f t="shared" si="13"/>
        <v>0</v>
      </c>
      <c r="R133" s="20" t="b">
        <f t="shared" si="14"/>
        <v>0</v>
      </c>
    </row>
    <row r="134" spans="1:18" x14ac:dyDescent="0.25">
      <c r="A134" s="20" t="str">
        <f>IF(R134,Load_Switch_NFET[[#This Row],[PARTNUMBER]],"")</f>
        <v/>
      </c>
      <c r="B134"/>
      <c r="C134" s="20" t="b">
        <f>AND((Load_Switch_NFET[[#This Row],[VDSMAX]]&gt;=Vi*1.1),(Load_Switch_NFET[[#This Row],[VGSMAX]]&gt;=(VGS_DR)*1.1),(Load_Switch_NFET[[#This Row],[IDSMAX]]&gt;=Io),VGS_DR&gt;=1.8)</f>
        <v>1</v>
      </c>
      <c r="D134" s="20" t="b">
        <f>AND(Vi&lt;=27,Load_Switch_NFET[[#This Row],[VDSMAX]]&lt;=30)</f>
        <v>0</v>
      </c>
      <c r="E134" s="20" t="b">
        <f>AND(Vi&lt;=36,Vi&gt;=20,Load_Switch_NFET[[#This Row],[VDSMAX]]=40)</f>
        <v>0</v>
      </c>
      <c r="F134" s="20" t="b">
        <f>AND(Vi&lt;=54,Vi&gt;=25,Load_Switch_NFET[[#This Row],[VDSMAX]]=60)</f>
        <v>0</v>
      </c>
      <c r="G134" s="20" t="b">
        <f>AND(Vi&lt;=72,Vi&gt;=36,Load_Switch_NFET[[#This Row],[VDSMAX]]=80)</f>
        <v>0</v>
      </c>
      <c r="H134" s="20" t="b">
        <f>AND(Vi&lt;=90,Vi&gt;=48,Load_Switch_NFET[[#This Row],[VDSMAX]]=100)</f>
        <v>0</v>
      </c>
      <c r="I134" s="20" t="b">
        <f t="shared" si="12"/>
        <v>0</v>
      </c>
      <c r="J134" s="20" t="b">
        <f>AND(((VGS_DR)&lt;2.5),('NFET Data'!$AC134&lt;&gt;"(Null)"))</f>
        <v>0</v>
      </c>
      <c r="K134" s="20" t="b">
        <f>AND(((VGS_DR)&gt;=2.5),((VGS_DR)&lt;3),OR(('NFET Data'!$AD134&lt;&gt;"(Null)"),('NFET Data'!$AC134&lt;&gt;"(Null)")))</f>
        <v>0</v>
      </c>
      <c r="L134" s="20" t="b">
        <f>AND(((VGS_DR)&gt;=3),((VGS_DR)&lt;4.5),OR(('NFET Data'!$AE134&lt;&gt;"(Null)"),('NFET Data'!$AD134&lt;&gt;"(Null)"),('NFET Data'!$AC134&lt;&gt;"(Null)")))</f>
        <v>0</v>
      </c>
      <c r="M134" s="20" t="b">
        <f>AND(((VGS_DR)&gt;=4.5),((VGS_DR)&lt;6),OR(('NFET Data'!$AF134&lt;&gt;"(Null)"),('NFET Data'!$AE134&lt;&gt;"(Null)"),('NFET Data'!$AD134&lt;&gt;"(Null)"),('NFET Data'!$AC134&lt;&gt;"(Null)")))</f>
        <v>0</v>
      </c>
      <c r="N134" s="20" t="b">
        <f>AND(((VGS_DR)&gt;=6),((VGS_DR)&lt;8),OR(('NFET Data'!$AG134&lt;&gt;"(Null)"),('NFET Data'!$AF134&lt;&gt;"(Null)"),('NFET Data'!$AE134&lt;&gt;"(Null)"),('NFET Data'!$AD134&lt;&gt;"(Null)"),('NFET Data'!$AC134&lt;&gt;"(Null)")))</f>
        <v>0</v>
      </c>
      <c r="O134" s="20" t="b">
        <f>AND(((VGS_DR)&gt;=8),((VGS_DR)&lt;10),OR(('NFET Data'!$AH134&lt;&gt;"(Null)"),('NFET Data'!$AG134&lt;&gt;"(Null)"),('NFET Data'!$AF134&lt;&gt;"(Null)"),('NFET Data'!$AE134&lt;&gt;"(Null)"),('NFET Data'!$AD134&lt;&gt;"(Null)"),('NFET Data'!$AC134&lt;&gt;"(Null)")))</f>
        <v>0</v>
      </c>
      <c r="P134" s="20" t="b">
        <f>AND(((VGS_DR)&gt;=10),OR(('NFET Data'!$AI134&lt;&gt;"(Null)"),('NFET Data'!$AH134&lt;&gt;"(Null)"),('NFET Data'!$AG134&lt;&gt;"(Null)"),('NFET Data'!$AF134&lt;&gt;"(Null)"),('NFET Data'!$AE134&lt;&gt;"(Null)"),('NFET Data'!$AD134&lt;&gt;"(Null)"),('NFET Data'!$AC134&lt;&gt;"(Null)")))</f>
        <v>0</v>
      </c>
      <c r="Q134" s="20" t="b">
        <f t="shared" si="13"/>
        <v>0</v>
      </c>
      <c r="R134" s="20" t="b">
        <f t="shared" si="14"/>
        <v>0</v>
      </c>
    </row>
    <row r="135" spans="1:18" x14ac:dyDescent="0.25">
      <c r="A135" s="20" t="str">
        <f>IF(R135,Load_Switch_NFET[[#This Row],[PARTNUMBER]],"")</f>
        <v/>
      </c>
      <c r="B135"/>
      <c r="C135" s="20" t="b">
        <f>AND((Load_Switch_NFET[[#This Row],[VDSMAX]]&gt;=Vi*1.1),(Load_Switch_NFET[[#This Row],[VGSMAX]]&gt;=(VGS_DR)*1.1),(Load_Switch_NFET[[#This Row],[IDSMAX]]&gt;=Io),VGS_DR&gt;=1.8)</f>
        <v>1</v>
      </c>
      <c r="D135" s="20" t="b">
        <f>AND(Vi&lt;=27,Load_Switch_NFET[[#This Row],[VDSMAX]]&lt;=30)</f>
        <v>0</v>
      </c>
      <c r="E135" s="20" t="b">
        <f>AND(Vi&lt;=36,Vi&gt;=20,Load_Switch_NFET[[#This Row],[VDSMAX]]=40)</f>
        <v>0</v>
      </c>
      <c r="F135" s="20" t="b">
        <f>AND(Vi&lt;=54,Vi&gt;=25,Load_Switch_NFET[[#This Row],[VDSMAX]]=60)</f>
        <v>0</v>
      </c>
      <c r="G135" s="20" t="b">
        <f>AND(Vi&lt;=72,Vi&gt;=36,Load_Switch_NFET[[#This Row],[VDSMAX]]=80)</f>
        <v>0</v>
      </c>
      <c r="H135" s="20" t="b">
        <f>AND(Vi&lt;=90,Vi&gt;=48,Load_Switch_NFET[[#This Row],[VDSMAX]]=100)</f>
        <v>0</v>
      </c>
      <c r="I135" s="20" t="b">
        <f t="shared" si="12"/>
        <v>0</v>
      </c>
      <c r="J135" s="20" t="b">
        <f>AND(((VGS_DR)&lt;2.5),('NFET Data'!$AC135&lt;&gt;"(Null)"))</f>
        <v>0</v>
      </c>
      <c r="K135" s="20" t="b">
        <f>AND(((VGS_DR)&gt;=2.5),((VGS_DR)&lt;3),OR(('NFET Data'!$AD135&lt;&gt;"(Null)"),('NFET Data'!$AC135&lt;&gt;"(Null)")))</f>
        <v>0</v>
      </c>
      <c r="L135" s="20" t="b">
        <f>AND(((VGS_DR)&gt;=3),((VGS_DR)&lt;4.5),OR(('NFET Data'!$AE135&lt;&gt;"(Null)"),('NFET Data'!$AD135&lt;&gt;"(Null)"),('NFET Data'!$AC135&lt;&gt;"(Null)")))</f>
        <v>0</v>
      </c>
      <c r="M135" s="20" t="b">
        <f>AND(((VGS_DR)&gt;=4.5),((VGS_DR)&lt;6),OR(('NFET Data'!$AF135&lt;&gt;"(Null)"),('NFET Data'!$AE135&lt;&gt;"(Null)"),('NFET Data'!$AD135&lt;&gt;"(Null)"),('NFET Data'!$AC135&lt;&gt;"(Null)")))</f>
        <v>0</v>
      </c>
      <c r="N135" s="20" t="b">
        <f>AND(((VGS_DR)&gt;=6),((VGS_DR)&lt;8),OR(('NFET Data'!$AG135&lt;&gt;"(Null)"),('NFET Data'!$AF135&lt;&gt;"(Null)"),('NFET Data'!$AE135&lt;&gt;"(Null)"),('NFET Data'!$AD135&lt;&gt;"(Null)"),('NFET Data'!$AC135&lt;&gt;"(Null)")))</f>
        <v>0</v>
      </c>
      <c r="O135" s="20" t="b">
        <f>AND(((VGS_DR)&gt;=8),((VGS_DR)&lt;10),OR(('NFET Data'!$AH135&lt;&gt;"(Null)"),('NFET Data'!$AG135&lt;&gt;"(Null)"),('NFET Data'!$AF135&lt;&gt;"(Null)"),('NFET Data'!$AE135&lt;&gt;"(Null)"),('NFET Data'!$AD135&lt;&gt;"(Null)"),('NFET Data'!$AC135&lt;&gt;"(Null)")))</f>
        <v>0</v>
      </c>
      <c r="P135" s="20" t="b">
        <f>AND(((VGS_DR)&gt;=10),OR(('NFET Data'!$AI135&lt;&gt;"(Null)"),('NFET Data'!$AH135&lt;&gt;"(Null)"),('NFET Data'!$AG135&lt;&gt;"(Null)"),('NFET Data'!$AF135&lt;&gt;"(Null)"),('NFET Data'!$AE135&lt;&gt;"(Null)"),('NFET Data'!$AD135&lt;&gt;"(Null)"),('NFET Data'!$AC135&lt;&gt;"(Null)")))</f>
        <v>0</v>
      </c>
      <c r="Q135" s="20" t="b">
        <f t="shared" si="13"/>
        <v>0</v>
      </c>
      <c r="R135" s="20" t="b">
        <f t="shared" si="14"/>
        <v>0</v>
      </c>
    </row>
    <row r="136" spans="1:18" x14ac:dyDescent="0.25">
      <c r="A136" s="20" t="str">
        <f>IF(R136,Load_Switch_NFET[[#This Row],[PARTNUMBER]],"")</f>
        <v/>
      </c>
      <c r="B136"/>
      <c r="C136" s="20" t="b">
        <f>AND((Load_Switch_NFET[[#This Row],[VDSMAX]]&gt;=Vi*1.1),(Load_Switch_NFET[[#This Row],[VGSMAX]]&gt;=(VGS_DR)*1.1),(Load_Switch_NFET[[#This Row],[IDSMAX]]&gt;=Io),VGS_DR&gt;=1.8)</f>
        <v>1</v>
      </c>
      <c r="D136" s="20" t="b">
        <f>AND(Vi&lt;=27,Load_Switch_NFET[[#This Row],[VDSMAX]]&lt;=30)</f>
        <v>0</v>
      </c>
      <c r="E136" s="20" t="b">
        <f>AND(Vi&lt;=36,Vi&gt;=20,Load_Switch_NFET[[#This Row],[VDSMAX]]=40)</f>
        <v>0</v>
      </c>
      <c r="F136" s="20" t="b">
        <f>AND(Vi&lt;=54,Vi&gt;=25,Load_Switch_NFET[[#This Row],[VDSMAX]]=60)</f>
        <v>0</v>
      </c>
      <c r="G136" s="20" t="b">
        <f>AND(Vi&lt;=72,Vi&gt;=36,Load_Switch_NFET[[#This Row],[VDSMAX]]=80)</f>
        <v>0</v>
      </c>
      <c r="H136" s="20" t="b">
        <f>AND(Vi&lt;=90,Vi&gt;=48,Load_Switch_NFET[[#This Row],[VDSMAX]]=100)</f>
        <v>0</v>
      </c>
      <c r="I136" s="20" t="b">
        <f t="shared" si="12"/>
        <v>0</v>
      </c>
      <c r="J136" s="20" t="b">
        <f>AND(((VGS_DR)&lt;2.5),('NFET Data'!$AC136&lt;&gt;"(Null)"))</f>
        <v>0</v>
      </c>
      <c r="K136" s="20" t="b">
        <f>AND(((VGS_DR)&gt;=2.5),((VGS_DR)&lt;3),OR(('NFET Data'!$AD136&lt;&gt;"(Null)"),('NFET Data'!$AC136&lt;&gt;"(Null)")))</f>
        <v>0</v>
      </c>
      <c r="L136" s="20" t="b">
        <f>AND(((VGS_DR)&gt;=3),((VGS_DR)&lt;4.5),OR(('NFET Data'!$AE136&lt;&gt;"(Null)"),('NFET Data'!$AD136&lt;&gt;"(Null)"),('NFET Data'!$AC136&lt;&gt;"(Null)")))</f>
        <v>0</v>
      </c>
      <c r="M136" s="20" t="b">
        <f>AND(((VGS_DR)&gt;=4.5),((VGS_DR)&lt;6),OR(('NFET Data'!$AF136&lt;&gt;"(Null)"),('NFET Data'!$AE136&lt;&gt;"(Null)"),('NFET Data'!$AD136&lt;&gt;"(Null)"),('NFET Data'!$AC136&lt;&gt;"(Null)")))</f>
        <v>0</v>
      </c>
      <c r="N136" s="20" t="b">
        <f>AND(((VGS_DR)&gt;=6),((VGS_DR)&lt;8),OR(('NFET Data'!$AG136&lt;&gt;"(Null)"),('NFET Data'!$AF136&lt;&gt;"(Null)"),('NFET Data'!$AE136&lt;&gt;"(Null)"),('NFET Data'!$AD136&lt;&gt;"(Null)"),('NFET Data'!$AC136&lt;&gt;"(Null)")))</f>
        <v>0</v>
      </c>
      <c r="O136" s="20" t="b">
        <f>AND(((VGS_DR)&gt;=8),((VGS_DR)&lt;10),OR(('NFET Data'!$AH136&lt;&gt;"(Null)"),('NFET Data'!$AG136&lt;&gt;"(Null)"),('NFET Data'!$AF136&lt;&gt;"(Null)"),('NFET Data'!$AE136&lt;&gt;"(Null)"),('NFET Data'!$AD136&lt;&gt;"(Null)"),('NFET Data'!$AC136&lt;&gt;"(Null)")))</f>
        <v>0</v>
      </c>
      <c r="P136" s="20" t="b">
        <f>AND(((VGS_DR)&gt;=10),OR(('NFET Data'!$AI136&lt;&gt;"(Null)"),('NFET Data'!$AH136&lt;&gt;"(Null)"),('NFET Data'!$AG136&lt;&gt;"(Null)"),('NFET Data'!$AF136&lt;&gt;"(Null)"),('NFET Data'!$AE136&lt;&gt;"(Null)"),('NFET Data'!$AD136&lt;&gt;"(Null)"),('NFET Data'!$AC136&lt;&gt;"(Null)")))</f>
        <v>0</v>
      </c>
      <c r="Q136" s="20" t="b">
        <f t="shared" si="13"/>
        <v>0</v>
      </c>
      <c r="R136" s="20" t="b">
        <f t="shared" si="14"/>
        <v>0</v>
      </c>
    </row>
    <row r="137" spans="1:18" x14ac:dyDescent="0.25">
      <c r="A137" s="20" t="str">
        <f>IF(R137,Load_Switch_NFET[[#This Row],[PARTNUMBER]],"")</f>
        <v/>
      </c>
      <c r="B137"/>
      <c r="C137" s="20" t="b">
        <f>AND((Load_Switch_NFET[[#This Row],[VDSMAX]]&gt;=Vi*1.1),(Load_Switch_NFET[[#This Row],[VGSMAX]]&gt;=(VGS_DR)*1.1),(Load_Switch_NFET[[#This Row],[IDSMAX]]&gt;=Io),VGS_DR&gt;=1.8)</f>
        <v>1</v>
      </c>
      <c r="D137" s="20" t="b">
        <f>AND(Vi&lt;=27,Load_Switch_NFET[[#This Row],[VDSMAX]]&lt;=30)</f>
        <v>0</v>
      </c>
      <c r="E137" s="20" t="b">
        <f>AND(Vi&lt;=36,Vi&gt;=20,Load_Switch_NFET[[#This Row],[VDSMAX]]=40)</f>
        <v>0</v>
      </c>
      <c r="F137" s="20" t="b">
        <f>AND(Vi&lt;=54,Vi&gt;=25,Load_Switch_NFET[[#This Row],[VDSMAX]]=60)</f>
        <v>0</v>
      </c>
      <c r="G137" s="20" t="b">
        <f>AND(Vi&lt;=72,Vi&gt;=36,Load_Switch_NFET[[#This Row],[VDSMAX]]=80)</f>
        <v>0</v>
      </c>
      <c r="H137" s="20" t="b">
        <f>AND(Vi&lt;=90,Vi&gt;=48,Load_Switch_NFET[[#This Row],[VDSMAX]]=100)</f>
        <v>0</v>
      </c>
      <c r="I137" s="20" t="b">
        <f t="shared" si="12"/>
        <v>0</v>
      </c>
      <c r="J137" s="20" t="b">
        <f>AND(((VGS_DR)&lt;2.5),('NFET Data'!$AC137&lt;&gt;"(Null)"))</f>
        <v>0</v>
      </c>
      <c r="K137" s="20" t="b">
        <f>AND(((VGS_DR)&gt;=2.5),((VGS_DR)&lt;3),OR(('NFET Data'!$AD137&lt;&gt;"(Null)"),('NFET Data'!$AC137&lt;&gt;"(Null)")))</f>
        <v>0</v>
      </c>
      <c r="L137" s="20" t="b">
        <f>AND(((VGS_DR)&gt;=3),((VGS_DR)&lt;4.5),OR(('NFET Data'!$AE137&lt;&gt;"(Null)"),('NFET Data'!$AD137&lt;&gt;"(Null)"),('NFET Data'!$AC137&lt;&gt;"(Null)")))</f>
        <v>0</v>
      </c>
      <c r="M137" s="20" t="b">
        <f>AND(((VGS_DR)&gt;=4.5),((VGS_DR)&lt;6),OR(('NFET Data'!$AF137&lt;&gt;"(Null)"),('NFET Data'!$AE137&lt;&gt;"(Null)"),('NFET Data'!$AD137&lt;&gt;"(Null)"),('NFET Data'!$AC137&lt;&gt;"(Null)")))</f>
        <v>0</v>
      </c>
      <c r="N137" s="20" t="b">
        <f>AND(((VGS_DR)&gt;=6),((VGS_DR)&lt;8),OR(('NFET Data'!$AG137&lt;&gt;"(Null)"),('NFET Data'!$AF137&lt;&gt;"(Null)"),('NFET Data'!$AE137&lt;&gt;"(Null)"),('NFET Data'!$AD137&lt;&gt;"(Null)"),('NFET Data'!$AC137&lt;&gt;"(Null)")))</f>
        <v>0</v>
      </c>
      <c r="O137" s="20" t="b">
        <f>AND(((VGS_DR)&gt;=8),((VGS_DR)&lt;10),OR(('NFET Data'!$AH137&lt;&gt;"(Null)"),('NFET Data'!$AG137&lt;&gt;"(Null)"),('NFET Data'!$AF137&lt;&gt;"(Null)"),('NFET Data'!$AE137&lt;&gt;"(Null)"),('NFET Data'!$AD137&lt;&gt;"(Null)"),('NFET Data'!$AC137&lt;&gt;"(Null)")))</f>
        <v>0</v>
      </c>
      <c r="P137" s="20" t="b">
        <f>AND(((VGS_DR)&gt;=10),OR(('NFET Data'!$AI137&lt;&gt;"(Null)"),('NFET Data'!$AH137&lt;&gt;"(Null)"),('NFET Data'!$AG137&lt;&gt;"(Null)"),('NFET Data'!$AF137&lt;&gt;"(Null)"),('NFET Data'!$AE137&lt;&gt;"(Null)"),('NFET Data'!$AD137&lt;&gt;"(Null)"),('NFET Data'!$AC137&lt;&gt;"(Null)")))</f>
        <v>0</v>
      </c>
      <c r="Q137" s="20" t="b">
        <f t="shared" si="13"/>
        <v>0</v>
      </c>
      <c r="R137" s="20" t="b">
        <f t="shared" si="14"/>
        <v>0</v>
      </c>
    </row>
    <row r="138" spans="1:18" x14ac:dyDescent="0.25">
      <c r="A138" s="20" t="str">
        <f>IF(R138,Load_Switch_NFET[[#This Row],[PARTNUMBER]],"")</f>
        <v/>
      </c>
      <c r="B138"/>
      <c r="C138" s="20" t="b">
        <f>AND((Load_Switch_NFET[[#This Row],[VDSMAX]]&gt;=Vi*1.1),(Load_Switch_NFET[[#This Row],[VGSMAX]]&gt;=(VGS_DR)*1.1),(Load_Switch_NFET[[#This Row],[IDSMAX]]&gt;=Io),VGS_DR&gt;=1.8)</f>
        <v>1</v>
      </c>
      <c r="D138" s="20" t="b">
        <f>AND(Vi&lt;=27,Load_Switch_NFET[[#This Row],[VDSMAX]]&lt;=30)</f>
        <v>0</v>
      </c>
      <c r="E138" s="20" t="b">
        <f>AND(Vi&lt;=36,Vi&gt;=20,Load_Switch_NFET[[#This Row],[VDSMAX]]=40)</f>
        <v>0</v>
      </c>
      <c r="F138" s="20" t="b">
        <f>AND(Vi&lt;=54,Vi&gt;=25,Load_Switch_NFET[[#This Row],[VDSMAX]]=60)</f>
        <v>0</v>
      </c>
      <c r="G138" s="20" t="b">
        <f>AND(Vi&lt;=72,Vi&gt;=36,Load_Switch_NFET[[#This Row],[VDSMAX]]=80)</f>
        <v>0</v>
      </c>
      <c r="H138" s="20" t="b">
        <f>AND(Vi&lt;=90,Vi&gt;=48,Load_Switch_NFET[[#This Row],[VDSMAX]]=100)</f>
        <v>0</v>
      </c>
      <c r="I138" s="20" t="b">
        <f t="shared" si="12"/>
        <v>0</v>
      </c>
      <c r="J138" s="20" t="b">
        <f>AND(((VGS_DR)&lt;2.5),('NFET Data'!$AC138&lt;&gt;"(Null)"))</f>
        <v>0</v>
      </c>
      <c r="K138" s="20" t="b">
        <f>AND(((VGS_DR)&gt;=2.5),((VGS_DR)&lt;3),OR(('NFET Data'!$AD138&lt;&gt;"(Null)"),('NFET Data'!$AC138&lt;&gt;"(Null)")))</f>
        <v>0</v>
      </c>
      <c r="L138" s="20" t="b">
        <f>AND(((VGS_DR)&gt;=3),((VGS_DR)&lt;4.5),OR(('NFET Data'!$AE138&lt;&gt;"(Null)"),('NFET Data'!$AD138&lt;&gt;"(Null)"),('NFET Data'!$AC138&lt;&gt;"(Null)")))</f>
        <v>0</v>
      </c>
      <c r="M138" s="20" t="b">
        <f>AND(((VGS_DR)&gt;=4.5),((VGS_DR)&lt;6),OR(('NFET Data'!$AF138&lt;&gt;"(Null)"),('NFET Data'!$AE138&lt;&gt;"(Null)"),('NFET Data'!$AD138&lt;&gt;"(Null)"),('NFET Data'!$AC138&lt;&gt;"(Null)")))</f>
        <v>0</v>
      </c>
      <c r="N138" s="20" t="b">
        <f>AND(((VGS_DR)&gt;=6),((VGS_DR)&lt;8),OR(('NFET Data'!$AG138&lt;&gt;"(Null)"),('NFET Data'!$AF138&lt;&gt;"(Null)"),('NFET Data'!$AE138&lt;&gt;"(Null)"),('NFET Data'!$AD138&lt;&gt;"(Null)"),('NFET Data'!$AC138&lt;&gt;"(Null)")))</f>
        <v>0</v>
      </c>
      <c r="O138" s="20" t="b">
        <f>AND(((VGS_DR)&gt;=8),((VGS_DR)&lt;10),OR(('NFET Data'!$AH138&lt;&gt;"(Null)"),('NFET Data'!$AG138&lt;&gt;"(Null)"),('NFET Data'!$AF138&lt;&gt;"(Null)"),('NFET Data'!$AE138&lt;&gt;"(Null)"),('NFET Data'!$AD138&lt;&gt;"(Null)"),('NFET Data'!$AC138&lt;&gt;"(Null)")))</f>
        <v>0</v>
      </c>
      <c r="P138" s="20" t="b">
        <f>AND(((VGS_DR)&gt;=10),OR(('NFET Data'!$AI138&lt;&gt;"(Null)"),('NFET Data'!$AH138&lt;&gt;"(Null)"),('NFET Data'!$AG138&lt;&gt;"(Null)"),('NFET Data'!$AF138&lt;&gt;"(Null)"),('NFET Data'!$AE138&lt;&gt;"(Null)"),('NFET Data'!$AD138&lt;&gt;"(Null)"),('NFET Data'!$AC138&lt;&gt;"(Null)")))</f>
        <v>0</v>
      </c>
      <c r="Q138" s="20" t="b">
        <f t="shared" si="13"/>
        <v>0</v>
      </c>
      <c r="R138" s="20" t="b">
        <f t="shared" si="14"/>
        <v>0</v>
      </c>
    </row>
    <row r="139" spans="1:18" x14ac:dyDescent="0.25">
      <c r="A139" s="20" t="str">
        <f>IF(R139,Load_Switch_NFET[[#This Row],[PARTNUMBER]],"")</f>
        <v/>
      </c>
      <c r="B139"/>
      <c r="C139" s="20" t="b">
        <f>AND((Load_Switch_NFET[[#This Row],[VDSMAX]]&gt;=Vi*1.1),(Load_Switch_NFET[[#This Row],[VGSMAX]]&gt;=(VGS_DR)*1.1),(Load_Switch_NFET[[#This Row],[IDSMAX]]&gt;=Io),VGS_DR&gt;=1.8)</f>
        <v>1</v>
      </c>
      <c r="D139" s="20" t="b">
        <f>AND(Vi&lt;=27,Load_Switch_NFET[[#This Row],[VDSMAX]]&lt;=30)</f>
        <v>0</v>
      </c>
      <c r="E139" s="20" t="b">
        <f>AND(Vi&lt;=36,Vi&gt;=20,Load_Switch_NFET[[#This Row],[VDSMAX]]=40)</f>
        <v>0</v>
      </c>
      <c r="F139" s="20" t="b">
        <f>AND(Vi&lt;=54,Vi&gt;=25,Load_Switch_NFET[[#This Row],[VDSMAX]]=60)</f>
        <v>0</v>
      </c>
      <c r="G139" s="20" t="b">
        <f>AND(Vi&lt;=72,Vi&gt;=36,Load_Switch_NFET[[#This Row],[VDSMAX]]=80)</f>
        <v>0</v>
      </c>
      <c r="H139" s="20" t="b">
        <f>AND(Vi&lt;=90,Vi&gt;=48,Load_Switch_NFET[[#This Row],[VDSMAX]]=100)</f>
        <v>0</v>
      </c>
      <c r="I139" s="20" t="b">
        <f t="shared" si="12"/>
        <v>0</v>
      </c>
      <c r="J139" s="20" t="b">
        <f>AND(((VGS_DR)&lt;2.5),('NFET Data'!$AC139&lt;&gt;"(Null)"))</f>
        <v>0</v>
      </c>
      <c r="K139" s="20" t="b">
        <f>AND(((VGS_DR)&gt;=2.5),((VGS_DR)&lt;3),OR(('NFET Data'!$AD139&lt;&gt;"(Null)"),('NFET Data'!$AC139&lt;&gt;"(Null)")))</f>
        <v>0</v>
      </c>
      <c r="L139" s="20" t="b">
        <f>AND(((VGS_DR)&gt;=3),((VGS_DR)&lt;4.5),OR(('NFET Data'!$AE139&lt;&gt;"(Null)"),('NFET Data'!$AD139&lt;&gt;"(Null)"),('NFET Data'!$AC139&lt;&gt;"(Null)")))</f>
        <v>0</v>
      </c>
      <c r="M139" s="20" t="b">
        <f>AND(((VGS_DR)&gt;=4.5),((VGS_DR)&lt;6),OR(('NFET Data'!$AF139&lt;&gt;"(Null)"),('NFET Data'!$AE139&lt;&gt;"(Null)"),('NFET Data'!$AD139&lt;&gt;"(Null)"),('NFET Data'!$AC139&lt;&gt;"(Null)")))</f>
        <v>0</v>
      </c>
      <c r="N139" s="20" t="b">
        <f>AND(((VGS_DR)&gt;=6),((VGS_DR)&lt;8),OR(('NFET Data'!$AG139&lt;&gt;"(Null)"),('NFET Data'!$AF139&lt;&gt;"(Null)"),('NFET Data'!$AE139&lt;&gt;"(Null)"),('NFET Data'!$AD139&lt;&gt;"(Null)"),('NFET Data'!$AC139&lt;&gt;"(Null)")))</f>
        <v>0</v>
      </c>
      <c r="O139" s="20" t="b">
        <f>AND(((VGS_DR)&gt;=8),((VGS_DR)&lt;10),OR(('NFET Data'!$AH139&lt;&gt;"(Null)"),('NFET Data'!$AG139&lt;&gt;"(Null)"),('NFET Data'!$AF139&lt;&gt;"(Null)"),('NFET Data'!$AE139&lt;&gt;"(Null)"),('NFET Data'!$AD139&lt;&gt;"(Null)"),('NFET Data'!$AC139&lt;&gt;"(Null)")))</f>
        <v>0</v>
      </c>
      <c r="P139" s="20" t="b">
        <f>AND(((VGS_DR)&gt;=10),OR(('NFET Data'!$AI139&lt;&gt;"(Null)"),('NFET Data'!$AH139&lt;&gt;"(Null)"),('NFET Data'!$AG139&lt;&gt;"(Null)"),('NFET Data'!$AF139&lt;&gt;"(Null)"),('NFET Data'!$AE139&lt;&gt;"(Null)"),('NFET Data'!$AD139&lt;&gt;"(Null)"),('NFET Data'!$AC139&lt;&gt;"(Null)")))</f>
        <v>0</v>
      </c>
      <c r="Q139" s="20" t="b">
        <f t="shared" si="13"/>
        <v>0</v>
      </c>
      <c r="R139" s="20" t="b">
        <f t="shared" si="14"/>
        <v>0</v>
      </c>
    </row>
    <row r="140" spans="1:18" x14ac:dyDescent="0.25">
      <c r="A140" s="20" t="str">
        <f>IF(R140,Load_Switch_NFET[[#This Row],[PARTNUMBER]],"")</f>
        <v/>
      </c>
      <c r="B140"/>
      <c r="C140" s="20" t="b">
        <f>AND((Load_Switch_NFET[[#This Row],[VDSMAX]]&gt;=Vi*1.1),(Load_Switch_NFET[[#This Row],[VGSMAX]]&gt;=(VGS_DR)*1.1),(Load_Switch_NFET[[#This Row],[IDSMAX]]&gt;=Io),VGS_DR&gt;=1.8)</f>
        <v>1</v>
      </c>
      <c r="D140" s="20" t="b">
        <f>AND(Vi&lt;=27,Load_Switch_NFET[[#This Row],[VDSMAX]]&lt;=30)</f>
        <v>0</v>
      </c>
      <c r="E140" s="20" t="b">
        <f>AND(Vi&lt;=36,Vi&gt;=20,Load_Switch_NFET[[#This Row],[VDSMAX]]=40)</f>
        <v>0</v>
      </c>
      <c r="F140" s="20" t="b">
        <f>AND(Vi&lt;=54,Vi&gt;=25,Load_Switch_NFET[[#This Row],[VDSMAX]]=60)</f>
        <v>0</v>
      </c>
      <c r="G140" s="20" t="b">
        <f>AND(Vi&lt;=72,Vi&gt;=36,Load_Switch_NFET[[#This Row],[VDSMAX]]=80)</f>
        <v>0</v>
      </c>
      <c r="H140" s="20" t="b">
        <f>AND(Vi&lt;=90,Vi&gt;=48,Load_Switch_NFET[[#This Row],[VDSMAX]]=100)</f>
        <v>0</v>
      </c>
      <c r="I140" s="20" t="b">
        <f t="shared" si="12"/>
        <v>0</v>
      </c>
      <c r="J140" s="20" t="b">
        <f>AND(((VGS_DR)&lt;2.5),('NFET Data'!$AC140&lt;&gt;"(Null)"))</f>
        <v>0</v>
      </c>
      <c r="K140" s="20" t="b">
        <f>AND(((VGS_DR)&gt;=2.5),((VGS_DR)&lt;3),OR(('NFET Data'!$AD140&lt;&gt;"(Null)"),('NFET Data'!$AC140&lt;&gt;"(Null)")))</f>
        <v>0</v>
      </c>
      <c r="L140" s="20" t="b">
        <f>AND(((VGS_DR)&gt;=3),((VGS_DR)&lt;4.5),OR(('NFET Data'!$AE140&lt;&gt;"(Null)"),('NFET Data'!$AD140&lt;&gt;"(Null)"),('NFET Data'!$AC140&lt;&gt;"(Null)")))</f>
        <v>0</v>
      </c>
      <c r="M140" s="20" t="b">
        <f>AND(((VGS_DR)&gt;=4.5),((VGS_DR)&lt;6),OR(('NFET Data'!$AF140&lt;&gt;"(Null)"),('NFET Data'!$AE140&lt;&gt;"(Null)"),('NFET Data'!$AD140&lt;&gt;"(Null)"),('NFET Data'!$AC140&lt;&gt;"(Null)")))</f>
        <v>0</v>
      </c>
      <c r="N140" s="20" t="b">
        <f>AND(((VGS_DR)&gt;=6),((VGS_DR)&lt;8),OR(('NFET Data'!$AG140&lt;&gt;"(Null)"),('NFET Data'!$AF140&lt;&gt;"(Null)"),('NFET Data'!$AE140&lt;&gt;"(Null)"),('NFET Data'!$AD140&lt;&gt;"(Null)"),('NFET Data'!$AC140&lt;&gt;"(Null)")))</f>
        <v>0</v>
      </c>
      <c r="O140" s="20" t="b">
        <f>AND(((VGS_DR)&gt;=8),((VGS_DR)&lt;10),OR(('NFET Data'!$AH140&lt;&gt;"(Null)"),('NFET Data'!$AG140&lt;&gt;"(Null)"),('NFET Data'!$AF140&lt;&gt;"(Null)"),('NFET Data'!$AE140&lt;&gt;"(Null)"),('NFET Data'!$AD140&lt;&gt;"(Null)"),('NFET Data'!$AC140&lt;&gt;"(Null)")))</f>
        <v>0</v>
      </c>
      <c r="P140" s="20" t="b">
        <f>AND(((VGS_DR)&gt;=10),OR(('NFET Data'!$AI140&lt;&gt;"(Null)"),('NFET Data'!$AH140&lt;&gt;"(Null)"),('NFET Data'!$AG140&lt;&gt;"(Null)"),('NFET Data'!$AF140&lt;&gt;"(Null)"),('NFET Data'!$AE140&lt;&gt;"(Null)"),('NFET Data'!$AD140&lt;&gt;"(Null)"),('NFET Data'!$AC140&lt;&gt;"(Null)")))</f>
        <v>0</v>
      </c>
      <c r="Q140" s="20" t="b">
        <f t="shared" si="13"/>
        <v>0</v>
      </c>
      <c r="R140" s="20" t="b">
        <f t="shared" si="14"/>
        <v>0</v>
      </c>
    </row>
    <row r="141" spans="1:18" x14ac:dyDescent="0.25">
      <c r="A141" s="20" t="str">
        <f>IF(R141,Load_Switch_NFET[[#This Row],[PARTNUMBER]],"")</f>
        <v/>
      </c>
      <c r="B141"/>
      <c r="C141" s="20" t="b">
        <f>AND((Load_Switch_NFET[[#This Row],[VDSMAX]]&gt;=Vi*1.1),(Load_Switch_NFET[[#This Row],[VGSMAX]]&gt;=(VGS_DR)*1.1),(Load_Switch_NFET[[#This Row],[IDSMAX]]&gt;=Io),VGS_DR&gt;=1.8)</f>
        <v>1</v>
      </c>
      <c r="D141" s="20" t="b">
        <f>AND(Vi&lt;=27,Load_Switch_NFET[[#This Row],[VDSMAX]]&lt;=30)</f>
        <v>0</v>
      </c>
      <c r="E141" s="20" t="b">
        <f>AND(Vi&lt;=36,Vi&gt;=20,Load_Switch_NFET[[#This Row],[VDSMAX]]=40)</f>
        <v>0</v>
      </c>
      <c r="F141" s="20" t="b">
        <f>AND(Vi&lt;=54,Vi&gt;=25,Load_Switch_NFET[[#This Row],[VDSMAX]]=60)</f>
        <v>0</v>
      </c>
      <c r="G141" s="20" t="b">
        <f>AND(Vi&lt;=72,Vi&gt;=36,Load_Switch_NFET[[#This Row],[VDSMAX]]=80)</f>
        <v>0</v>
      </c>
      <c r="H141" s="20" t="b">
        <f>AND(Vi&lt;=90,Vi&gt;=48,Load_Switch_NFET[[#This Row],[VDSMAX]]=100)</f>
        <v>0</v>
      </c>
      <c r="I141" s="20" t="b">
        <f t="shared" si="12"/>
        <v>0</v>
      </c>
      <c r="J141" s="20" t="b">
        <f>AND(((VGS_DR)&lt;2.5),('NFET Data'!$AC141&lt;&gt;"(Null)"))</f>
        <v>0</v>
      </c>
      <c r="K141" s="20" t="b">
        <f>AND(((VGS_DR)&gt;=2.5),((VGS_DR)&lt;3),OR(('NFET Data'!$AD141&lt;&gt;"(Null)"),('NFET Data'!$AC141&lt;&gt;"(Null)")))</f>
        <v>0</v>
      </c>
      <c r="L141" s="20" t="b">
        <f>AND(((VGS_DR)&gt;=3),((VGS_DR)&lt;4.5),OR(('NFET Data'!$AE141&lt;&gt;"(Null)"),('NFET Data'!$AD141&lt;&gt;"(Null)"),('NFET Data'!$AC141&lt;&gt;"(Null)")))</f>
        <v>0</v>
      </c>
      <c r="M141" s="20" t="b">
        <f>AND(((VGS_DR)&gt;=4.5),((VGS_DR)&lt;6),OR(('NFET Data'!$AF141&lt;&gt;"(Null)"),('NFET Data'!$AE141&lt;&gt;"(Null)"),('NFET Data'!$AD141&lt;&gt;"(Null)"),('NFET Data'!$AC141&lt;&gt;"(Null)")))</f>
        <v>0</v>
      </c>
      <c r="N141" s="20" t="b">
        <f>AND(((VGS_DR)&gt;=6),((VGS_DR)&lt;8),OR(('NFET Data'!$AG141&lt;&gt;"(Null)"),('NFET Data'!$AF141&lt;&gt;"(Null)"),('NFET Data'!$AE141&lt;&gt;"(Null)"),('NFET Data'!$AD141&lt;&gt;"(Null)"),('NFET Data'!$AC141&lt;&gt;"(Null)")))</f>
        <v>0</v>
      </c>
      <c r="O141" s="20" t="b">
        <f>AND(((VGS_DR)&gt;=8),((VGS_DR)&lt;10),OR(('NFET Data'!$AH141&lt;&gt;"(Null)"),('NFET Data'!$AG141&lt;&gt;"(Null)"),('NFET Data'!$AF141&lt;&gt;"(Null)"),('NFET Data'!$AE141&lt;&gt;"(Null)"),('NFET Data'!$AD141&lt;&gt;"(Null)"),('NFET Data'!$AC141&lt;&gt;"(Null)")))</f>
        <v>0</v>
      </c>
      <c r="P141" s="20" t="b">
        <f>AND(((VGS_DR)&gt;=10),OR(('NFET Data'!$AI141&lt;&gt;"(Null)"),('NFET Data'!$AH141&lt;&gt;"(Null)"),('NFET Data'!$AG141&lt;&gt;"(Null)"),('NFET Data'!$AF141&lt;&gt;"(Null)"),('NFET Data'!$AE141&lt;&gt;"(Null)"),('NFET Data'!$AD141&lt;&gt;"(Null)"),('NFET Data'!$AC141&lt;&gt;"(Null)")))</f>
        <v>0</v>
      </c>
      <c r="Q141" s="20" t="b">
        <f t="shared" si="13"/>
        <v>0</v>
      </c>
      <c r="R141" s="20" t="b">
        <f t="shared" si="14"/>
        <v>0</v>
      </c>
    </row>
    <row r="142" spans="1:18" x14ac:dyDescent="0.25">
      <c r="A142" s="20" t="str">
        <f>IF(R142,Load_Switch_NFET[[#This Row],[PARTNUMBER]],"")</f>
        <v/>
      </c>
      <c r="B142"/>
      <c r="C142" s="20" t="b">
        <f>AND((Load_Switch_NFET[[#This Row],[VDSMAX]]&gt;=Vi*1.1),(Load_Switch_NFET[[#This Row],[VGSMAX]]&gt;=(VGS_DR)*1.1),(Load_Switch_NFET[[#This Row],[IDSMAX]]&gt;=Io),VGS_DR&gt;=1.8)</f>
        <v>1</v>
      </c>
      <c r="D142" s="20" t="b">
        <f>AND(Vi&lt;=27,Load_Switch_NFET[[#This Row],[VDSMAX]]&lt;=30)</f>
        <v>0</v>
      </c>
      <c r="E142" s="20" t="b">
        <f>AND(Vi&lt;=36,Vi&gt;=20,Load_Switch_NFET[[#This Row],[VDSMAX]]=40)</f>
        <v>0</v>
      </c>
      <c r="F142" s="20" t="b">
        <f>AND(Vi&lt;=54,Vi&gt;=25,Load_Switch_NFET[[#This Row],[VDSMAX]]=60)</f>
        <v>0</v>
      </c>
      <c r="G142" s="20" t="b">
        <f>AND(Vi&lt;=72,Vi&gt;=36,Load_Switch_NFET[[#This Row],[VDSMAX]]=80)</f>
        <v>0</v>
      </c>
      <c r="H142" s="20" t="b">
        <f>AND(Vi&lt;=90,Vi&gt;=48,Load_Switch_NFET[[#This Row],[VDSMAX]]=100)</f>
        <v>0</v>
      </c>
      <c r="I142" s="20" t="b">
        <f t="shared" si="12"/>
        <v>0</v>
      </c>
      <c r="J142" s="20" t="b">
        <f>AND(((VGS_DR)&lt;2.5),('NFET Data'!$AC142&lt;&gt;"(Null)"))</f>
        <v>0</v>
      </c>
      <c r="K142" s="20" t="b">
        <f>AND(((VGS_DR)&gt;=2.5),((VGS_DR)&lt;3),OR(('NFET Data'!$AD142&lt;&gt;"(Null)"),('NFET Data'!$AC142&lt;&gt;"(Null)")))</f>
        <v>0</v>
      </c>
      <c r="L142" s="20" t="b">
        <f>AND(((VGS_DR)&gt;=3),((VGS_DR)&lt;4.5),OR(('NFET Data'!$AE142&lt;&gt;"(Null)"),('NFET Data'!$AD142&lt;&gt;"(Null)"),('NFET Data'!$AC142&lt;&gt;"(Null)")))</f>
        <v>0</v>
      </c>
      <c r="M142" s="20" t="b">
        <f>AND(((VGS_DR)&gt;=4.5),((VGS_DR)&lt;6),OR(('NFET Data'!$AF142&lt;&gt;"(Null)"),('NFET Data'!$AE142&lt;&gt;"(Null)"),('NFET Data'!$AD142&lt;&gt;"(Null)"),('NFET Data'!$AC142&lt;&gt;"(Null)")))</f>
        <v>0</v>
      </c>
      <c r="N142" s="20" t="b">
        <f>AND(((VGS_DR)&gt;=6),((VGS_DR)&lt;8),OR(('NFET Data'!$AG142&lt;&gt;"(Null)"),('NFET Data'!$AF142&lt;&gt;"(Null)"),('NFET Data'!$AE142&lt;&gt;"(Null)"),('NFET Data'!$AD142&lt;&gt;"(Null)"),('NFET Data'!$AC142&lt;&gt;"(Null)")))</f>
        <v>0</v>
      </c>
      <c r="O142" s="20" t="b">
        <f>AND(((VGS_DR)&gt;=8),((VGS_DR)&lt;10),OR(('NFET Data'!$AH142&lt;&gt;"(Null)"),('NFET Data'!$AG142&lt;&gt;"(Null)"),('NFET Data'!$AF142&lt;&gt;"(Null)"),('NFET Data'!$AE142&lt;&gt;"(Null)"),('NFET Data'!$AD142&lt;&gt;"(Null)"),('NFET Data'!$AC142&lt;&gt;"(Null)")))</f>
        <v>0</v>
      </c>
      <c r="P142" s="20" t="b">
        <f>AND(((VGS_DR)&gt;=10),OR(('NFET Data'!$AI142&lt;&gt;"(Null)"),('NFET Data'!$AH142&lt;&gt;"(Null)"),('NFET Data'!$AG142&lt;&gt;"(Null)"),('NFET Data'!$AF142&lt;&gt;"(Null)"),('NFET Data'!$AE142&lt;&gt;"(Null)"),('NFET Data'!$AD142&lt;&gt;"(Null)"),('NFET Data'!$AC142&lt;&gt;"(Null)")))</f>
        <v>0</v>
      </c>
      <c r="Q142" s="20" t="b">
        <f t="shared" si="13"/>
        <v>0</v>
      </c>
      <c r="R142" s="20" t="b">
        <f t="shared" si="14"/>
        <v>0</v>
      </c>
    </row>
    <row r="143" spans="1:18" x14ac:dyDescent="0.25">
      <c r="A143" s="20" t="str">
        <f>IF(R143,Load_Switch_NFET[[#This Row],[PARTNUMBER]],"")</f>
        <v/>
      </c>
      <c r="B143"/>
      <c r="C143" s="20" t="b">
        <f>AND((Load_Switch_NFET[[#This Row],[VDSMAX]]&gt;=Vi*1.1),(Load_Switch_NFET[[#This Row],[VGSMAX]]&gt;=(VGS_DR)*1.1),(Load_Switch_NFET[[#This Row],[IDSMAX]]&gt;=Io),VGS_DR&gt;=1.8)</f>
        <v>1</v>
      </c>
      <c r="D143" s="20" t="b">
        <f>AND(Vi&lt;=27,Load_Switch_NFET[[#This Row],[VDSMAX]]&lt;=30)</f>
        <v>0</v>
      </c>
      <c r="E143" s="20" t="b">
        <f>AND(Vi&lt;=36,Vi&gt;=20,Load_Switch_NFET[[#This Row],[VDSMAX]]=40)</f>
        <v>0</v>
      </c>
      <c r="F143" s="20" t="b">
        <f>AND(Vi&lt;=54,Vi&gt;=25,Load_Switch_NFET[[#This Row],[VDSMAX]]=60)</f>
        <v>0</v>
      </c>
      <c r="G143" s="20" t="b">
        <f>AND(Vi&lt;=72,Vi&gt;=36,Load_Switch_NFET[[#This Row],[VDSMAX]]=80)</f>
        <v>0</v>
      </c>
      <c r="H143" s="20" t="b">
        <f>AND(Vi&lt;=90,Vi&gt;=48,Load_Switch_NFET[[#This Row],[VDSMAX]]=100)</f>
        <v>0</v>
      </c>
      <c r="I143" s="20" t="b">
        <f t="shared" si="12"/>
        <v>0</v>
      </c>
      <c r="J143" s="20" t="b">
        <f>AND(((VGS_DR)&lt;2.5),('NFET Data'!$AC143&lt;&gt;"(Null)"))</f>
        <v>0</v>
      </c>
      <c r="K143" s="20" t="b">
        <f>AND(((VGS_DR)&gt;=2.5),((VGS_DR)&lt;3),OR(('NFET Data'!$AD143&lt;&gt;"(Null)"),('NFET Data'!$AC143&lt;&gt;"(Null)")))</f>
        <v>0</v>
      </c>
      <c r="L143" s="20" t="b">
        <f>AND(((VGS_DR)&gt;=3),((VGS_DR)&lt;4.5),OR(('NFET Data'!$AE143&lt;&gt;"(Null)"),('NFET Data'!$AD143&lt;&gt;"(Null)"),('NFET Data'!$AC143&lt;&gt;"(Null)")))</f>
        <v>0</v>
      </c>
      <c r="M143" s="20" t="b">
        <f>AND(((VGS_DR)&gt;=4.5),((VGS_DR)&lt;6),OR(('NFET Data'!$AF143&lt;&gt;"(Null)"),('NFET Data'!$AE143&lt;&gt;"(Null)"),('NFET Data'!$AD143&lt;&gt;"(Null)"),('NFET Data'!$AC143&lt;&gt;"(Null)")))</f>
        <v>0</v>
      </c>
      <c r="N143" s="20" t="b">
        <f>AND(((VGS_DR)&gt;=6),((VGS_DR)&lt;8),OR(('NFET Data'!$AG143&lt;&gt;"(Null)"),('NFET Data'!$AF143&lt;&gt;"(Null)"),('NFET Data'!$AE143&lt;&gt;"(Null)"),('NFET Data'!$AD143&lt;&gt;"(Null)"),('NFET Data'!$AC143&lt;&gt;"(Null)")))</f>
        <v>0</v>
      </c>
      <c r="O143" s="20" t="b">
        <f>AND(((VGS_DR)&gt;=8),((VGS_DR)&lt;10),OR(('NFET Data'!$AH143&lt;&gt;"(Null)"),('NFET Data'!$AG143&lt;&gt;"(Null)"),('NFET Data'!$AF143&lt;&gt;"(Null)"),('NFET Data'!$AE143&lt;&gt;"(Null)"),('NFET Data'!$AD143&lt;&gt;"(Null)"),('NFET Data'!$AC143&lt;&gt;"(Null)")))</f>
        <v>0</v>
      </c>
      <c r="P143" s="20" t="b">
        <f>AND(((VGS_DR)&gt;=10),OR(('NFET Data'!$AI143&lt;&gt;"(Null)"),('NFET Data'!$AH143&lt;&gt;"(Null)"),('NFET Data'!$AG143&lt;&gt;"(Null)"),('NFET Data'!$AF143&lt;&gt;"(Null)"),('NFET Data'!$AE143&lt;&gt;"(Null)"),('NFET Data'!$AD143&lt;&gt;"(Null)"),('NFET Data'!$AC143&lt;&gt;"(Null)")))</f>
        <v>0</v>
      </c>
      <c r="Q143" s="20" t="b">
        <f t="shared" si="13"/>
        <v>0</v>
      </c>
      <c r="R143" s="20" t="b">
        <f t="shared" si="14"/>
        <v>0</v>
      </c>
    </row>
    <row r="144" spans="1:18" x14ac:dyDescent="0.25">
      <c r="B144"/>
    </row>
  </sheetData>
  <mergeCells count="3">
    <mergeCell ref="U4:AB4"/>
    <mergeCell ref="U12:AB12"/>
    <mergeCell ref="U20:AB20"/>
  </mergeCells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S26"/>
  <sheetViews>
    <sheetView workbookViewId="0">
      <pane ySplit="1" topLeftCell="A2" activePane="bottomLeft" state="frozen"/>
      <selection activeCell="K27" sqref="K27"/>
      <selection pane="bottomLeft" activeCell="B3" sqref="B3:B25"/>
    </sheetView>
  </sheetViews>
  <sheetFormatPr defaultColWidth="9.140625" defaultRowHeight="15" x14ac:dyDescent="0.25"/>
  <cols>
    <col min="1" max="2" width="15.42578125" style="20" bestFit="1" customWidth="1"/>
    <col min="3" max="3" width="25.42578125" style="20" customWidth="1"/>
    <col min="4" max="4" width="10.28515625" style="20" bestFit="1" customWidth="1"/>
    <col min="5" max="5" width="14" style="20" bestFit="1" customWidth="1"/>
    <col min="6" max="7" width="14.42578125" style="20" customWidth="1"/>
    <col min="8" max="8" width="13.42578125" style="20" bestFit="1" customWidth="1"/>
    <col min="9" max="9" width="7.7109375" style="20" customWidth="1"/>
    <col min="10" max="10" width="11.85546875" style="20" bestFit="1" customWidth="1"/>
    <col min="11" max="13" width="9.140625" style="20"/>
    <col min="14" max="14" width="14.85546875" style="20" bestFit="1" customWidth="1"/>
    <col min="15" max="15" width="14.85546875" style="20" customWidth="1"/>
    <col min="16" max="16" width="14.85546875" style="20" bestFit="1" customWidth="1"/>
    <col min="17" max="17" width="14.85546875" style="20" customWidth="1"/>
    <col min="18" max="18" width="14.85546875" style="20" bestFit="1" customWidth="1"/>
    <col min="19" max="16384" width="9.140625" style="20"/>
  </cols>
  <sheetData>
    <row r="1" spans="1:19" s="22" customFormat="1" ht="59.25" customHeight="1" x14ac:dyDescent="0.25">
      <c r="A1" s="21" t="s">
        <v>439</v>
      </c>
      <c r="B1" s="21" t="s">
        <v>440</v>
      </c>
      <c r="C1" s="21" t="s">
        <v>607</v>
      </c>
      <c r="D1" s="21" t="s">
        <v>609</v>
      </c>
      <c r="E1" s="21" t="s">
        <v>613</v>
      </c>
      <c r="F1" s="21" t="s">
        <v>610</v>
      </c>
      <c r="G1" s="21" t="s">
        <v>611</v>
      </c>
      <c r="H1" s="21" t="s">
        <v>612</v>
      </c>
      <c r="I1" s="21" t="s">
        <v>530</v>
      </c>
      <c r="J1" s="21" t="s">
        <v>531</v>
      </c>
    </row>
    <row r="2" spans="1:19" x14ac:dyDescent="0.25">
      <c r="A2" s="20" t="str">
        <f>IF(J2,Load_Switch_PFET[[#This Row],[PARTNUMBER]],"")</f>
        <v>CSD22202W15</v>
      </c>
      <c r="B2" s="20" t="str">
        <f>""</f>
        <v/>
      </c>
      <c r="C2" s="20" t="b">
        <f>AND((ABS(Load_Switch_PFET[[#This Row],[VDSMAX]])&gt;=Vi*1.1),ABS(Load_Switch_PFET[[#This Row],[VGSMAX]])&gt;=(VGS_DR*1.1),ABS(Load_Switch_PFET[[#This Row],[IDSMAX]])&gt;=Io)</f>
        <v>1</v>
      </c>
      <c r="D2" s="20" t="b">
        <f>AND((VGS_DR&gt;0),(VGS_DR&lt;1.8),('PFET Data'!$AB2&lt;&gt;"(Null)"))</f>
        <v>0</v>
      </c>
      <c r="E2" s="20" t="b">
        <f>AND(((VGS_DR)&gt;=1.8),((VGS_DR)&lt;2.5),OR(('PFET Data'!$AC2&lt;&gt;"(Null)"),('PFET Data'!$AB2&lt;&gt;"(Null)")))</f>
        <v>0</v>
      </c>
      <c r="F2" s="20" t="b">
        <f>AND(((VGS_DR)&gt;=2.5),((VGS_DR)&lt;4.5),OR(('PFET Data'!$AD2&lt;&gt;"(Null)"),('PFET Data'!$AC2&lt;&gt;"(Null)"),('PFET Data'!$AB2&lt;&gt;"(Null)")))</f>
        <v>0</v>
      </c>
      <c r="G2" s="20" t="b">
        <f>AND(((VGS_DR)&gt;=4.5),((VGS_DR)&lt;8),OR(('PFET Data'!$AE2&lt;&gt;"(Null)"),('PFET Data'!$AD2&lt;&gt;"(Null)"),('PFET Data'!$AC2&lt;&gt;"(Null)"),('PFET Data'!$AB2&lt;&gt;"(Null)")))</f>
        <v>1</v>
      </c>
      <c r="H2" s="20" t="b">
        <f>AND(((VGS_DR)&gt;=8),OR(('PFET Data'!$AF2&lt;&gt;"(Null)"),('PFET Data'!$AE2&lt;&gt;"(Null)"),('PFET Data'!$AD2&lt;&gt;"(Null)"),('PFET Data'!$AC2&lt;&gt;"(Null)"),('PFET Data'!$AB2&lt;&gt;"(Null)")))</f>
        <v>0</v>
      </c>
      <c r="I2" s="20" t="b">
        <f t="shared" ref="I2:I24" si="0">OR(D2:H2)</f>
        <v>1</v>
      </c>
      <c r="J2" s="20" t="b">
        <f>AND(C2,I2)</f>
        <v>1</v>
      </c>
    </row>
    <row r="3" spans="1:19" x14ac:dyDescent="0.25">
      <c r="A3" s="20" t="str">
        <f>IF(J3,Load_Switch_PFET[[#This Row],[PARTNUMBER]],"")</f>
        <v>CSD22204W</v>
      </c>
      <c r="B3" t="s">
        <v>543</v>
      </c>
      <c r="C3" s="20" t="b">
        <f>AND((ABS(Load_Switch_PFET[[#This Row],[VDSMAX]])&gt;=Vi*1.1),ABS(Load_Switch_PFET[[#This Row],[VGSMAX]])&gt;=(VGS_DR*1.1),ABS(Load_Switch_PFET[[#This Row],[IDSMAX]])&gt;=Io)</f>
        <v>1</v>
      </c>
      <c r="D3" s="20" t="b">
        <f>AND((VGS_DR&gt;0),(VGS_DR&lt;1.8),('PFET Data'!$AB3&lt;&gt;"(Null)"))</f>
        <v>0</v>
      </c>
      <c r="E3" s="20" t="b">
        <f>AND(((VGS_DR)&gt;=1.8),((VGS_DR)&lt;2.5),OR(('PFET Data'!$AC3&lt;&gt;"(Null)"),('PFET Data'!$AB3&lt;&gt;"(Null)")))</f>
        <v>0</v>
      </c>
      <c r="F3" s="20" t="b">
        <f>AND(((VGS_DR)&gt;=2.5),((VGS_DR)&lt;4.5),OR(('PFET Data'!$AD3&lt;&gt;"(Null)"),('PFET Data'!$AC3&lt;&gt;"(Null)"),('PFET Data'!$AB3&lt;&gt;"(Null)")))</f>
        <v>0</v>
      </c>
      <c r="G3" s="20" t="b">
        <f>AND(((VGS_DR)&gt;=4.5),((VGS_DR)&lt;8),OR(('PFET Data'!$AE3&lt;&gt;"(Null)"),('PFET Data'!$AD3&lt;&gt;"(Null)"),('PFET Data'!$AC3&lt;&gt;"(Null)"),('PFET Data'!$AB3&lt;&gt;"(Null)")))</f>
        <v>1</v>
      </c>
      <c r="H3" s="20" t="b">
        <f>AND(((VGS_DR)&gt;=8),OR(('PFET Data'!$AF3&lt;&gt;"(Null)"),('PFET Data'!$AE3&lt;&gt;"(Null)"),('PFET Data'!$AD3&lt;&gt;"(Null)"),('PFET Data'!$AC3&lt;&gt;"(Null)"),('PFET Data'!$AB3&lt;&gt;"(Null)")))</f>
        <v>0</v>
      </c>
      <c r="I3" s="20" t="b">
        <f t="shared" si="0"/>
        <v>1</v>
      </c>
      <c r="J3" s="20" t="b">
        <f t="shared" ref="J3:J24" si="1">AND(C3,I3)</f>
        <v>1</v>
      </c>
    </row>
    <row r="4" spans="1:19" x14ac:dyDescent="0.25">
      <c r="A4" s="20" t="str">
        <f>IF(J4,Load_Switch_PFET[[#This Row],[PARTNUMBER]],"")</f>
        <v>CSD22205L</v>
      </c>
      <c r="B4" t="s">
        <v>546</v>
      </c>
      <c r="C4" s="20" t="b">
        <f>AND((ABS(Load_Switch_PFET[[#This Row],[VDSMAX]])&gt;=Vi*1.1),ABS(Load_Switch_PFET[[#This Row],[VGSMAX]])&gt;=(VGS_DR*1.1),ABS(Load_Switch_PFET[[#This Row],[IDSMAX]])&gt;=Io)</f>
        <v>1</v>
      </c>
      <c r="D4" s="20" t="b">
        <f>AND((VGS_DR&gt;0),(VGS_DR&lt;1.8),('PFET Data'!$AB4&lt;&gt;"(Null)"))</f>
        <v>0</v>
      </c>
      <c r="E4" s="20" t="b">
        <f>AND(((VGS_DR)&gt;=1.8),((VGS_DR)&lt;2.5),OR(('PFET Data'!$AC4&lt;&gt;"(Null)"),('PFET Data'!$AB4&lt;&gt;"(Null)")))</f>
        <v>0</v>
      </c>
      <c r="F4" s="20" t="b">
        <f>AND(((VGS_DR)&gt;=2.5),((VGS_DR)&lt;4.5),OR(('PFET Data'!$AD4&lt;&gt;"(Null)"),('PFET Data'!$AC4&lt;&gt;"(Null)"),('PFET Data'!$AB4&lt;&gt;"(Null)")))</f>
        <v>0</v>
      </c>
      <c r="G4" s="20" t="b">
        <f>AND(((VGS_DR)&gt;=4.5),((VGS_DR)&lt;8),OR(('PFET Data'!$AE4&lt;&gt;"(Null)"),('PFET Data'!$AD4&lt;&gt;"(Null)"),('PFET Data'!$AC4&lt;&gt;"(Null)"),('PFET Data'!$AB4&lt;&gt;"(Null)")))</f>
        <v>1</v>
      </c>
      <c r="H4" s="20" t="b">
        <f>AND(((VGS_DR)&gt;=8),OR(('PFET Data'!$AF4&lt;&gt;"(Null)"),('PFET Data'!$AE4&lt;&gt;"(Null)"),('PFET Data'!$AD4&lt;&gt;"(Null)"),('PFET Data'!$AC4&lt;&gt;"(Null)"),('PFET Data'!$AB4&lt;&gt;"(Null)")))</f>
        <v>0</v>
      </c>
      <c r="I4" s="20" t="b">
        <f t="shared" si="0"/>
        <v>1</v>
      </c>
      <c r="J4" s="20" t="b">
        <f t="shared" si="1"/>
        <v>1</v>
      </c>
      <c r="M4" s="185" t="s">
        <v>538</v>
      </c>
      <c r="N4" s="185"/>
      <c r="O4" s="185"/>
      <c r="P4" s="185"/>
      <c r="Q4" s="185"/>
      <c r="R4" s="185"/>
    </row>
    <row r="5" spans="1:19" x14ac:dyDescent="0.25">
      <c r="A5" s="20" t="str">
        <f>IF(J5,Load_Switch_PFET[[#This Row],[PARTNUMBER]],"")</f>
        <v>CSD22206W</v>
      </c>
      <c r="B5" t="s">
        <v>548</v>
      </c>
      <c r="C5" s="20" t="b">
        <f>AND((ABS(Load_Switch_PFET[[#This Row],[VDSMAX]])&gt;=Vi*1.1),ABS(Load_Switch_PFET[[#This Row],[VGSMAX]])&gt;=(VGS_DR*1.1),ABS(Load_Switch_PFET[[#This Row],[IDSMAX]])&gt;=Io)</f>
        <v>1</v>
      </c>
      <c r="D5" s="20" t="b">
        <f>AND((VGS_DR&gt;0),(VGS_DR&lt;1.8),('PFET Data'!$AB5&lt;&gt;"(Null)"))</f>
        <v>0</v>
      </c>
      <c r="E5" s="20" t="b">
        <f>AND(((VGS_DR)&gt;=1.8),((VGS_DR)&lt;2.5),OR(('PFET Data'!$AC5&lt;&gt;"(Null)"),('PFET Data'!$AB5&lt;&gt;"(Null)")))</f>
        <v>0</v>
      </c>
      <c r="F5" s="20" t="b">
        <f>AND(((VGS_DR)&gt;=2.5),((VGS_DR)&lt;4.5),OR(('PFET Data'!$AD5&lt;&gt;"(Null)"),('PFET Data'!$AC5&lt;&gt;"(Null)"),('PFET Data'!$AB5&lt;&gt;"(Null)")))</f>
        <v>0</v>
      </c>
      <c r="G5" s="20" t="b">
        <f>AND(((VGS_DR)&gt;=4.5),((VGS_DR)&lt;8),OR(('PFET Data'!$AE5&lt;&gt;"(Null)"),('PFET Data'!$AD5&lt;&gt;"(Null)"),('PFET Data'!$AC5&lt;&gt;"(Null)"),('PFET Data'!$AB5&lt;&gt;"(Null)")))</f>
        <v>1</v>
      </c>
      <c r="H5" s="20" t="b">
        <f>AND(((VGS_DR)&gt;=8),OR(('PFET Data'!$AF5&lt;&gt;"(Null)"),('PFET Data'!$AE5&lt;&gt;"(Null)"),('PFET Data'!$AD5&lt;&gt;"(Null)"),('PFET Data'!$AC5&lt;&gt;"(Null)"),('PFET Data'!$AB5&lt;&gt;"(Null)")))</f>
        <v>0</v>
      </c>
      <c r="I5" s="20" t="b">
        <f t="shared" si="0"/>
        <v>1</v>
      </c>
      <c r="J5" s="20" t="b">
        <f t="shared" si="1"/>
        <v>1</v>
      </c>
      <c r="N5" s="20" t="s">
        <v>606</v>
      </c>
      <c r="O5" s="20" t="s">
        <v>520</v>
      </c>
      <c r="P5" s="20" t="s">
        <v>43</v>
      </c>
      <c r="Q5" s="20" t="s">
        <v>44</v>
      </c>
      <c r="R5" s="20" t="s">
        <v>45</v>
      </c>
    </row>
    <row r="6" spans="1:19" x14ac:dyDescent="0.25">
      <c r="A6" s="20" t="str">
        <f>IF(J6,Load_Switch_PFET[[#This Row],[PARTNUMBER]],"")</f>
        <v>CSD23202W10</v>
      </c>
      <c r="B6" t="s">
        <v>551</v>
      </c>
      <c r="C6" s="20" t="b">
        <f>AND((ABS(Load_Switch_PFET[[#This Row],[VDSMAX]])&gt;=Vi*1.1),ABS(Load_Switch_PFET[[#This Row],[VGSMAX]])&gt;=(VGS_DR*1.1),ABS(Load_Switch_PFET[[#This Row],[IDSMAX]])&gt;=Io)</f>
        <v>1</v>
      </c>
      <c r="D6" s="20" t="b">
        <f>AND((VGS_DR&gt;0),(VGS_DR&lt;1.8),('PFET Data'!$AB6&lt;&gt;"(Null)"))</f>
        <v>0</v>
      </c>
      <c r="E6" s="20" t="b">
        <f>AND(((VGS_DR)&gt;=1.8),((VGS_DR)&lt;2.5),OR(('PFET Data'!$AC6&lt;&gt;"(Null)"),('PFET Data'!$AB6&lt;&gt;"(Null)")))</f>
        <v>0</v>
      </c>
      <c r="F6" s="20" t="b">
        <f>AND(((VGS_DR)&gt;=2.5),((VGS_DR)&lt;4.5),OR(('PFET Data'!$AD6&lt;&gt;"(Null)"),('PFET Data'!$AC6&lt;&gt;"(Null)"),('PFET Data'!$AB6&lt;&gt;"(Null)")))</f>
        <v>0</v>
      </c>
      <c r="G6" s="20" t="b">
        <f>AND(((VGS_DR)&gt;=4.5),((VGS_DR)&lt;8),OR(('PFET Data'!$AE6&lt;&gt;"(Null)"),('PFET Data'!$AD6&lt;&gt;"(Null)"),('PFET Data'!$AC6&lt;&gt;"(Null)"),('PFET Data'!$AB6&lt;&gt;"(Null)")))</f>
        <v>1</v>
      </c>
      <c r="H6" s="20" t="b">
        <f>AND(((VGS_DR)&gt;=8),OR(('PFET Data'!$AF6&lt;&gt;"(Null)"),('PFET Data'!$AE6&lt;&gt;"(Null)"),('PFET Data'!$AD6&lt;&gt;"(Null)"),('PFET Data'!$AC6&lt;&gt;"(Null)"),('PFET Data'!$AB6&lt;&gt;"(Null)")))</f>
        <v>0</v>
      </c>
      <c r="I6" s="20" t="b">
        <f t="shared" si="0"/>
        <v>1</v>
      </c>
      <c r="J6" s="20" t="b">
        <f t="shared" si="1"/>
        <v>1</v>
      </c>
      <c r="N6" s="20" t="s">
        <v>617</v>
      </c>
      <c r="O6" s="20" t="s">
        <v>537</v>
      </c>
      <c r="P6" s="20" t="s">
        <v>618</v>
      </c>
      <c r="Q6" s="20" t="s">
        <v>619</v>
      </c>
      <c r="R6" s="20" t="s">
        <v>620</v>
      </c>
      <c r="S6" s="20" t="s">
        <v>379</v>
      </c>
    </row>
    <row r="7" spans="1:19" x14ac:dyDescent="0.25">
      <c r="A7" s="20" t="str">
        <f>IF(J7,Load_Switch_PFET[[#This Row],[PARTNUMBER]],"")</f>
        <v>CSD23203W</v>
      </c>
      <c r="B7" t="s">
        <v>553</v>
      </c>
      <c r="C7" s="20" t="b">
        <f>AND((ABS(Load_Switch_PFET[[#This Row],[VDSMAX]])&gt;=Vi*1.1),ABS(Load_Switch_PFET[[#This Row],[VGSMAX]])&gt;=(VGS_DR*1.1),ABS(Load_Switch_PFET[[#This Row],[IDSMAX]])&gt;=Io)</f>
        <v>1</v>
      </c>
      <c r="D7" s="20" t="b">
        <f>AND((VGS_DR&gt;0),(VGS_DR&lt;1.8),('PFET Data'!$AB7&lt;&gt;"(Null)"))</f>
        <v>0</v>
      </c>
      <c r="E7" s="20" t="b">
        <f>AND(((VGS_DR)&gt;=1.8),((VGS_DR)&lt;2.5),OR(('PFET Data'!$AC7&lt;&gt;"(Null)"),('PFET Data'!$AB7&lt;&gt;"(Null)")))</f>
        <v>0</v>
      </c>
      <c r="F7" s="20" t="b">
        <f>AND(((VGS_DR)&gt;=2.5),((VGS_DR)&lt;4.5),OR(('PFET Data'!$AD7&lt;&gt;"(Null)"),('PFET Data'!$AC7&lt;&gt;"(Null)"),('PFET Data'!$AB7&lt;&gt;"(Null)")))</f>
        <v>0</v>
      </c>
      <c r="G7" s="20" t="b">
        <f>AND(((VGS_DR)&gt;=4.5),((VGS_DR)&lt;8),OR(('PFET Data'!$AE7&lt;&gt;"(Null)"),('PFET Data'!$AD7&lt;&gt;"(Null)"),('PFET Data'!$AC7&lt;&gt;"(Null)"),('PFET Data'!$AB7&lt;&gt;"(Null)")))</f>
        <v>1</v>
      </c>
      <c r="H7" s="20" t="b">
        <f>AND(((VGS_DR)&gt;=8),OR(('PFET Data'!$AF7&lt;&gt;"(Null)"),('PFET Data'!$AE7&lt;&gt;"(Null)"),('PFET Data'!$AD7&lt;&gt;"(Null)"),('PFET Data'!$AC7&lt;&gt;"(Null)"),('PFET Data'!$AB7&lt;&gt;"(Null)")))</f>
        <v>0</v>
      </c>
      <c r="I7" s="20" t="b">
        <f t="shared" si="0"/>
        <v>1</v>
      </c>
      <c r="J7" s="20" t="b">
        <f t="shared" si="1"/>
        <v>1</v>
      </c>
      <c r="N7" s="20" t="b">
        <f>((VGS_DR)&gt;=1.5)</f>
        <v>1</v>
      </c>
      <c r="O7" s="20" t="b">
        <f>((VGS_DR)&gt;=1.7)</f>
        <v>1</v>
      </c>
      <c r="P7" s="20" t="b">
        <f>((VGS_DR)&gt;=2.2)</f>
        <v>1</v>
      </c>
      <c r="Q7" s="20" t="b">
        <f>((VGS_DR)&gt;=4)</f>
        <v>1</v>
      </c>
      <c r="R7" s="20" t="b">
        <f>((VGS_DR)&gt;=7)</f>
        <v>0</v>
      </c>
      <c r="S7" s="20" t="e">
        <f>IF(R10,LOOKUP(Part_Number,Load_Switch_PFET[PARTNUMBER],Load_Switch_PFET[RDSON8])*1000,IF(Q10,LOOKUP(Part_Number,Load_Switch_PFET[PARTNUMBER],Load_Switch_PFET[RDSON45])*1000,IF(P10,LOOKUP(Part_Number,Load_Switch_PFET[PARTNUMBER],Load_Switch_PFET[RDSON25])*1000,IF(O10,LOOKUP(Part_Number,Load_Switch_PFET[PARTNUMBER],Load_Switch_PFET[RDSON18])*1000,IF(N10,LOOKUP(Part_Number,Load_Switch_PFET[PARTNUMBER],Load_Switch_PFET[RDSON15])*1000,"")))))</f>
        <v>#N/A</v>
      </c>
    </row>
    <row r="8" spans="1:19" x14ac:dyDescent="0.25">
      <c r="A8" s="20" t="str">
        <f>IF(J8,Load_Switch_PFET[[#This Row],[PARTNUMBER]],"")</f>
        <v/>
      </c>
      <c r="B8" t="s">
        <v>555</v>
      </c>
      <c r="C8" s="20" t="b">
        <f>AND((ABS(Load_Switch_PFET[[#This Row],[VDSMAX]])&gt;=Vi*1.1),ABS(Load_Switch_PFET[[#This Row],[VGSMAX]])&gt;=(VGS_DR*1.1),ABS(Load_Switch_PFET[[#This Row],[IDSMAX]])&gt;=Io)</f>
        <v>0</v>
      </c>
      <c r="D8" s="20" t="b">
        <f>AND((VGS_DR&gt;0),(VGS_DR&lt;1.8),('PFET Data'!$AB8&lt;&gt;"(Null)"))</f>
        <v>0</v>
      </c>
      <c r="E8" s="20" t="b">
        <f>AND(((VGS_DR)&gt;=1.8),((VGS_DR)&lt;2.5),OR(('PFET Data'!$AC8&lt;&gt;"(Null)"),('PFET Data'!$AB8&lt;&gt;"(Null)")))</f>
        <v>0</v>
      </c>
      <c r="F8" s="20" t="b">
        <f>AND(((VGS_DR)&gt;=2.5),((VGS_DR)&lt;4.5),OR(('PFET Data'!$AD8&lt;&gt;"(Null)"),('PFET Data'!$AC8&lt;&gt;"(Null)"),('PFET Data'!$AB8&lt;&gt;"(Null)")))</f>
        <v>0</v>
      </c>
      <c r="G8" s="20" t="b">
        <f>AND(((VGS_DR)&gt;=4.5),((VGS_DR)&lt;8),OR(('PFET Data'!$AE8&lt;&gt;"(Null)"),('PFET Data'!$AD8&lt;&gt;"(Null)"),('PFET Data'!$AC8&lt;&gt;"(Null)"),('PFET Data'!$AB8&lt;&gt;"(Null)")))</f>
        <v>1</v>
      </c>
      <c r="H8" s="20" t="b">
        <f>AND(((VGS_DR)&gt;=8),OR(('PFET Data'!$AF8&lt;&gt;"(Null)"),('PFET Data'!$AE8&lt;&gt;"(Null)"),('PFET Data'!$AD8&lt;&gt;"(Null)"),('PFET Data'!$AC8&lt;&gt;"(Null)"),('PFET Data'!$AB8&lt;&gt;"(Null)")))</f>
        <v>0</v>
      </c>
      <c r="I8" s="20" t="b">
        <f t="shared" si="0"/>
        <v>1</v>
      </c>
      <c r="J8" s="20" t="b">
        <f t="shared" si="1"/>
        <v>0</v>
      </c>
      <c r="N8" s="20" t="e">
        <f>IF(LOOKUP(Part_Number,Load_Switch_PFET[PARTNUMBER],Load_Switch_PFET[RDSON15])="(NULL)","0","1")</f>
        <v>#N/A</v>
      </c>
      <c r="O8" s="20" t="e">
        <f>IF(LOOKUP(Part_Number,Load_Switch_PFET[PARTNUMBER],Load_Switch_PFET[RDSON18])="(NULL)","0","1")</f>
        <v>#N/A</v>
      </c>
      <c r="P8" s="20" t="e">
        <f>IF(LOOKUP(Part_Number,Load_Switch_PFET[PARTNUMBER],Load_Switch_PFET[RDSON25])="(NULL)","0","1")</f>
        <v>#N/A</v>
      </c>
      <c r="Q8" s="20" t="e">
        <f>IF(LOOKUP(Part_Number,Load_Switch_PFET[PARTNUMBER],Load_Switch_PFET[RDSON45])="(NULL)","0","1")</f>
        <v>#N/A</v>
      </c>
      <c r="R8" s="20" t="e">
        <f>IF(LOOKUP(Part_Number,Load_Switch_PFET[PARTNUMBER],Load_Switch_PFET[RDSON8])="(NULL)","0","1")</f>
        <v>#N/A</v>
      </c>
    </row>
    <row r="9" spans="1:19" x14ac:dyDescent="0.25">
      <c r="A9" s="20" t="str">
        <f>IF(J9,Load_Switch_PFET[[#This Row],[PARTNUMBER]],"")</f>
        <v>CSD23285F5</v>
      </c>
      <c r="B9" t="s">
        <v>561</v>
      </c>
      <c r="C9" s="20" t="b">
        <f>AND((ABS(Load_Switch_PFET[[#This Row],[VDSMAX]])&gt;=Vi*1.1),ABS(Load_Switch_PFET[[#This Row],[VGSMAX]])&gt;=(VGS_DR*1.1),ABS(Load_Switch_PFET[[#This Row],[IDSMAX]])&gt;=Io)</f>
        <v>1</v>
      </c>
      <c r="D9" s="20" t="b">
        <f>AND((VGS_DR&gt;0),(VGS_DR&lt;1.8),('PFET Data'!$AB9&lt;&gt;"(Null)"))</f>
        <v>0</v>
      </c>
      <c r="E9" s="20" t="b">
        <f>AND(((VGS_DR)&gt;=1.8),((VGS_DR)&lt;2.5),OR(('PFET Data'!$AC9&lt;&gt;"(Null)"),('PFET Data'!$AB9&lt;&gt;"(Null)")))</f>
        <v>0</v>
      </c>
      <c r="F9" s="20" t="b">
        <f>AND(((VGS_DR)&gt;=2.5),((VGS_DR)&lt;4.5),OR(('PFET Data'!$AD9&lt;&gt;"(Null)"),('PFET Data'!$AC9&lt;&gt;"(Null)"),('PFET Data'!$AB9&lt;&gt;"(Null)")))</f>
        <v>0</v>
      </c>
      <c r="G9" s="20" t="b">
        <f>AND(((VGS_DR)&gt;=4.5),((VGS_DR)&lt;8),OR(('PFET Data'!$AE9&lt;&gt;"(Null)"),('PFET Data'!$AD9&lt;&gt;"(Null)"),('PFET Data'!$AC9&lt;&gt;"(Null)"),('PFET Data'!$AB9&lt;&gt;"(Null)")))</f>
        <v>1</v>
      </c>
      <c r="H9" s="20" t="b">
        <f>AND(((VGS_DR)&gt;=8),OR(('PFET Data'!$AF9&lt;&gt;"(Null)"),('PFET Data'!$AE9&lt;&gt;"(Null)"),('PFET Data'!$AD9&lt;&gt;"(Null)"),('PFET Data'!$AC9&lt;&gt;"(Null)"),('PFET Data'!$AB9&lt;&gt;"(Null)")))</f>
        <v>0</v>
      </c>
      <c r="I9" s="20" t="b">
        <f t="shared" si="0"/>
        <v>1</v>
      </c>
      <c r="J9" s="20" t="b">
        <f t="shared" si="1"/>
        <v>1</v>
      </c>
      <c r="N9" s="20" t="e">
        <f>AND(N7,N8="1")</f>
        <v>#N/A</v>
      </c>
      <c r="O9" s="20" t="e">
        <f>AND(O7,O8="1")</f>
        <v>#N/A</v>
      </c>
      <c r="P9" s="20" t="e">
        <f>AND(P7,P8="1")</f>
        <v>#N/A</v>
      </c>
      <c r="Q9" s="20" t="e">
        <f t="shared" ref="Q9:R9" si="2">AND(Q7,Q8="1")</f>
        <v>#N/A</v>
      </c>
      <c r="R9" s="20" t="e">
        <f t="shared" si="2"/>
        <v>#N/A</v>
      </c>
    </row>
    <row r="10" spans="1:19" x14ac:dyDescent="0.25">
      <c r="A10" s="20" t="str">
        <f>IF(J10,Load_Switch_PFET[[#This Row],[PARTNUMBER]],"")</f>
        <v>CSD23381F4</v>
      </c>
      <c r="B10" t="s">
        <v>564</v>
      </c>
      <c r="C10" s="20" t="b">
        <f>AND((ABS(Load_Switch_PFET[[#This Row],[VDSMAX]])&gt;=Vi*1.1),ABS(Load_Switch_PFET[[#This Row],[VGSMAX]])&gt;=(VGS_DR*1.1),ABS(Load_Switch_PFET[[#This Row],[IDSMAX]])&gt;=Io)</f>
        <v>1</v>
      </c>
      <c r="D10" s="20" t="b">
        <f>AND((VGS_DR&gt;0),(VGS_DR&lt;1.8),('PFET Data'!$AB10&lt;&gt;"(Null)"))</f>
        <v>0</v>
      </c>
      <c r="E10" s="20" t="b">
        <f>AND(((VGS_DR)&gt;=1.8),((VGS_DR)&lt;2.5),OR(('PFET Data'!$AC10&lt;&gt;"(Null)"),('PFET Data'!$AB10&lt;&gt;"(Null)")))</f>
        <v>0</v>
      </c>
      <c r="F10" s="20" t="b">
        <f>AND(((VGS_DR)&gt;=2.5),((VGS_DR)&lt;4.5),OR(('PFET Data'!$AD10&lt;&gt;"(Null)"),('PFET Data'!$AC10&lt;&gt;"(Null)"),('PFET Data'!$AB10&lt;&gt;"(Null)")))</f>
        <v>0</v>
      </c>
      <c r="G10" s="20" t="b">
        <f>AND(((VGS_DR)&gt;=4.5),((VGS_DR)&lt;8),OR(('PFET Data'!$AE10&lt;&gt;"(Null)"),('PFET Data'!$AD10&lt;&gt;"(Null)"),('PFET Data'!$AC10&lt;&gt;"(Null)"),('PFET Data'!$AB10&lt;&gt;"(Null)")))</f>
        <v>1</v>
      </c>
      <c r="H10" s="20" t="b">
        <f>AND(((VGS_DR)&gt;=8),OR(('PFET Data'!$AF10&lt;&gt;"(Null)"),('PFET Data'!$AE10&lt;&gt;"(Null)"),('PFET Data'!$AD10&lt;&gt;"(Null)"),('PFET Data'!$AC10&lt;&gt;"(Null)"),('PFET Data'!$AB10&lt;&gt;"(Null)")))</f>
        <v>0</v>
      </c>
      <c r="I10" s="20" t="b">
        <f t="shared" si="0"/>
        <v>1</v>
      </c>
      <c r="J10" s="20" t="b">
        <f t="shared" si="1"/>
        <v>1</v>
      </c>
      <c r="M10" s="20" t="e">
        <f>OR(N9:R9)</f>
        <v>#N/A</v>
      </c>
      <c r="N10" s="20" t="e">
        <f>AND($M$7,N7,N8="1")</f>
        <v>#N/A</v>
      </c>
      <c r="O10" s="20" t="e">
        <f t="shared" ref="O10:R10" si="3">AND($M$7,O7,O8="1")</f>
        <v>#N/A</v>
      </c>
      <c r="P10" s="20" t="e">
        <f t="shared" si="3"/>
        <v>#N/A</v>
      </c>
      <c r="Q10" s="20" t="e">
        <f t="shared" si="3"/>
        <v>#N/A</v>
      </c>
      <c r="R10" s="20" t="e">
        <f t="shared" si="3"/>
        <v>#N/A</v>
      </c>
    </row>
    <row r="11" spans="1:19" x14ac:dyDescent="0.25">
      <c r="A11" s="20" t="str">
        <f>IF(J11,Load_Switch_PFET[[#This Row],[PARTNUMBER]],"")</f>
        <v>CSD23382F4</v>
      </c>
      <c r="B11" t="s">
        <v>566</v>
      </c>
      <c r="C11" s="20" t="b">
        <f>AND((ABS(Load_Switch_PFET[[#This Row],[VDSMAX]])&gt;=Vi*1.1),ABS(Load_Switch_PFET[[#This Row],[VGSMAX]])&gt;=(VGS_DR*1.1),ABS(Load_Switch_PFET[[#This Row],[IDSMAX]])&gt;=Io)</f>
        <v>1</v>
      </c>
      <c r="D11" s="20" t="b">
        <f>AND((VGS_DR&gt;0),(VGS_DR&lt;1.8),('PFET Data'!$AB11&lt;&gt;"(Null)"))</f>
        <v>0</v>
      </c>
      <c r="E11" s="20" t="b">
        <f>AND(((VGS_DR)&gt;=1.8),((VGS_DR)&lt;2.5),OR(('PFET Data'!$AC11&lt;&gt;"(Null)"),('PFET Data'!$AB11&lt;&gt;"(Null)")))</f>
        <v>0</v>
      </c>
      <c r="F11" s="20" t="b">
        <f>AND(((VGS_DR)&gt;=2.5),((VGS_DR)&lt;4.5),OR(('PFET Data'!$AD11&lt;&gt;"(Null)"),('PFET Data'!$AC11&lt;&gt;"(Null)"),('PFET Data'!$AB11&lt;&gt;"(Null)")))</f>
        <v>0</v>
      </c>
      <c r="G11" s="20" t="b">
        <f>AND(((VGS_DR)&gt;=4.5),((VGS_DR)&lt;8),OR(('PFET Data'!$AE11&lt;&gt;"(Null)"),('PFET Data'!$AD11&lt;&gt;"(Null)"),('PFET Data'!$AC11&lt;&gt;"(Null)"),('PFET Data'!$AB11&lt;&gt;"(Null)")))</f>
        <v>1</v>
      </c>
      <c r="H11" s="20" t="b">
        <f>AND(((VGS_DR)&gt;=8),OR(('PFET Data'!$AF11&lt;&gt;"(Null)"),('PFET Data'!$AE11&lt;&gt;"(Null)"),('PFET Data'!$AD11&lt;&gt;"(Null)"),('PFET Data'!$AC11&lt;&gt;"(Null)"),('PFET Data'!$AB11&lt;&gt;"(Null)")))</f>
        <v>0</v>
      </c>
      <c r="I11" s="20" t="b">
        <f t="shared" si="0"/>
        <v>1</v>
      </c>
      <c r="J11" s="20" t="b">
        <f t="shared" si="1"/>
        <v>1</v>
      </c>
    </row>
    <row r="12" spans="1:19" x14ac:dyDescent="0.25">
      <c r="A12" s="20" t="str">
        <f>IF(J12,Load_Switch_PFET[[#This Row],[PARTNUMBER]],"")</f>
        <v>CSD25202W15</v>
      </c>
      <c r="B12" t="s">
        <v>570</v>
      </c>
      <c r="C12" s="20" t="b">
        <f>AND((ABS(Load_Switch_PFET[[#This Row],[VDSMAX]])&gt;=Vi*1.1),ABS(Load_Switch_PFET[[#This Row],[VGSMAX]])&gt;=(VGS_DR*1.1),ABS(Load_Switch_PFET[[#This Row],[IDSMAX]])&gt;=Io)</f>
        <v>1</v>
      </c>
      <c r="D12" s="20" t="b">
        <f>AND((VGS_DR&gt;0),(VGS_DR&lt;1.8),('PFET Data'!$AB12&lt;&gt;"(Null)"))</f>
        <v>0</v>
      </c>
      <c r="E12" s="20" t="b">
        <f>AND(((VGS_DR)&gt;=1.8),((VGS_DR)&lt;2.5),OR(('PFET Data'!$AC12&lt;&gt;"(Null)"),('PFET Data'!$AB12&lt;&gt;"(Null)")))</f>
        <v>0</v>
      </c>
      <c r="F12" s="20" t="b">
        <f>AND(((VGS_DR)&gt;=2.5),((VGS_DR)&lt;4.5),OR(('PFET Data'!$AD12&lt;&gt;"(Null)"),('PFET Data'!$AC12&lt;&gt;"(Null)"),('PFET Data'!$AB12&lt;&gt;"(Null)")))</f>
        <v>0</v>
      </c>
      <c r="G12" s="20" t="b">
        <f>AND(((VGS_DR)&gt;=4.5),((VGS_DR)&lt;8),OR(('PFET Data'!$AE12&lt;&gt;"(Null)"),('PFET Data'!$AD12&lt;&gt;"(Null)"),('PFET Data'!$AC12&lt;&gt;"(Null)"),('PFET Data'!$AB12&lt;&gt;"(Null)")))</f>
        <v>1</v>
      </c>
      <c r="H12" s="20" t="b">
        <f>AND(((VGS_DR)&gt;=8),OR(('PFET Data'!$AF12&lt;&gt;"(Null)"),('PFET Data'!$AE12&lt;&gt;"(Null)"),('PFET Data'!$AD12&lt;&gt;"(Null)"),('PFET Data'!$AC12&lt;&gt;"(Null)"),('PFET Data'!$AB12&lt;&gt;"(Null)")))</f>
        <v>0</v>
      </c>
      <c r="I12" s="20" t="b">
        <f t="shared" si="0"/>
        <v>1</v>
      </c>
      <c r="J12" s="20" t="b">
        <f t="shared" si="1"/>
        <v>1</v>
      </c>
      <c r="M12" s="185" t="s">
        <v>539</v>
      </c>
      <c r="N12" s="185"/>
      <c r="O12" s="185"/>
      <c r="P12" s="185"/>
      <c r="Q12" s="185"/>
      <c r="R12" s="185"/>
    </row>
    <row r="13" spans="1:19" x14ac:dyDescent="0.25">
      <c r="A13" s="20" t="str">
        <f>IF(J13,Load_Switch_PFET[[#This Row],[PARTNUMBER]],"")</f>
        <v>CSD25211W1015</v>
      </c>
      <c r="B13" t="s">
        <v>573</v>
      </c>
      <c r="C13" s="20" t="b">
        <f>AND((ABS(Load_Switch_PFET[[#This Row],[VDSMAX]])&gt;=Vi*1.1),ABS(Load_Switch_PFET[[#This Row],[VGSMAX]])&gt;=(VGS_DR*1.1),ABS(Load_Switch_PFET[[#This Row],[IDSMAX]])&gt;=Io)</f>
        <v>1</v>
      </c>
      <c r="D13" s="20" t="b">
        <f>AND((VGS_DR&gt;0),(VGS_DR&lt;1.8),('PFET Data'!$AB13&lt;&gt;"(Null)"))</f>
        <v>0</v>
      </c>
      <c r="E13" s="20" t="b">
        <f>AND(((VGS_DR)&gt;=1.8),((VGS_DR)&lt;2.5),OR(('PFET Data'!$AC13&lt;&gt;"(Null)"),('PFET Data'!$AB13&lt;&gt;"(Null)")))</f>
        <v>0</v>
      </c>
      <c r="F13" s="20" t="b">
        <f>AND(((VGS_DR)&gt;=2.5),((VGS_DR)&lt;4.5),OR(('PFET Data'!$AD13&lt;&gt;"(Null)"),('PFET Data'!$AC13&lt;&gt;"(Null)"),('PFET Data'!$AB13&lt;&gt;"(Null)")))</f>
        <v>0</v>
      </c>
      <c r="G13" s="20" t="b">
        <f>AND(((VGS_DR)&gt;=4.5),((VGS_DR)&lt;8),OR(('PFET Data'!$AE13&lt;&gt;"(Null)"),('PFET Data'!$AD13&lt;&gt;"(Null)"),('PFET Data'!$AC13&lt;&gt;"(Null)"),('PFET Data'!$AB13&lt;&gt;"(Null)")))</f>
        <v>1</v>
      </c>
      <c r="H13" s="20" t="b">
        <f>AND(((VGS_DR)&gt;=8),OR(('PFET Data'!$AF13&lt;&gt;"(Null)"),('PFET Data'!$AE13&lt;&gt;"(Null)"),('PFET Data'!$AD13&lt;&gt;"(Null)"),('PFET Data'!$AC13&lt;&gt;"(Null)"),('PFET Data'!$AB13&lt;&gt;"(Null)")))</f>
        <v>0</v>
      </c>
      <c r="I13" s="20" t="b">
        <f t="shared" si="0"/>
        <v>1</v>
      </c>
      <c r="J13" s="20" t="b">
        <f t="shared" si="1"/>
        <v>1</v>
      </c>
      <c r="N13" s="20" t="s">
        <v>606</v>
      </c>
      <c r="O13" s="20" t="s">
        <v>520</v>
      </c>
      <c r="P13" s="20" t="s">
        <v>43</v>
      </c>
      <c r="Q13" s="20" t="s">
        <v>44</v>
      </c>
      <c r="R13" s="20" t="s">
        <v>45</v>
      </c>
    </row>
    <row r="14" spans="1:19" x14ac:dyDescent="0.25">
      <c r="A14" s="20" t="str">
        <f>IF(J14,Load_Switch_PFET[[#This Row],[PARTNUMBER]],"")</f>
        <v/>
      </c>
      <c r="B14" t="s">
        <v>580</v>
      </c>
      <c r="C14" s="20" t="b">
        <f>AND((ABS(Load_Switch_PFET[[#This Row],[VDSMAX]])&gt;=Vi*1.1),ABS(Load_Switch_PFET[[#This Row],[VGSMAX]])&gt;=(VGS_DR*1.1),ABS(Load_Switch_PFET[[#This Row],[IDSMAX]])&gt;=Io)</f>
        <v>0</v>
      </c>
      <c r="D14" s="20" t="b">
        <f>AND((VGS_DR&gt;0),(VGS_DR&lt;1.8),('PFET Data'!$AB14&lt;&gt;"(Null)"))</f>
        <v>0</v>
      </c>
      <c r="E14" s="20" t="b">
        <f>AND(((VGS_DR)&gt;=1.8),((VGS_DR)&lt;2.5),OR(('PFET Data'!$AC14&lt;&gt;"(Null)"),('PFET Data'!$AB14&lt;&gt;"(Null)")))</f>
        <v>0</v>
      </c>
      <c r="F14" s="20" t="b">
        <f>AND(((VGS_DR)&gt;=2.5),((VGS_DR)&lt;4.5),OR(('PFET Data'!$AD14&lt;&gt;"(Null)"),('PFET Data'!$AC14&lt;&gt;"(Null)"),('PFET Data'!$AB14&lt;&gt;"(Null)")))</f>
        <v>0</v>
      </c>
      <c r="G14" s="20" t="b">
        <f>AND(((VGS_DR)&gt;=4.5),((VGS_DR)&lt;8),OR(('PFET Data'!$AE14&lt;&gt;"(Null)"),('PFET Data'!$AD14&lt;&gt;"(Null)"),('PFET Data'!$AC14&lt;&gt;"(Null)"),('PFET Data'!$AB14&lt;&gt;"(Null)")))</f>
        <v>1</v>
      </c>
      <c r="H14" s="20" t="b">
        <f>AND(((VGS_DR)&gt;=8),OR(('PFET Data'!$AF14&lt;&gt;"(Null)"),('PFET Data'!$AE14&lt;&gt;"(Null)"),('PFET Data'!$AD14&lt;&gt;"(Null)"),('PFET Data'!$AC14&lt;&gt;"(Null)"),('PFET Data'!$AB14&lt;&gt;"(Null)")))</f>
        <v>0</v>
      </c>
      <c r="I14" s="20" t="b">
        <f t="shared" si="0"/>
        <v>1</v>
      </c>
      <c r="J14" s="20" t="b">
        <f t="shared" si="1"/>
        <v>0</v>
      </c>
      <c r="N14" s="20" t="s">
        <v>617</v>
      </c>
      <c r="O14" s="20" t="s">
        <v>537</v>
      </c>
      <c r="P14" s="20" t="s">
        <v>618</v>
      </c>
      <c r="Q14" s="20" t="s">
        <v>619</v>
      </c>
      <c r="R14" s="20" t="s">
        <v>620</v>
      </c>
      <c r="S14" s="20" t="s">
        <v>379</v>
      </c>
    </row>
    <row r="15" spans="1:19" x14ac:dyDescent="0.25">
      <c r="A15" s="20" t="str">
        <f>IF(J15,Load_Switch_PFET[[#This Row],[PARTNUMBER]],"")</f>
        <v>CSD25304W1015</v>
      </c>
      <c r="B15" t="s">
        <v>583</v>
      </c>
      <c r="C15" s="20" t="b">
        <f>AND((ABS(Load_Switch_PFET[[#This Row],[VDSMAX]])&gt;=Vi*1.1),ABS(Load_Switch_PFET[[#This Row],[VGSMAX]])&gt;=(VGS_DR*1.1),ABS(Load_Switch_PFET[[#This Row],[IDSMAX]])&gt;=Io)</f>
        <v>1</v>
      </c>
      <c r="D15" s="20" t="b">
        <f>AND((VGS_DR&gt;0),(VGS_DR&lt;1.8),('PFET Data'!$AB15&lt;&gt;"(Null)"))</f>
        <v>0</v>
      </c>
      <c r="E15" s="20" t="b">
        <f>AND(((VGS_DR)&gt;=1.8),((VGS_DR)&lt;2.5),OR(('PFET Data'!$AC15&lt;&gt;"(Null)"),('PFET Data'!$AB15&lt;&gt;"(Null)")))</f>
        <v>0</v>
      </c>
      <c r="F15" s="20" t="b">
        <f>AND(((VGS_DR)&gt;=2.5),((VGS_DR)&lt;4.5),OR(('PFET Data'!$AD15&lt;&gt;"(Null)"),('PFET Data'!$AC15&lt;&gt;"(Null)"),('PFET Data'!$AB15&lt;&gt;"(Null)")))</f>
        <v>0</v>
      </c>
      <c r="G15" s="20" t="b">
        <f>AND(((VGS_DR)&gt;=4.5),((VGS_DR)&lt;8),OR(('PFET Data'!$AE15&lt;&gt;"(Null)"),('PFET Data'!$AD15&lt;&gt;"(Null)"),('PFET Data'!$AC15&lt;&gt;"(Null)"),('PFET Data'!$AB15&lt;&gt;"(Null)")))</f>
        <v>1</v>
      </c>
      <c r="H15" s="20" t="b">
        <f>AND(((VGS_DR)&gt;=8),OR(('PFET Data'!$AF15&lt;&gt;"(Null)"),('PFET Data'!$AE15&lt;&gt;"(Null)"),('PFET Data'!$AD15&lt;&gt;"(Null)"),('PFET Data'!$AC15&lt;&gt;"(Null)"),('PFET Data'!$AB15&lt;&gt;"(Null)")))</f>
        <v>0</v>
      </c>
      <c r="I15" s="20" t="b">
        <f t="shared" si="0"/>
        <v>1</v>
      </c>
      <c r="J15" s="20" t="b">
        <f t="shared" si="1"/>
        <v>1</v>
      </c>
      <c r="N15" s="20" t="b">
        <f>((VGS_DR)&gt;=1.5)</f>
        <v>1</v>
      </c>
      <c r="O15" s="20" t="b">
        <f>((VGS_DR)&gt;=1.7)</f>
        <v>1</v>
      </c>
      <c r="P15" s="20" t="b">
        <f>((VGS_DR)&gt;=2.2)</f>
        <v>1</v>
      </c>
      <c r="Q15" s="20" t="b">
        <f>((VGS_DR)&gt;=4)</f>
        <v>1</v>
      </c>
      <c r="R15" s="20" t="b">
        <f>((VGS_DR)&gt;=7)</f>
        <v>0</v>
      </c>
      <c r="S15" s="20" t="e">
        <f>IF(R18,LOOKUP(Part_Number2,Load_Switch_PFET[PARTNUMBER],Load_Switch_PFET[RDSON8])*1000,IF(Q18,LOOKUP(Part_Number2,Load_Switch_PFET[PARTNUMBER],Load_Switch_PFET[RDSON45])*1000,IF(P18,LOOKUP(Part_Number2,Load_Switch_PFET[PARTNUMBER],Load_Switch_PFET[RDSON25])*1000,IF(O18,LOOKUP(Part_Number2,Load_Switch_PFET[PARTNUMBER],Load_Switch_PFET[RDSON18])*1000,IF(N18,LOOKUP(Part_Number2,Load_Switch_PFET[PARTNUMBER],Load_Switch_PFET[RDSON15])*1000,"")))))</f>
        <v>#N/A</v>
      </c>
    </row>
    <row r="16" spans="1:19" x14ac:dyDescent="0.25">
      <c r="A16" s="20" t="str">
        <f>IF(J16,Load_Switch_PFET[[#This Row],[PARTNUMBER]],"")</f>
        <v>CSD25310Q2</v>
      </c>
      <c r="B16" t="s">
        <v>586</v>
      </c>
      <c r="C16" s="20" t="b">
        <f>AND((ABS(Load_Switch_PFET[[#This Row],[VDSMAX]])&gt;=Vi*1.1),ABS(Load_Switch_PFET[[#This Row],[VGSMAX]])&gt;=(VGS_DR*1.1),ABS(Load_Switch_PFET[[#This Row],[IDSMAX]])&gt;=Io)</f>
        <v>1</v>
      </c>
      <c r="D16" s="20" t="b">
        <f>AND((VGS_DR&gt;0),(VGS_DR&lt;1.8),('PFET Data'!$AB16&lt;&gt;"(Null)"))</f>
        <v>0</v>
      </c>
      <c r="E16" s="20" t="b">
        <f>AND(((VGS_DR)&gt;=1.8),((VGS_DR)&lt;2.5),OR(('PFET Data'!$AC16&lt;&gt;"(Null)"),('PFET Data'!$AB16&lt;&gt;"(Null)")))</f>
        <v>0</v>
      </c>
      <c r="F16" s="20" t="b">
        <f>AND(((VGS_DR)&gt;=2.5),((VGS_DR)&lt;4.5),OR(('PFET Data'!$AD16&lt;&gt;"(Null)"),('PFET Data'!$AC16&lt;&gt;"(Null)"),('PFET Data'!$AB16&lt;&gt;"(Null)")))</f>
        <v>0</v>
      </c>
      <c r="G16" s="20" t="b">
        <f>AND(((VGS_DR)&gt;=4.5),((VGS_DR)&lt;8),OR(('PFET Data'!$AE16&lt;&gt;"(Null)"),('PFET Data'!$AD16&lt;&gt;"(Null)"),('PFET Data'!$AC16&lt;&gt;"(Null)"),('PFET Data'!$AB16&lt;&gt;"(Null)")))</f>
        <v>1</v>
      </c>
      <c r="H16" s="20" t="b">
        <f>AND(((VGS_DR)&gt;=8),OR(('PFET Data'!$AF16&lt;&gt;"(Null)"),('PFET Data'!$AE16&lt;&gt;"(Null)"),('PFET Data'!$AD16&lt;&gt;"(Null)"),('PFET Data'!$AC16&lt;&gt;"(Null)"),('PFET Data'!$AB16&lt;&gt;"(Null)")))</f>
        <v>0</v>
      </c>
      <c r="I16" s="20" t="b">
        <f t="shared" si="0"/>
        <v>1</v>
      </c>
      <c r="J16" s="20" t="b">
        <f t="shared" si="1"/>
        <v>1</v>
      </c>
      <c r="N16" s="20" t="e">
        <f>IF(LOOKUP(Part_Number2,Load_Switch_PFET[PARTNUMBER],Load_Switch_PFET[RDSON15])="(NULL)","0","1")</f>
        <v>#N/A</v>
      </c>
      <c r="O16" s="20" t="e">
        <f>IF(LOOKUP(Part_Number2,Load_Switch_PFET[PARTNUMBER],Load_Switch_PFET[RDSON18])="(NULL)","0","1")</f>
        <v>#N/A</v>
      </c>
      <c r="P16" s="20" t="e">
        <f>IF(LOOKUP(Part_Number2,Load_Switch_PFET[PARTNUMBER],Load_Switch_PFET[RDSON25])="(NULL)","0","1")</f>
        <v>#N/A</v>
      </c>
      <c r="Q16" s="20" t="e">
        <f>IF(LOOKUP(Part_Number2,Load_Switch_PFET[PARTNUMBER],Load_Switch_PFET[RDSON45])="(NULL)","0","1")</f>
        <v>#N/A</v>
      </c>
      <c r="R16" s="20" t="e">
        <f>IF(LOOKUP(Part_Number2,Load_Switch_PFET[PARTNUMBER],Load_Switch_PFET[RDSON8])="(NULL)","0","1")</f>
        <v>#N/A</v>
      </c>
    </row>
    <row r="17" spans="1:19" x14ac:dyDescent="0.25">
      <c r="A17" s="20" t="str">
        <f>IF(J17,Load_Switch_PFET[[#This Row],[PARTNUMBER]],"")</f>
        <v>CSD25402Q3A</v>
      </c>
      <c r="B17" t="s">
        <v>590</v>
      </c>
      <c r="C17" s="20" t="b">
        <f>AND((ABS(Load_Switch_PFET[[#This Row],[VDSMAX]])&gt;=Vi*1.1),ABS(Load_Switch_PFET[[#This Row],[VGSMAX]])&gt;=(VGS_DR*1.1),ABS(Load_Switch_PFET[[#This Row],[IDSMAX]])&gt;=Io)</f>
        <v>1</v>
      </c>
      <c r="D17" s="20" t="b">
        <f>AND((VGS_DR&gt;0),(VGS_DR&lt;1.8),('PFET Data'!$AB17&lt;&gt;"(Null)"))</f>
        <v>0</v>
      </c>
      <c r="E17" s="20" t="b">
        <f>AND(((VGS_DR)&gt;=1.8),((VGS_DR)&lt;2.5),OR(('PFET Data'!$AC17&lt;&gt;"(Null)"),('PFET Data'!$AB17&lt;&gt;"(Null)")))</f>
        <v>0</v>
      </c>
      <c r="F17" s="20" t="b">
        <f>AND(((VGS_DR)&gt;=2.5),((VGS_DR)&lt;4.5),OR(('PFET Data'!$AD17&lt;&gt;"(Null)"),('PFET Data'!$AC17&lt;&gt;"(Null)"),('PFET Data'!$AB17&lt;&gt;"(Null)")))</f>
        <v>0</v>
      </c>
      <c r="G17" s="20" t="b">
        <f>AND(((VGS_DR)&gt;=4.5),((VGS_DR)&lt;8),OR(('PFET Data'!$AE17&lt;&gt;"(Null)"),('PFET Data'!$AD17&lt;&gt;"(Null)"),('PFET Data'!$AC17&lt;&gt;"(Null)"),('PFET Data'!$AB17&lt;&gt;"(Null)")))</f>
        <v>1</v>
      </c>
      <c r="H17" s="20" t="b">
        <f>AND(((VGS_DR)&gt;=8),OR(('PFET Data'!$AF17&lt;&gt;"(Null)"),('PFET Data'!$AE17&lt;&gt;"(Null)"),('PFET Data'!$AD17&lt;&gt;"(Null)"),('PFET Data'!$AC17&lt;&gt;"(Null)"),('PFET Data'!$AB17&lt;&gt;"(Null)")))</f>
        <v>0</v>
      </c>
      <c r="I17" s="20" t="b">
        <f t="shared" si="0"/>
        <v>1</v>
      </c>
      <c r="J17" s="20" t="b">
        <f t="shared" si="1"/>
        <v>1</v>
      </c>
      <c r="N17" s="20" t="e">
        <f>AND(N15,N16="1")</f>
        <v>#N/A</v>
      </c>
      <c r="O17" s="20" t="e">
        <f>AND(O15,O16="1")</f>
        <v>#N/A</v>
      </c>
      <c r="P17" s="20" t="e">
        <f>AND(P15,P16="1")</f>
        <v>#N/A</v>
      </c>
      <c r="Q17" s="20" t="e">
        <f t="shared" ref="Q17:R17" si="4">AND(Q15,Q16="1")</f>
        <v>#N/A</v>
      </c>
      <c r="R17" s="20" t="e">
        <f t="shared" si="4"/>
        <v>#N/A</v>
      </c>
    </row>
    <row r="18" spans="1:19" x14ac:dyDescent="0.25">
      <c r="A18" s="20" t="str">
        <f>IF(J18,Load_Switch_PFET[[#This Row],[PARTNUMBER]],"")</f>
        <v>CSD25404Q3</v>
      </c>
      <c r="B18" t="s">
        <v>596</v>
      </c>
      <c r="C18" s="20" t="b">
        <f>AND((ABS(Load_Switch_PFET[[#This Row],[VDSMAX]])&gt;=Vi*1.1),ABS(Load_Switch_PFET[[#This Row],[VGSMAX]])&gt;=(VGS_DR*1.1),ABS(Load_Switch_PFET[[#This Row],[IDSMAX]])&gt;=Io)</f>
        <v>1</v>
      </c>
      <c r="D18" s="20" t="b">
        <f>AND((VGS_DR&gt;0),(VGS_DR&lt;1.8),('PFET Data'!$AB18&lt;&gt;"(Null)"))</f>
        <v>0</v>
      </c>
      <c r="E18" s="20" t="b">
        <f>AND(((VGS_DR)&gt;=1.8),((VGS_DR)&lt;2.5),OR(('PFET Data'!$AC18&lt;&gt;"(Null)"),('PFET Data'!$AB18&lt;&gt;"(Null)")))</f>
        <v>0</v>
      </c>
      <c r="F18" s="20" t="b">
        <f>AND(((VGS_DR)&gt;=2.5),((VGS_DR)&lt;4.5),OR(('PFET Data'!$AD18&lt;&gt;"(Null)"),('PFET Data'!$AC18&lt;&gt;"(Null)"),('PFET Data'!$AB18&lt;&gt;"(Null)")))</f>
        <v>0</v>
      </c>
      <c r="G18" s="20" t="b">
        <f>AND(((VGS_DR)&gt;=4.5),((VGS_DR)&lt;8),OR(('PFET Data'!$AE18&lt;&gt;"(Null)"),('PFET Data'!$AD18&lt;&gt;"(Null)"),('PFET Data'!$AC18&lt;&gt;"(Null)"),('PFET Data'!$AB18&lt;&gt;"(Null)")))</f>
        <v>1</v>
      </c>
      <c r="H18" s="20" t="b">
        <f>AND(((VGS_DR)&gt;=8),OR(('PFET Data'!$AF18&lt;&gt;"(Null)"),('PFET Data'!$AE18&lt;&gt;"(Null)"),('PFET Data'!$AD18&lt;&gt;"(Null)"),('PFET Data'!$AC18&lt;&gt;"(Null)"),('PFET Data'!$AB18&lt;&gt;"(Null)")))</f>
        <v>0</v>
      </c>
      <c r="I18" s="20" t="b">
        <f t="shared" si="0"/>
        <v>1</v>
      </c>
      <c r="J18" s="20" t="b">
        <f t="shared" si="1"/>
        <v>1</v>
      </c>
      <c r="M18" s="20" t="e">
        <f>OR(N17:R17)</f>
        <v>#N/A</v>
      </c>
      <c r="N18" s="20" t="e">
        <f>AND($M$15,N15,N16="1")</f>
        <v>#N/A</v>
      </c>
      <c r="O18" s="20" t="e">
        <f t="shared" ref="O18:R18" si="5">AND($M$15,O15,O16="1")</f>
        <v>#N/A</v>
      </c>
      <c r="P18" s="20" t="e">
        <f t="shared" si="5"/>
        <v>#N/A</v>
      </c>
      <c r="Q18" s="20" t="e">
        <f t="shared" si="5"/>
        <v>#N/A</v>
      </c>
      <c r="R18" s="20" t="e">
        <f t="shared" si="5"/>
        <v>#N/A</v>
      </c>
    </row>
    <row r="19" spans="1:19" x14ac:dyDescent="0.25">
      <c r="A19" s="20" t="str">
        <f>IF(J19,Load_Switch_PFET[[#This Row],[PARTNUMBER]],"")</f>
        <v/>
      </c>
      <c r="B19" t="s">
        <v>600</v>
      </c>
      <c r="C19" s="20" t="b">
        <f>AND((ABS(Load_Switch_PFET[[#This Row],[VDSMAX]])&gt;=Vi*1.1),ABS(Load_Switch_PFET[[#This Row],[VGSMAX]])&gt;=(VGS_DR*1.1),ABS(Load_Switch_PFET[[#This Row],[IDSMAX]])&gt;=Io)</f>
        <v>0</v>
      </c>
      <c r="D19" s="20" t="b">
        <f>AND((VGS_DR&gt;0),(VGS_DR&lt;1.8),('PFET Data'!$AB19&lt;&gt;"(Null)"))</f>
        <v>0</v>
      </c>
      <c r="E19" s="20" t="b">
        <f>AND(((VGS_DR)&gt;=1.8),((VGS_DR)&lt;2.5),OR(('PFET Data'!$AC19&lt;&gt;"(Null)"),('PFET Data'!$AB19&lt;&gt;"(Null)")))</f>
        <v>0</v>
      </c>
      <c r="F19" s="20" t="b">
        <f>AND(((VGS_DR)&gt;=2.5),((VGS_DR)&lt;4.5),OR(('PFET Data'!$AD19&lt;&gt;"(Null)"),('PFET Data'!$AC19&lt;&gt;"(Null)"),('PFET Data'!$AB19&lt;&gt;"(Null)")))</f>
        <v>0</v>
      </c>
      <c r="G19" s="20" t="b">
        <f>AND(((VGS_DR)&gt;=4.5),((VGS_DR)&lt;8),OR(('PFET Data'!$AE19&lt;&gt;"(Null)"),('PFET Data'!$AD19&lt;&gt;"(Null)"),('PFET Data'!$AC19&lt;&gt;"(Null)"),('PFET Data'!$AB19&lt;&gt;"(Null)")))</f>
        <v>1</v>
      </c>
      <c r="H19" s="20" t="b">
        <f>AND(((VGS_DR)&gt;=8),OR(('PFET Data'!$AF19&lt;&gt;"(Null)"),('PFET Data'!$AE19&lt;&gt;"(Null)"),('PFET Data'!$AD19&lt;&gt;"(Null)"),('PFET Data'!$AC19&lt;&gt;"(Null)"),('PFET Data'!$AB19&lt;&gt;"(Null)")))</f>
        <v>0</v>
      </c>
      <c r="I19" s="20" t="b">
        <f t="shared" si="0"/>
        <v>1</v>
      </c>
      <c r="J19" s="20" t="b">
        <f t="shared" si="1"/>
        <v>0</v>
      </c>
    </row>
    <row r="20" spans="1:19" x14ac:dyDescent="0.25">
      <c r="A20" s="20" t="str">
        <f>IF(J20,Load_Switch_PFET[[#This Row],[PARTNUMBER]],"")</f>
        <v>CSD25481F4</v>
      </c>
      <c r="B20" t="s">
        <v>602</v>
      </c>
      <c r="C20" s="20" t="b">
        <f>AND((ABS(Load_Switch_PFET[[#This Row],[VDSMAX]])&gt;=Vi*1.1),ABS(Load_Switch_PFET[[#This Row],[VGSMAX]])&gt;=(VGS_DR*1.1),ABS(Load_Switch_PFET[[#This Row],[IDSMAX]])&gt;=Io)</f>
        <v>1</v>
      </c>
      <c r="D20" s="20" t="b">
        <f>AND((VGS_DR&gt;0),(VGS_DR&lt;1.8),('PFET Data'!$AB20&lt;&gt;"(Null)"))</f>
        <v>0</v>
      </c>
      <c r="E20" s="20" t="b">
        <f>AND(((VGS_DR)&gt;=1.8),((VGS_DR)&lt;2.5),OR(('PFET Data'!$AC20&lt;&gt;"(Null)"),('PFET Data'!$AB20&lt;&gt;"(Null)")))</f>
        <v>0</v>
      </c>
      <c r="F20" s="20" t="b">
        <f>AND(((VGS_DR)&gt;=2.5),((VGS_DR)&lt;4.5),OR(('PFET Data'!$AD20&lt;&gt;"(Null)"),('PFET Data'!$AC20&lt;&gt;"(Null)"),('PFET Data'!$AB20&lt;&gt;"(Null)")))</f>
        <v>0</v>
      </c>
      <c r="G20" s="20" t="b">
        <f>AND(((VGS_DR)&gt;=4.5),((VGS_DR)&lt;8),OR(('PFET Data'!$AE20&lt;&gt;"(Null)"),('PFET Data'!$AD20&lt;&gt;"(Null)"),('PFET Data'!$AC20&lt;&gt;"(Null)"),('PFET Data'!$AB20&lt;&gt;"(Null)")))</f>
        <v>1</v>
      </c>
      <c r="H20" s="20" t="b">
        <f>AND(((VGS_DR)&gt;=8),OR(('PFET Data'!$AF20&lt;&gt;"(Null)"),('PFET Data'!$AE20&lt;&gt;"(Null)"),('PFET Data'!$AD20&lt;&gt;"(Null)"),('PFET Data'!$AC20&lt;&gt;"(Null)"),('PFET Data'!$AB20&lt;&gt;"(Null)")))</f>
        <v>0</v>
      </c>
      <c r="I20" s="20" t="b">
        <f t="shared" si="0"/>
        <v>1</v>
      </c>
      <c r="J20" s="20" t="b">
        <f t="shared" si="1"/>
        <v>1</v>
      </c>
      <c r="M20" s="185" t="s">
        <v>540</v>
      </c>
      <c r="N20" s="185"/>
      <c r="O20" s="185"/>
      <c r="P20" s="185"/>
      <c r="Q20" s="185"/>
      <c r="R20" s="185"/>
    </row>
    <row r="21" spans="1:19" x14ac:dyDescent="0.25">
      <c r="A21" s="20" t="str">
        <f>IF(J21,Load_Switch_PFET[[#This Row],[PARTNUMBER]],"")</f>
        <v/>
      </c>
      <c r="B21" t="s">
        <v>605</v>
      </c>
      <c r="C21" s="20" t="b">
        <f>AND((ABS(Load_Switch_PFET[[#This Row],[VDSMAX]])&gt;=Vi*1.1),ABS(Load_Switch_PFET[[#This Row],[VGSMAX]])&gt;=(VGS_DR*1.1),ABS(Load_Switch_PFET[[#This Row],[IDSMAX]])&gt;=Io)</f>
        <v>0</v>
      </c>
      <c r="D21" s="20" t="b">
        <f>AND((VGS_DR&gt;0),(VGS_DR&lt;1.8),('PFET Data'!$AB21&lt;&gt;"(Null)"))</f>
        <v>0</v>
      </c>
      <c r="E21" s="20" t="b">
        <f>AND(((VGS_DR)&gt;=1.8),((VGS_DR)&lt;2.5),OR(('PFET Data'!$AC21&lt;&gt;"(Null)"),('PFET Data'!$AB21&lt;&gt;"(Null)")))</f>
        <v>0</v>
      </c>
      <c r="F21" s="20" t="b">
        <f>AND(((VGS_DR)&gt;=2.5),((VGS_DR)&lt;4.5),OR(('PFET Data'!$AD21&lt;&gt;"(Null)"),('PFET Data'!$AC21&lt;&gt;"(Null)"),('PFET Data'!$AB21&lt;&gt;"(Null)")))</f>
        <v>0</v>
      </c>
      <c r="G21" s="20" t="b">
        <f>AND(((VGS_DR)&gt;=4.5),((VGS_DR)&lt;8),OR(('PFET Data'!$AE21&lt;&gt;"(Null)"),('PFET Data'!$AD21&lt;&gt;"(Null)"),('PFET Data'!$AC21&lt;&gt;"(Null)"),('PFET Data'!$AB21&lt;&gt;"(Null)")))</f>
        <v>1</v>
      </c>
      <c r="H21" s="20" t="b">
        <f>AND(((VGS_DR)&gt;=8),OR(('PFET Data'!$AF21&lt;&gt;"(Null)"),('PFET Data'!$AE21&lt;&gt;"(Null)"),('PFET Data'!$AD21&lt;&gt;"(Null)"),('PFET Data'!$AC21&lt;&gt;"(Null)"),('PFET Data'!$AB21&lt;&gt;"(Null)")))</f>
        <v>0</v>
      </c>
      <c r="I21" s="20" t="b">
        <f t="shared" si="0"/>
        <v>1</v>
      </c>
      <c r="J21" s="20" t="b">
        <f t="shared" si="1"/>
        <v>0</v>
      </c>
      <c r="N21" s="20" t="s">
        <v>606</v>
      </c>
      <c r="O21" s="20" t="s">
        <v>520</v>
      </c>
      <c r="P21" s="20" t="s">
        <v>43</v>
      </c>
      <c r="Q21" s="20" t="s">
        <v>44</v>
      </c>
      <c r="R21" s="20" t="s">
        <v>45</v>
      </c>
    </row>
    <row r="22" spans="1:19" x14ac:dyDescent="0.25">
      <c r="A22" s="20" t="str">
        <f>IF(J22,Load_Switch_PFET[[#This Row],[PARTNUMBER]],"")</f>
        <v>CSD25484F4</v>
      </c>
      <c r="B22"/>
      <c r="C22" s="20" t="b">
        <f>AND((ABS(Load_Switch_PFET[[#This Row],[VDSMAX]])&gt;=Vi*1.1),ABS(Load_Switch_PFET[[#This Row],[VGSMAX]])&gt;=(VGS_DR*1.1),ABS(Load_Switch_PFET[[#This Row],[IDSMAX]])&gt;=Io)</f>
        <v>1</v>
      </c>
      <c r="D22" s="20" t="b">
        <f>AND((VGS_DR&gt;0),(VGS_DR&lt;1.8),('PFET Data'!$AB22&lt;&gt;"(Null)"))</f>
        <v>0</v>
      </c>
      <c r="E22" s="20" t="b">
        <f>AND(((VGS_DR)&gt;=1.8),((VGS_DR)&lt;2.5),OR(('PFET Data'!$AC22&lt;&gt;"(Null)"),('PFET Data'!$AB22&lt;&gt;"(Null)")))</f>
        <v>0</v>
      </c>
      <c r="F22" s="20" t="b">
        <f>AND(((VGS_DR)&gt;=2.5),((VGS_DR)&lt;4.5),OR(('PFET Data'!$AD22&lt;&gt;"(Null)"),('PFET Data'!$AC22&lt;&gt;"(Null)"),('PFET Data'!$AB22&lt;&gt;"(Null)")))</f>
        <v>0</v>
      </c>
      <c r="G22" s="20" t="b">
        <f>AND(((VGS_DR)&gt;=4.5),((VGS_DR)&lt;8),OR(('PFET Data'!$AE22&lt;&gt;"(Null)"),('PFET Data'!$AD22&lt;&gt;"(Null)"),('PFET Data'!$AC22&lt;&gt;"(Null)"),('PFET Data'!$AB22&lt;&gt;"(Null)")))</f>
        <v>1</v>
      </c>
      <c r="H22" s="20" t="b">
        <f>AND(((VGS_DR)&gt;=8),OR(('PFET Data'!$AF22&lt;&gt;"(Null)"),('PFET Data'!$AE22&lt;&gt;"(Null)"),('PFET Data'!$AD22&lt;&gt;"(Null)"),('PFET Data'!$AC22&lt;&gt;"(Null)"),('PFET Data'!$AB22&lt;&gt;"(Null)")))</f>
        <v>0</v>
      </c>
      <c r="I22" s="20" t="b">
        <f t="shared" si="0"/>
        <v>1</v>
      </c>
      <c r="J22" s="20" t="b">
        <f t="shared" si="1"/>
        <v>1</v>
      </c>
      <c r="N22" s="20" t="s">
        <v>617</v>
      </c>
      <c r="O22" s="20" t="s">
        <v>537</v>
      </c>
      <c r="P22" s="20" t="s">
        <v>618</v>
      </c>
      <c r="Q22" s="20" t="s">
        <v>619</v>
      </c>
      <c r="R22" s="20" t="s">
        <v>620</v>
      </c>
      <c r="S22" s="20" t="s">
        <v>379</v>
      </c>
    </row>
    <row r="23" spans="1:19" x14ac:dyDescent="0.25">
      <c r="A23" s="20" t="str">
        <f>IF(J23,Load_Switch_PFET[[#This Row],[PARTNUMBER]],"")</f>
        <v>CSD25485F5</v>
      </c>
      <c r="B23"/>
      <c r="C23" s="20" t="b">
        <f>AND((ABS(Load_Switch_PFET[[#This Row],[VDSMAX]])&gt;=Vi*1.1),ABS(Load_Switch_PFET[[#This Row],[VGSMAX]])&gt;=(VGS_DR*1.1),ABS(Load_Switch_PFET[[#This Row],[IDSMAX]])&gt;=Io)</f>
        <v>1</v>
      </c>
      <c r="D23" s="20" t="b">
        <f>AND((VGS_DR&gt;0),(VGS_DR&lt;1.8),('PFET Data'!$AB23&lt;&gt;"(Null)"))</f>
        <v>0</v>
      </c>
      <c r="E23" s="20" t="b">
        <f>AND(((VGS_DR)&gt;=1.8),((VGS_DR)&lt;2.5),OR(('PFET Data'!$AC23&lt;&gt;"(Null)"),('PFET Data'!$AB23&lt;&gt;"(Null)")))</f>
        <v>0</v>
      </c>
      <c r="F23" s="20" t="b">
        <f>AND(((VGS_DR)&gt;=2.5),((VGS_DR)&lt;4.5),OR(('PFET Data'!$AD23&lt;&gt;"(Null)"),('PFET Data'!$AC23&lt;&gt;"(Null)"),('PFET Data'!$AB23&lt;&gt;"(Null)")))</f>
        <v>0</v>
      </c>
      <c r="G23" s="20" t="b">
        <f>AND(((VGS_DR)&gt;=4.5),((VGS_DR)&lt;8),OR(('PFET Data'!$AE23&lt;&gt;"(Null)"),('PFET Data'!$AD23&lt;&gt;"(Null)"),('PFET Data'!$AC23&lt;&gt;"(Null)"),('PFET Data'!$AB23&lt;&gt;"(Null)")))</f>
        <v>1</v>
      </c>
      <c r="H23" s="20" t="b">
        <f>AND(((VGS_DR)&gt;=8),OR(('PFET Data'!$AF23&lt;&gt;"(Null)"),('PFET Data'!$AE23&lt;&gt;"(Null)"),('PFET Data'!$AD23&lt;&gt;"(Null)"),('PFET Data'!$AC23&lt;&gt;"(Null)"),('PFET Data'!$AB23&lt;&gt;"(Null)")))</f>
        <v>0</v>
      </c>
      <c r="I23" s="20" t="b">
        <f t="shared" si="0"/>
        <v>1</v>
      </c>
      <c r="J23" s="20" t="b">
        <f t="shared" si="1"/>
        <v>1</v>
      </c>
      <c r="N23" s="20" t="b">
        <f>((VGS_DR)&gt;=1.5)</f>
        <v>1</v>
      </c>
      <c r="O23" s="20" t="b">
        <f>((VGS_DR)&gt;=1.7)</f>
        <v>1</v>
      </c>
      <c r="P23" s="20" t="b">
        <f>((VGS_DR)&gt;=2.2)</f>
        <v>1</v>
      </c>
      <c r="Q23" s="20" t="b">
        <f>((VGS_DR)&gt;=4)</f>
        <v>1</v>
      </c>
      <c r="R23" s="20" t="b">
        <f>((VGS_DR)&gt;=7)</f>
        <v>0</v>
      </c>
      <c r="S23" s="20" t="e">
        <f>IF(R26,LOOKUP(Part_Number3,Load_Switch_PFET[PARTNUMBER],Load_Switch_PFET[RDSON8])*1000,IF(Q26,LOOKUP(Part_Number3,Load_Switch_PFET[PARTNUMBER],Load_Switch_PFET[RDSON45])*1000,IF(P26,LOOKUP(Part_Number3,Load_Switch_PFET[PARTNUMBER],Load_Switch_PFET[RDSON25])*1000,IF(O26,LOOKUP(Part_Number3,Load_Switch_PFET[PARTNUMBER],Load_Switch_PFET[RDSON18])*1000,IF(N26,LOOKUP(Part_Number3,Load_Switch_PFET[PARTNUMBER],Load_Switch_PFET[RDSON15])*1000,"")))))</f>
        <v>#N/A</v>
      </c>
    </row>
    <row r="24" spans="1:19" s="40" customFormat="1" x14ac:dyDescent="0.25">
      <c r="A24" s="20" t="str">
        <f>IF(J24,Load_Switch_PFET[[#This Row],[PARTNUMBER]],"")</f>
        <v>CSD25501F3</v>
      </c>
      <c r="B24"/>
      <c r="C24" s="20" t="b">
        <f>AND((ABS(Load_Switch_PFET[[#This Row],[VDSMAX]])&gt;=Vi*1.1),ABS(Load_Switch_PFET[[#This Row],[VGSMAX]])&gt;=(VGS_DR*1.1),ABS(Load_Switch_PFET[[#This Row],[IDSMAX]])&gt;=Io)</f>
        <v>1</v>
      </c>
      <c r="D24" s="20" t="b">
        <f>AND((VGS_DR&gt;0),(VGS_DR&lt;1.8),('PFET Data'!$AB24&lt;&gt;"(Null)"))</f>
        <v>0</v>
      </c>
      <c r="E24" s="20" t="b">
        <f>AND(((VGS_DR)&gt;=1.8),((VGS_DR)&lt;2.5),OR(('PFET Data'!$AC24&lt;&gt;"(Null)"),('PFET Data'!$AB24&lt;&gt;"(Null)")))</f>
        <v>0</v>
      </c>
      <c r="F24" s="20" t="b">
        <f>AND(((VGS_DR)&gt;=2.5),((VGS_DR)&lt;4.5),OR(('PFET Data'!$AD24&lt;&gt;"(Null)"),('PFET Data'!$AC24&lt;&gt;"(Null)"),('PFET Data'!$AB24&lt;&gt;"(Null)")))</f>
        <v>0</v>
      </c>
      <c r="G24" s="20" t="b">
        <f>AND(((VGS_DR)&gt;=4.5),((VGS_DR)&lt;8),OR(('PFET Data'!$AE24&lt;&gt;"(Null)"),('PFET Data'!$AD24&lt;&gt;"(Null)"),('PFET Data'!$AC24&lt;&gt;"(Null)"),('PFET Data'!$AB24&lt;&gt;"(Null)")))</f>
        <v>1</v>
      </c>
      <c r="H24" s="20" t="b">
        <f>AND(((VGS_DR)&gt;=8),OR(('PFET Data'!$AF24&lt;&gt;"(Null)"),('PFET Data'!$AE24&lt;&gt;"(Null)"),('PFET Data'!$AD24&lt;&gt;"(Null)"),('PFET Data'!$AC24&lt;&gt;"(Null)"),('PFET Data'!$AB24&lt;&gt;"(Null)")))</f>
        <v>0</v>
      </c>
      <c r="I24" s="40" t="b">
        <f t="shared" si="0"/>
        <v>1</v>
      </c>
      <c r="J24" s="20" t="b">
        <f t="shared" si="1"/>
        <v>1</v>
      </c>
      <c r="N24" s="40" t="e">
        <f>IF(LOOKUP(Part_Number3,Load_Switch_PFET[PARTNUMBER],Load_Switch_PFET[RDSON15])="(NULL)","0","1")</f>
        <v>#N/A</v>
      </c>
      <c r="O24" s="40" t="e">
        <f>IF(LOOKUP(Part_Number3,Load_Switch_PFET[PARTNUMBER],Load_Switch_PFET[RDSON18])="(NULL)","0","1")</f>
        <v>#N/A</v>
      </c>
      <c r="P24" s="40" t="e">
        <f>IF(LOOKUP(Part_Number3,Load_Switch_PFET[PARTNUMBER],Load_Switch_PFET[RDSON25])="(NULL)","0","1")</f>
        <v>#N/A</v>
      </c>
      <c r="Q24" s="40" t="e">
        <f>IF(LOOKUP(Part_Number3,Load_Switch_PFET[PARTNUMBER],Load_Switch_PFET[RDSON45])="(NULL)","0","1")</f>
        <v>#N/A</v>
      </c>
      <c r="R24" s="40" t="e">
        <f>IF(LOOKUP(Part_Number3,Load_Switch_PFET[PARTNUMBER],Load_Switch_PFET[RDSON8])="(NULL)","0","1")</f>
        <v>#N/A</v>
      </c>
    </row>
    <row r="25" spans="1:19" x14ac:dyDescent="0.25">
      <c r="B25"/>
      <c r="N25" s="20" t="e">
        <f>AND(N23,N24="1")</f>
        <v>#N/A</v>
      </c>
      <c r="O25" s="20" t="e">
        <f>AND(O23,O24="1")</f>
        <v>#N/A</v>
      </c>
      <c r="P25" s="20" t="e">
        <f>AND(P23,P24="1")</f>
        <v>#N/A</v>
      </c>
      <c r="Q25" s="20" t="e">
        <f t="shared" ref="Q25:R25" si="6">AND(Q23,Q24="1")</f>
        <v>#N/A</v>
      </c>
      <c r="R25" s="20" t="e">
        <f t="shared" si="6"/>
        <v>#N/A</v>
      </c>
    </row>
    <row r="26" spans="1:19" x14ac:dyDescent="0.25">
      <c r="M26" s="20" t="e">
        <f>OR(N25:R25)</f>
        <v>#N/A</v>
      </c>
      <c r="N26" s="20" t="e">
        <f>AND($M$7,N23,N24="1")</f>
        <v>#N/A</v>
      </c>
      <c r="O26" s="20" t="e">
        <f t="shared" ref="O26:R26" si="7">AND($M$7,O23,O24="1")</f>
        <v>#N/A</v>
      </c>
      <c r="P26" s="20" t="e">
        <f t="shared" si="7"/>
        <v>#N/A</v>
      </c>
      <c r="Q26" s="20" t="e">
        <f t="shared" si="7"/>
        <v>#N/A</v>
      </c>
      <c r="R26" s="20" t="e">
        <f t="shared" si="7"/>
        <v>#N/A</v>
      </c>
    </row>
  </sheetData>
  <mergeCells count="3">
    <mergeCell ref="M4:R4"/>
    <mergeCell ref="M12:R12"/>
    <mergeCell ref="M20:R20"/>
  </mergeCells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Z167"/>
  <sheetViews>
    <sheetView workbookViewId="0">
      <pane xSplit="1" topLeftCell="AJ1" activePane="topRight" state="frozen"/>
      <selection activeCell="K27" sqref="K27"/>
      <selection pane="topRight" activeCell="AN3" sqref="AN3:AN144"/>
    </sheetView>
  </sheetViews>
  <sheetFormatPr defaultRowHeight="15" x14ac:dyDescent="0.25"/>
  <cols>
    <col min="1" max="1" width="36.42578125" style="6" customWidth="1"/>
    <col min="2" max="2" width="10.42578125" style="24" customWidth="1"/>
    <col min="3" max="3" width="10.42578125" style="7" customWidth="1"/>
    <col min="4" max="4" width="9.42578125" style="10" customWidth="1"/>
    <col min="5" max="5" width="10.42578125" style="12" customWidth="1"/>
    <col min="6" max="6" width="9.42578125" style="17" customWidth="1"/>
    <col min="7" max="7" width="9.42578125" style="13" customWidth="1"/>
    <col min="8" max="8" width="10.42578125" style="15" customWidth="1"/>
    <col min="9" max="9" width="8.28515625" style="24" customWidth="1"/>
    <col min="10" max="10" width="6.140625" style="7" bestFit="1" customWidth="1"/>
    <col min="11" max="11" width="6.140625" style="10" bestFit="1" customWidth="1"/>
    <col min="12" max="12" width="6.140625" style="12" bestFit="1" customWidth="1"/>
    <col min="13" max="13" width="6.140625" style="17" bestFit="1" customWidth="1"/>
    <col min="14" max="14" width="6.140625" style="13" bestFit="1" customWidth="1"/>
    <col min="15" max="15" width="6.140625" style="15" bestFit="1" customWidth="1"/>
    <col min="16" max="16" width="6.140625" style="18" bestFit="1" customWidth="1"/>
    <col min="17" max="17" width="10.5703125" style="24" customWidth="1"/>
    <col min="18" max="18" width="10.5703125" style="7" customWidth="1"/>
    <col min="19" max="19" width="9.5703125" style="10" customWidth="1"/>
    <col min="20" max="20" width="10.5703125" style="12" customWidth="1"/>
    <col min="21" max="21" width="9.5703125" style="17" customWidth="1"/>
    <col min="22" max="22" width="9.5703125" style="13" customWidth="1"/>
    <col min="23" max="23" width="10.5703125" style="15" customWidth="1"/>
    <col min="24" max="24" width="8.85546875" style="6" customWidth="1"/>
    <col min="25" max="25" width="10.5703125" style="6" customWidth="1"/>
    <col min="26" max="26" width="10.42578125" style="6" customWidth="1"/>
    <col min="27" max="28" width="10" style="6" customWidth="1"/>
    <col min="29" max="29" width="9.42578125" style="6" customWidth="1"/>
    <col min="30" max="30" width="8.5703125" style="6" customWidth="1"/>
    <col min="31" max="31" width="6.42578125" style="6" customWidth="1"/>
    <col min="32" max="32" width="6.7109375" style="6" customWidth="1"/>
    <col min="33" max="33" width="7.7109375" style="6" customWidth="1"/>
    <col min="34" max="34" width="10.28515625" style="6" customWidth="1"/>
    <col min="35" max="35" width="7.28515625" style="6" customWidth="1"/>
    <col min="36" max="36" width="8.140625" style="6" bestFit="1" customWidth="1"/>
    <col min="37" max="37" width="7.5703125" style="6" customWidth="1"/>
    <col min="38" max="38" width="9.5703125" style="6" bestFit="1" customWidth="1"/>
    <col min="39" max="39" width="8.140625" style="49" bestFit="1" customWidth="1"/>
    <col min="40" max="40" width="9.85546875" style="19" customWidth="1"/>
    <col min="41" max="41" width="10.85546875" style="6" customWidth="1"/>
    <col min="42" max="42" width="33.7109375" style="6" bestFit="1" customWidth="1"/>
    <col min="43" max="43" width="8.85546875" style="6"/>
    <col min="44" max="44" width="6.140625" style="6" bestFit="1" customWidth="1"/>
    <col min="45" max="45" width="14.7109375" style="6" bestFit="1" customWidth="1"/>
    <col min="46" max="46" width="13.140625" style="6" bestFit="1" customWidth="1"/>
    <col min="47" max="47" width="11.42578125" style="6" bestFit="1" customWidth="1"/>
    <col min="48" max="48" width="10.85546875" style="6" bestFit="1" customWidth="1"/>
    <col min="49" max="49" width="11.85546875" bestFit="1" customWidth="1"/>
    <col min="50" max="50" width="11.42578125" bestFit="1" customWidth="1"/>
    <col min="51" max="51" width="13.7109375" customWidth="1"/>
    <col min="52" max="52" width="6.85546875" bestFit="1" customWidth="1"/>
  </cols>
  <sheetData>
    <row r="1" spans="1:52" ht="45" x14ac:dyDescent="0.25">
      <c r="A1" s="6" t="s">
        <v>630</v>
      </c>
      <c r="B1" s="23" t="s">
        <v>525</v>
      </c>
      <c r="C1" s="8" t="s">
        <v>447</v>
      </c>
      <c r="D1" s="9" t="s">
        <v>448</v>
      </c>
      <c r="E1" s="11" t="s">
        <v>449</v>
      </c>
      <c r="F1" s="16" t="s">
        <v>450</v>
      </c>
      <c r="G1" s="3" t="s">
        <v>451</v>
      </c>
      <c r="H1" s="14" t="s">
        <v>452</v>
      </c>
      <c r="I1" s="23" t="s">
        <v>526</v>
      </c>
      <c r="J1" s="7" t="s">
        <v>453</v>
      </c>
      <c r="K1" s="10" t="s">
        <v>415</v>
      </c>
      <c r="L1" s="12" t="s">
        <v>454</v>
      </c>
      <c r="M1" s="17" t="s">
        <v>416</v>
      </c>
      <c r="N1" s="13" t="s">
        <v>417</v>
      </c>
      <c r="O1" s="15" t="s">
        <v>418</v>
      </c>
      <c r="P1" s="18" t="s">
        <v>455</v>
      </c>
      <c r="Q1" s="24" t="s">
        <v>527</v>
      </c>
      <c r="R1" s="7" t="s">
        <v>456</v>
      </c>
      <c r="S1" s="10" t="s">
        <v>457</v>
      </c>
      <c r="T1" s="12" t="s">
        <v>458</v>
      </c>
      <c r="U1" s="17" t="s">
        <v>459</v>
      </c>
      <c r="V1" s="13" t="s">
        <v>460</v>
      </c>
      <c r="W1" s="15" t="s">
        <v>461</v>
      </c>
      <c r="X1" s="6" t="s">
        <v>379</v>
      </c>
      <c r="Y1" s="6" t="s">
        <v>462</v>
      </c>
      <c r="Z1" s="6" t="s">
        <v>36</v>
      </c>
      <c r="AA1" s="6" t="s">
        <v>35</v>
      </c>
      <c r="AB1" s="6" t="s">
        <v>628</v>
      </c>
      <c r="AC1" s="6" t="s">
        <v>464</v>
      </c>
      <c r="AD1" s="6" t="s">
        <v>48</v>
      </c>
      <c r="AE1" s="6" t="s">
        <v>85</v>
      </c>
      <c r="AF1" s="6" t="s">
        <v>84</v>
      </c>
      <c r="AG1" s="6" t="s">
        <v>469</v>
      </c>
      <c r="AH1" s="6" t="s">
        <v>468</v>
      </c>
      <c r="AI1" s="6" t="s">
        <v>467</v>
      </c>
      <c r="AJ1" s="6" t="s">
        <v>463</v>
      </c>
      <c r="AK1" s="6" t="s">
        <v>470</v>
      </c>
      <c r="AL1" s="6" t="s">
        <v>465</v>
      </c>
      <c r="AM1" s="49" t="s">
        <v>466</v>
      </c>
      <c r="AN1" s="19" t="s">
        <v>394</v>
      </c>
      <c r="AO1" s="6" t="s">
        <v>76</v>
      </c>
      <c r="AP1" s="6" t="s">
        <v>629</v>
      </c>
      <c r="AS1" s="6" t="s">
        <v>528</v>
      </c>
      <c r="AT1" s="6" t="s">
        <v>441</v>
      </c>
      <c r="AU1" s="6" t="s">
        <v>442</v>
      </c>
      <c r="AV1" s="6" t="s">
        <v>444</v>
      </c>
      <c r="AW1" s="6" t="s">
        <v>443</v>
      </c>
      <c r="AX1" s="6" t="s">
        <v>445</v>
      </c>
      <c r="AY1" s="6" t="s">
        <v>446</v>
      </c>
      <c r="AZ1" t="s">
        <v>379</v>
      </c>
    </row>
    <row r="2" spans="1:52" x14ac:dyDescent="0.25">
      <c r="A2" s="6" t="str">
        <f>IF(CH="N",NLogic!B2,"")</f>
        <v/>
      </c>
      <c r="B2" s="23" t="str">
        <f>IF(OR($A2=0,$A2=""),"0",IF(LOOKUP($A2,Load_Switch_NFET[PARTNUMBER],Load_Switch_NFET[RDSON18])="(NULL)","0","1"))</f>
        <v>0</v>
      </c>
      <c r="C2" s="8" t="str">
        <f>IF(OR($A2=0,$A2=""),"0",IF(LOOKUP($A2,Load_Switch_NFET[PARTNUMBER],Load_Switch_NFET[RDSON25])="(NULL)","0","1"))</f>
        <v>0</v>
      </c>
      <c r="D2" s="9" t="str">
        <f>IF(OR($A2=0,$A2=""),"0",IF(LOOKUP($A2,Load_Switch_NFET[PARTNUMBER],Load_Switch_NFET[RDSON3])="(NULL)","0","1"))</f>
        <v>0</v>
      </c>
      <c r="E2" s="11" t="str">
        <f>IF(OR($A2=0,$A2=""),"0",IF(LOOKUP($A2,Load_Switch_NFET[PARTNUMBER],Load_Switch_NFET[RDSON45])="(NULL)","0","1"))</f>
        <v>0</v>
      </c>
      <c r="F2" s="16" t="str">
        <f>IF(OR($A2=0,$A2=""),"0",IF(LOOKUP($A2,Load_Switch_NFET[PARTNUMBER],Load_Switch_NFET[RDSON6])="(NULL)","0","1"))</f>
        <v>0</v>
      </c>
      <c r="G2" s="3" t="str">
        <f>IF(OR($A2=0,$A2=""),"0",IF(LOOKUP($A2,Load_Switch_NFET[PARTNUMBER],Load_Switch_NFET[RDSON8])="(NULL)","0","1"))</f>
        <v>0</v>
      </c>
      <c r="H2" s="14" t="str">
        <f>IF(OR($A2=0,$A2=""),"0",IF(LOOKUP($A2,Load_Switch_NFET[PARTNUMBER],Load_Switch_NFET[RDSON10])="(NULL)","0","1"))</f>
        <v>0</v>
      </c>
      <c r="I2" s="24" t="b">
        <f t="shared" ref="I2:O2" si="0">AND(AS$2,B2="1")</f>
        <v>0</v>
      </c>
      <c r="J2" s="7" t="b">
        <f t="shared" si="0"/>
        <v>0</v>
      </c>
      <c r="K2" s="10" t="b">
        <f t="shared" si="0"/>
        <v>0</v>
      </c>
      <c r="L2" s="12" t="b">
        <f t="shared" si="0"/>
        <v>0</v>
      </c>
      <c r="M2" s="17" t="b">
        <f t="shared" si="0"/>
        <v>0</v>
      </c>
      <c r="N2" s="13" t="b">
        <f t="shared" si="0"/>
        <v>0</v>
      </c>
      <c r="O2" s="15" t="b">
        <f t="shared" si="0"/>
        <v>0</v>
      </c>
      <c r="P2" s="18" t="b">
        <f>OR(I2:O2)</f>
        <v>0</v>
      </c>
      <c r="Q2" s="24" t="b">
        <f>IF($P2,I2,IF((B2="1"),OR($AR$2,$AR$9)))</f>
        <v>0</v>
      </c>
      <c r="R2" s="7" t="b">
        <f>IF($P2,J2,IF((C2="1"),OR($AR$2,$AR$9)))</f>
        <v>0</v>
      </c>
      <c r="S2" s="10" t="b">
        <f t="shared" ref="S2:S33" si="1">IF($P2,K2,IF((D2="1"),OR(AR$2,AR$9,AV$2,L2)))</f>
        <v>0</v>
      </c>
      <c r="T2" s="12" t="b">
        <f t="shared" ref="T2:T33" si="2">IF($P2,L2,IF((E2="1"),OR(AU$2,K2,AW$2,M2)))</f>
        <v>0</v>
      </c>
      <c r="U2" s="17" t="b">
        <f t="shared" ref="U2:U33" si="3">IF($P2,M2,IF((F2="1"),OR(AV$2,L2,AX$2,N2)))</f>
        <v>0</v>
      </c>
      <c r="V2" s="13" t="b">
        <f t="shared" ref="V2:V33" si="4">IF($P2,N2,IF((G2="1"),OR(AW$2,M2,AY$2,O2)))</f>
        <v>0</v>
      </c>
      <c r="W2" s="15" t="b">
        <f t="shared" ref="W2:W33" si="5">IF($P2,O2,IF((H2="1"),OR(AX$2,N2)))</f>
        <v>0</v>
      </c>
      <c r="X2" s="6" t="str">
        <f>IF(W2,LOOKUP(A2,Load_Switch_NFET[PARTNUMBER],Load_Switch_NFET[RDSON10])*1000,IF(V2,LOOKUP(A2,Load_Switch_NFET[PARTNUMBER],Load_Switch_NFET[RDSON8])*1000,IF(U2,LOOKUP(A2,Load_Switch_NFET[PARTNUMBER],Load_Switch_NFET[RDSON6])*1000,IF(T2,LOOKUP(A2,Load_Switch_NFET[PARTNUMBER],Load_Switch_NFET[RDSON45])*1000,IF(S2,LOOKUP(A2,Load_Switch_NFET[PARTNUMBER],Load_Switch_NFET[RDSON3])*1000,IF(R2,LOOKUP(A2,Load_Switch_NFET[PARTNUMBER],Load_Switch_NFET[RDSON25])*1000,IF(Q2,LOOKUP(A2,Load_Switch_NFET[PARTNUMBER],Load_Switch_NFET[RDSON18])*1000,"")))))))</f>
        <v/>
      </c>
      <c r="Y2" s="19" t="str">
        <f>IF(AND(A2&lt;&gt;0,A2&lt;&gt;""),X2*(1+(Tj-25)*(LOOKUP(A2,Load_Switch_NFET[PARTNUMBER],Load_Switch_NFET[RDSDELTA])/((LOOKUP(A2,Load_Switch_NFET[PARTNUMBER],Load_Switch_NFET[TJMAX])-25)))),"")</f>
        <v/>
      </c>
      <c r="Z2" s="6" t="str">
        <f>IF(AND(A2&lt;&gt;0,A2&lt;&gt;""),LOOKUP(A2,Load_Switch_NFET[PARTNUMBER],Load_Switch_NFET[VTHMAX]),"")</f>
        <v/>
      </c>
      <c r="AA2" s="6" t="str">
        <f>IF(AND(A2&lt;&gt;0,A2&lt;&gt;""),LOOKUP(A2,Load_Switch_NFET[PARTNUMBER],Load_Switch_NFET[VTHMIN]),"")</f>
        <v/>
      </c>
      <c r="AC2" s="6" t="str">
        <f>IF(AND($A2&lt;&gt;0,$A2&lt;&gt;""),LOOKUP($A2,Load_Switch_NFET[PARTNUMBER],Load_Switch_NFET[RGIMAX]),"")</f>
        <v/>
      </c>
      <c r="AD2" s="6" t="str">
        <f>IF(AND($A2&lt;&gt;0,$A2&lt;&gt;""),LOOKUP($A2,Load_Switch_NFET[PARTNUMBER],Load_Switch_NFET[QGTYP]),"")</f>
        <v/>
      </c>
      <c r="AE2" s="6" t="str">
        <f>IF(AND($A2&lt;&gt;0,$A2&lt;&gt;""),LOOKUP($A2,Load_Switch_NFET[PARTNUMBER],Load_Switch_NFET[QGS]),"")</f>
        <v/>
      </c>
      <c r="AF2" s="6" t="str">
        <f>IF(AND($A2&lt;&gt;0,$A2&lt;&gt;""),LOOKUP($A2,Load_Switch_NFET[PARTNUMBER],Load_Switch_NFET[QGD]),"")</f>
        <v/>
      </c>
      <c r="AG2" s="6" t="str">
        <f>IF(AND($A2&lt;&gt;0,$A2&lt;&gt;""),LOOKUP($A2,Load_Switch_NFET[PARTNUMBER],Load_Switch_NFET[QGTH]),"")</f>
        <v/>
      </c>
      <c r="AH2" s="6" t="str">
        <f>IF(AND($A2&lt;&gt;0,$A2&lt;&gt;""),LOOKUP($A2,Load_Switch_NFET[PARTNUMBER],Load_Switch_NFET[VMILLER]),"")</f>
        <v/>
      </c>
      <c r="AI2" s="6" t="str">
        <f>IF(AND($A2&lt;&gt;0,$A2&lt;&gt;""),LOOKUP($A2,Load_Switch_NFET[PARTNUMBER],Load_Switch_NFET[COSS_AT_VDSSPEC]),"")</f>
        <v/>
      </c>
      <c r="AJ2" s="6" t="str">
        <f t="shared" ref="AJ2:AJ33" si="6">IF(AND(A2&lt;&gt;0,A2&lt;&gt;""),AE2+AF2-AG2,"")</f>
        <v/>
      </c>
      <c r="AK2" s="6" t="str">
        <f t="shared" ref="AK2:AK33" si="7">IF(AND(A2&lt;&gt;0,A2&lt;&gt;""),(Z2+AA2)/2,"")</f>
        <v/>
      </c>
      <c r="AL2" s="6" t="str">
        <f t="shared" ref="AL2:AL33" si="8">IF(AND($A2&lt;&gt;0,$A2&lt;&gt;""),Io^2*Y2*m,"")</f>
        <v/>
      </c>
      <c r="AM2" s="49" t="str">
        <f t="shared" ref="AM2:AM33" si="9">IF(AND($A2&lt;&gt;0,$A2&lt;&gt;""),ROUND(SUM(AL2:AL2),3),"")</f>
        <v/>
      </c>
      <c r="AN2" s="46" t="str">
        <f>IF(AND($A2&lt;&gt;0,$A2&lt;&gt;""),LOOKUP($A2,Load_Switch_NFET[PARTNUMBER],Load_Switch_NFET[1KPRICE]),"")</f>
        <v/>
      </c>
      <c r="AO2" s="6" t="str">
        <f>IF(AND($A2&lt;&gt;0,$A2&lt;&gt;""),LOOKUP(A2,Load_Switch_NFET[PARTNUMBER],Load_Switch_NFET[TI_EQ_PACKAGE]),"")</f>
        <v/>
      </c>
      <c r="AR2" s="6" t="b">
        <f>AND('NFET Data'!L2&gt;1.1*Vi,'NFET Data'!M2&gt;1.1*(VGS_DR))</f>
        <v>1</v>
      </c>
      <c r="AS2" s="20" t="b">
        <f>((VGS_DR)&gt;=1.8)</f>
        <v>1</v>
      </c>
      <c r="AT2" s="20" t="b">
        <f>((VGS_DR)&gt;=2.2)</f>
        <v>1</v>
      </c>
      <c r="AU2" s="20" t="b">
        <f>((VGS_DR)&gt;=2.7)</f>
        <v>1</v>
      </c>
      <c r="AV2" s="20" t="b">
        <f>((VGS_DR)&gt;=4)</f>
        <v>1</v>
      </c>
      <c r="AW2" s="20" t="b">
        <f>((VGS_DR)&gt;=5.5)</f>
        <v>0</v>
      </c>
      <c r="AX2" s="20" t="b">
        <f>((VGS_DR)&gt;=7)</f>
        <v>0</v>
      </c>
      <c r="AY2" s="20" t="b">
        <f>((VGS_DR)&gt;=8.5)</f>
        <v>0</v>
      </c>
    </row>
    <row r="3" spans="1:52" ht="30" x14ac:dyDescent="0.25">
      <c r="A3" s="6" t="str">
        <f>IF(CH="N",NLogic!B3,"")</f>
        <v>CSD13202Q2</v>
      </c>
      <c r="B3" s="23" t="str">
        <f>IF(OR($A3=0,$A3=""),"0",IF(LOOKUP($A3,Load_Switch_NFET[PARTNUMBER],Load_Switch_NFET[RDSON18])="(NULL)","0","1"))</f>
        <v>0</v>
      </c>
      <c r="C3" s="8" t="str">
        <f>IF(OR($A3=0,$A3=""),"0",IF(LOOKUP($A3,Load_Switch_NFET[PARTNUMBER],Load_Switch_NFET[RDSON25])="(NULL)","0","1"))</f>
        <v>1</v>
      </c>
      <c r="D3" s="9" t="str">
        <f>IF(OR($A3=0,$A3=""),"0",IF(LOOKUP($A3,Load_Switch_NFET[PARTNUMBER],Load_Switch_NFET[RDSON3])="(NULL)","0","1"))</f>
        <v>1</v>
      </c>
      <c r="E3" s="11" t="str">
        <f>IF(OR($A3=0,$A3=""),"0",IF(LOOKUP($A3,Load_Switch_NFET[PARTNUMBER],Load_Switch_NFET[RDSON45])="(NULL)","0","1"))</f>
        <v>1</v>
      </c>
      <c r="F3" s="16" t="str">
        <f>IF(OR($A3=0,$A3=""),"0",IF(LOOKUP($A3,Load_Switch_NFET[PARTNUMBER],Load_Switch_NFET[RDSON6])="(NULL)","0","1"))</f>
        <v>0</v>
      </c>
      <c r="G3" s="3" t="str">
        <f>IF(OR($A3=0,$A3=""),"0",IF(LOOKUP($A3,Load_Switch_NFET[PARTNUMBER],Load_Switch_NFET[RDSON8])="(NULL)","0","1"))</f>
        <v>0</v>
      </c>
      <c r="H3" s="14" t="str">
        <f>IF(OR($A3=0,$A3=""),"0",IF(LOOKUP($A3,Load_Switch_NFET[PARTNUMBER],Load_Switch_NFET[RDSON10])="(NULL)","0","1"))</f>
        <v>0</v>
      </c>
      <c r="I3" s="24" t="b">
        <f t="shared" ref="I3:I66" si="10">AND(AS$2,B3="1")</f>
        <v>0</v>
      </c>
      <c r="J3" s="7" t="b">
        <f t="shared" ref="J3:J34" si="11">AND(AT$2,C3="1")</f>
        <v>1</v>
      </c>
      <c r="K3" s="10" t="b">
        <f t="shared" ref="K3:K34" si="12">AND(AU$2,D3="1")</f>
        <v>1</v>
      </c>
      <c r="L3" s="12" t="b">
        <f t="shared" ref="L3:L34" si="13">AND(AV$2,E3="1")</f>
        <v>1</v>
      </c>
      <c r="M3" s="17" t="b">
        <f t="shared" ref="M3:M34" si="14">AND(AW$2,F3="1")</f>
        <v>0</v>
      </c>
      <c r="N3" s="13" t="b">
        <f t="shared" ref="N3:N34" si="15">AND(AX$2,G3="1")</f>
        <v>0</v>
      </c>
      <c r="O3" s="15" t="b">
        <f t="shared" ref="O3:O34" si="16">AND(AY$2,H3="1")</f>
        <v>0</v>
      </c>
      <c r="P3" s="18" t="b">
        <f t="shared" ref="P3:P66" si="17">OR(I3:O3)</f>
        <v>1</v>
      </c>
      <c r="Q3" s="24" t="b">
        <f>IF($P3,I3,IF((B3="1"),OR($AR$2,$AR$9)))</f>
        <v>0</v>
      </c>
      <c r="R3" s="7" t="b">
        <f>IF($P3,J3,IF((C3="1"),OR($AR$2,$AR$9)))</f>
        <v>1</v>
      </c>
      <c r="S3" s="10" t="b">
        <f t="shared" si="1"/>
        <v>1</v>
      </c>
      <c r="T3" s="12" t="b">
        <f t="shared" si="2"/>
        <v>1</v>
      </c>
      <c r="U3" s="17" t="b">
        <f t="shared" si="3"/>
        <v>0</v>
      </c>
      <c r="V3" s="13" t="b">
        <f t="shared" si="4"/>
        <v>0</v>
      </c>
      <c r="W3" s="15" t="b">
        <f t="shared" si="5"/>
        <v>0</v>
      </c>
      <c r="X3" s="6">
        <f>IF(W3,LOOKUP(A3,Load_Switch_NFET[PARTNUMBER],Load_Switch_NFET[RDSON10])*1000,IF(V3,LOOKUP(A3,Load_Switch_NFET[PARTNUMBER],Load_Switch_NFET[RDSON8])*1000,IF(U3,LOOKUP(A3,Load_Switch_NFET[PARTNUMBER],Load_Switch_NFET[RDSON6])*1000,IF(T3,LOOKUP(A3,Load_Switch_NFET[PARTNUMBER],Load_Switch_NFET[RDSON45])*1000,IF(S3,LOOKUP(A3,Load_Switch_NFET[PARTNUMBER],Load_Switch_NFET[RDSON3])*1000,IF(R3,LOOKUP(A3,Load_Switch_NFET[PARTNUMBER],Load_Switch_NFET[RDSON25])*1000,IF(Q3,LOOKUP(A3,Load_Switch_NFET[PARTNUMBER],Load_Switch_NFET[RDSON18])*1000,"")))))))</f>
        <v>9.2999999999999989</v>
      </c>
      <c r="Y3" s="19">
        <f>IF(AND(A3&lt;&gt;0,A3&lt;&gt;""),X3*(1+(Tj-25)*(LOOKUP(A3,Load_Switch_NFET[PARTNUMBER],Load_Switch_NFET[RDSDELTA])/((LOOKUP(A3,Load_Switch_NFET[PARTNUMBER],Load_Switch_NFET[TJMAX])-25)))),"")</f>
        <v>10.750799999999998</v>
      </c>
      <c r="Z3" s="6">
        <f>IF(AND(A3&lt;&gt;0,A3&lt;&gt;""),LOOKUP(A3,Load_Switch_NFET[PARTNUMBER],Load_Switch_NFET[VTHMAX]),"")</f>
        <v>1.1000000000000001</v>
      </c>
      <c r="AA3" s="6">
        <f>IF(AND(A3&lt;&gt;0,A3&lt;&gt;""),LOOKUP(A3,Load_Switch_NFET[PARTNUMBER],Load_Switch_NFET[VTHMIN]),"")</f>
        <v>0.57999999999999996</v>
      </c>
      <c r="AB3" s="6">
        <f t="shared" ref="AB3:AB33" si="18">IF(AND(A3&lt;&gt;0,A3&lt;&gt;""),IF(B3="1",1.8,IF(C3="1",2.5,IF(D3="1",3,IF(E3="1",4.5,IF(F3="1",6,IF(G3="1",8,IF(H3="1",10))))))),"#N/A")</f>
        <v>2.5</v>
      </c>
      <c r="AC3" s="6">
        <f>IF(AND(A3&lt;&gt;0,A3&lt;&gt;""),LOOKUP(A3,Load_Switch_NFET[PARTNUMBER],Load_Switch_NFET[RGIMAX]),"")</f>
        <v>1.4</v>
      </c>
      <c r="AD3" s="6">
        <f>IF(AND($A3&lt;&gt;0,$A3&lt;&gt;""),LOOKUP($A3,Load_Switch_NFET[PARTNUMBER],Load_Switch_NFET[QGTYP]),"")</f>
        <v>5.0999999999999996</v>
      </c>
      <c r="AE3" s="6">
        <f>IF(AND($A3&lt;&gt;0,$A3&lt;&gt;""),LOOKUP($A3,Load_Switch_NFET[PARTNUMBER],Load_Switch_NFET[QGS]),"")</f>
        <v>0.98</v>
      </c>
      <c r="AF3" s="6">
        <f>IF(AND($A3&lt;&gt;0,$A3&lt;&gt;""),LOOKUP($A3,Load_Switch_NFET[PARTNUMBER],Load_Switch_NFET[QGD]),"")</f>
        <v>0.76</v>
      </c>
      <c r="AG3" s="6">
        <f>IF(AND($A3&lt;&gt;0,$A3&lt;&gt;""),LOOKUP($A3,Load_Switch_NFET[PARTNUMBER],Load_Switch_NFET[QGTH]),"")</f>
        <v>0.56999999999999995</v>
      </c>
      <c r="AH3" s="6">
        <f>IF(AND($A3&lt;&gt;0,$A3&lt;&gt;""),LOOKUP($A3,Load_Switch_NFET[PARTNUMBER],Load_Switch_NFET[VMILLER]),"")</f>
        <v>1.4</v>
      </c>
      <c r="AI3" s="6">
        <f>IF(AND($A3&lt;&gt;0,$A3&lt;&gt;""),LOOKUP($A3,Load_Switch_NFET[PARTNUMBER],Load_Switch_NFET[COSS_AT_VDSSPEC]),"")</f>
        <v>0.50600000000000001</v>
      </c>
      <c r="AJ3" s="6">
        <f t="shared" si="6"/>
        <v>1.17</v>
      </c>
      <c r="AK3" s="6">
        <f t="shared" si="7"/>
        <v>0.84000000000000008</v>
      </c>
      <c r="AL3" s="6">
        <f t="shared" si="8"/>
        <v>4.3003199999999991E-2</v>
      </c>
      <c r="AM3" s="49">
        <f t="shared" si="9"/>
        <v>4.2999999999999997E-2</v>
      </c>
      <c r="AN3" s="46">
        <f>IF(AND($A3&lt;&gt;0,$A3&lt;&gt;""),LOOKUP($A3,Load_Switch_NFET[PARTNUMBER],Load_Switch_NFET[1KPRICE]),"")</f>
        <v>0.127</v>
      </c>
      <c r="AO3" s="6" t="str">
        <f>IF(AND($A3&lt;&gt;0,$A3&lt;&gt;""),LOOKUP(A3,Load_Switch_NFET[PARTNUMBER],Load_Switch_NFET[TI_EQ_PACKAGE]),"")</f>
        <v>SON2X2</v>
      </c>
      <c r="AP3" s="6" t="str">
        <f t="shared" ref="AP3:AP33" si="19">IF(AND($A3&lt;&gt;0,$A3&lt;&gt;""),CONCATENATE(A3,", ",AO3,", ",AM3,"W, $",AN3),"Invalid Part")</f>
        <v>CSD13202Q2, SON2X2, 0.043W, $0.127</v>
      </c>
      <c r="AZ3" t="str">
        <f>IF(AT5,LOOKUP(Part_Number,Load_Switch_NFET[PARTNUMBER],Load_Switch_NFET[RDSON25])*1000,IF(AU5,LOOKUP(Part_Number,Load_Switch_NFET[PARTNUMBER],Load_Switch_NFET[RDSON3])*1000,IF(AX5,LOOKUP(Part_Number,Load_Switch_NFET[PARTNUMBER],Load_Switch_NFET[RDSON8])*1000,IF(AW5,LOOKUP(Part_Number,Load_Switch_NFET[PARTNUMBER],Load_Switch_NFET[RDSON6])*1000,IF(AV5,LOOKUP(Part_Number,Load_Switch_NFET[PARTNUMBER],Load_Switch_NFET[RDSON45])*1000,IF(AY5,LOOKUP(Part_Number,Load_Switch_NFET[PARTNUMBER],Load_Switch_NFET[RDSON10])*1000,""))))))</f>
        <v/>
      </c>
    </row>
    <row r="4" spans="1:52" ht="30" x14ac:dyDescent="0.25">
      <c r="A4" s="6" t="str">
        <f>IF(CH="N",NLogic!B4,"")</f>
        <v>CSD13303W1015</v>
      </c>
      <c r="B4" s="23" t="str">
        <f>IF(OR($A4=0,$A4=""),"0",IF(LOOKUP($A4,Load_Switch_NFET[PARTNUMBER],Load_Switch_NFET[RDSON18])="(NULL)","0","1"))</f>
        <v>0</v>
      </c>
      <c r="C4" s="8" t="str">
        <f>IF(OR($A4=0,$A4=""),"0",IF(LOOKUP($A4,Load_Switch_NFET[PARTNUMBER],Load_Switch_NFET[RDSON25])="(NULL)","0","1"))</f>
        <v>1</v>
      </c>
      <c r="D4" s="9" t="str">
        <f>IF(OR($A4=0,$A4=""),"0",IF(LOOKUP($A4,Load_Switch_NFET[PARTNUMBER],Load_Switch_NFET[RDSON3])="(NULL)","0","1"))</f>
        <v>0</v>
      </c>
      <c r="E4" s="11" t="str">
        <f>IF(OR($A4=0,$A4=""),"0",IF(LOOKUP($A4,Load_Switch_NFET[PARTNUMBER],Load_Switch_NFET[RDSON45])="(NULL)","0","1"))</f>
        <v>1</v>
      </c>
      <c r="F4" s="16" t="str">
        <f>IF(OR($A4=0,$A4=""),"0",IF(LOOKUP($A4,Load_Switch_NFET[PARTNUMBER],Load_Switch_NFET[RDSON6])="(NULL)","0","1"))</f>
        <v>0</v>
      </c>
      <c r="G4" s="3" t="str">
        <f>IF(OR($A4=0,$A4=""),"0",IF(LOOKUP($A4,Load_Switch_NFET[PARTNUMBER],Load_Switch_NFET[RDSON8])="(NULL)","0","1"))</f>
        <v>0</v>
      </c>
      <c r="H4" s="14" t="str">
        <f>IF(OR($A4=0,$A4=""),"0",IF(LOOKUP($A4,Load_Switch_NFET[PARTNUMBER],Load_Switch_NFET[RDSON10])="(NULL)","0","1"))</f>
        <v>0</v>
      </c>
      <c r="I4" s="24" t="b">
        <f t="shared" si="10"/>
        <v>0</v>
      </c>
      <c r="J4" s="7" t="b">
        <f t="shared" si="11"/>
        <v>1</v>
      </c>
      <c r="K4" s="10" t="b">
        <f t="shared" si="12"/>
        <v>0</v>
      </c>
      <c r="L4" s="12" t="b">
        <f t="shared" si="13"/>
        <v>1</v>
      </c>
      <c r="M4" s="17" t="b">
        <f t="shared" si="14"/>
        <v>0</v>
      </c>
      <c r="N4" s="13" t="b">
        <f t="shared" si="15"/>
        <v>0</v>
      </c>
      <c r="O4" s="15" t="b">
        <f t="shared" si="16"/>
        <v>0</v>
      </c>
      <c r="P4" s="18" t="b">
        <f t="shared" si="17"/>
        <v>1</v>
      </c>
      <c r="Q4" s="24" t="b">
        <f t="shared" ref="Q4:Q67" si="20">IF($P4,I4,IF((B4="1"),OR($AR$2,$AR$9)))</f>
        <v>0</v>
      </c>
      <c r="R4" s="7" t="b">
        <f t="shared" ref="R4:R35" si="21">IF($P4,J4,IF((C4="1"),OR($AR$2,$AR$9)))</f>
        <v>1</v>
      </c>
      <c r="S4" s="10" t="b">
        <f t="shared" si="1"/>
        <v>0</v>
      </c>
      <c r="T4" s="12" t="b">
        <f t="shared" si="2"/>
        <v>1</v>
      </c>
      <c r="U4" s="17" t="b">
        <f t="shared" si="3"/>
        <v>0</v>
      </c>
      <c r="V4" s="13" t="b">
        <f t="shared" si="4"/>
        <v>0</v>
      </c>
      <c r="W4" s="15" t="b">
        <f t="shared" si="5"/>
        <v>0</v>
      </c>
      <c r="X4" s="6">
        <f>IF(W4,LOOKUP(A4,Load_Switch_NFET[PARTNUMBER],Load_Switch_NFET[RDSON10])*1000,IF(V4,LOOKUP(A4,Load_Switch_NFET[PARTNUMBER],Load_Switch_NFET[RDSON8])*1000,IF(U4,LOOKUP(A4,Load_Switch_NFET[PARTNUMBER],Load_Switch_NFET[RDSON6])*1000,IF(T4,LOOKUP(A4,Load_Switch_NFET[PARTNUMBER],Load_Switch_NFET[RDSON45])*1000,IF(S4,LOOKUP(A4,Load_Switch_NFET[PARTNUMBER],Load_Switch_NFET[RDSON3])*1000,IF(R4,LOOKUP(A4,Load_Switch_NFET[PARTNUMBER],Load_Switch_NFET[RDSON25])*1000,IF(Q4,LOOKUP(A4,Load_Switch_NFET[PARTNUMBER],Load_Switch_NFET[RDSON18])*1000,"")))))))</f>
        <v>20</v>
      </c>
      <c r="Y4" s="19">
        <f>IF(AND(A4&lt;&gt;0,A4&lt;&gt;""),X4*(1+(Tj-25)*(LOOKUP(A4,Load_Switch_NFET[PARTNUMBER],Load_Switch_NFET[RDSDELTA])/((LOOKUP(A4,Load_Switch_NFET[PARTNUMBER],Load_Switch_NFET[TJMAX])-25)))),"")</f>
        <v>22.88</v>
      </c>
      <c r="Z4" s="6">
        <f>IF(AND(A4&lt;&gt;0,A4&lt;&gt;""),LOOKUP(A4,Load_Switch_NFET[PARTNUMBER],Load_Switch_NFET[VTHMAX]),"")</f>
        <v>1.2</v>
      </c>
      <c r="AA4" s="6">
        <f>IF(AND(A4&lt;&gt;0,A4&lt;&gt;""),LOOKUP(A4,Load_Switch_NFET[PARTNUMBER],Load_Switch_NFET[VTHMIN]),"")</f>
        <v>0.65</v>
      </c>
      <c r="AB4" s="6">
        <f t="shared" si="18"/>
        <v>2.5</v>
      </c>
      <c r="AC4" s="6">
        <f>IF(AND(A4&lt;&gt;0,A4&lt;&gt;""),LOOKUP(A4,Load_Switch_NFET[PARTNUMBER],Load_Switch_NFET[RGIMAX]),"")</f>
        <v>4.5999999999999996</v>
      </c>
      <c r="AD4" s="6">
        <f>IF(AND($A4&lt;&gt;0,$A4&lt;&gt;""),LOOKUP($A4,Load_Switch_NFET[PARTNUMBER],Load_Switch_NFET[QGTYP]),"")</f>
        <v>3.9</v>
      </c>
      <c r="AE4" s="6">
        <f>IF(AND($A4&lt;&gt;0,$A4&lt;&gt;""),LOOKUP($A4,Load_Switch_NFET[PARTNUMBER],Load_Switch_NFET[QGS]),"")</f>
        <v>1</v>
      </c>
      <c r="AF4" s="6">
        <f>IF(AND($A4&lt;&gt;0,$A4&lt;&gt;""),LOOKUP($A4,Load_Switch_NFET[PARTNUMBER],Load_Switch_NFET[QGD]),"")</f>
        <v>0.4</v>
      </c>
      <c r="AG4" s="6">
        <f>IF(AND($A4&lt;&gt;0,$A4&lt;&gt;""),LOOKUP($A4,Load_Switch_NFET[PARTNUMBER],Load_Switch_NFET[QGTH]),"")</f>
        <v>8.6999999999999993</v>
      </c>
      <c r="AH4" s="6" t="str">
        <f>IF(AND($A4&lt;&gt;0,$A4&lt;&gt;""),LOOKUP($A4,Load_Switch_NFET[PARTNUMBER],Load_Switch_NFET[VMILLER]),"")</f>
        <v>(NULL)</v>
      </c>
      <c r="AI4" s="6">
        <f>IF(AND($A4&lt;&gt;0,$A4&lt;&gt;""),LOOKUP($A4,Load_Switch_NFET[PARTNUMBER],Load_Switch_NFET[COSS_AT_VDSSPEC]),"")</f>
        <v>0.4</v>
      </c>
      <c r="AJ4" s="6">
        <f t="shared" si="6"/>
        <v>-7.2999999999999989</v>
      </c>
      <c r="AK4" s="6">
        <f t="shared" si="7"/>
        <v>0.92500000000000004</v>
      </c>
      <c r="AL4" s="6">
        <f t="shared" si="8"/>
        <v>9.1520000000000004E-2</v>
      </c>
      <c r="AM4" s="49">
        <f t="shared" si="9"/>
        <v>9.1999999999999998E-2</v>
      </c>
      <c r="AN4" s="46">
        <f>IF(AND($A4&lt;&gt;0,$A4&lt;&gt;""),LOOKUP($A4,Load_Switch_NFET[PARTNUMBER],Load_Switch_NFET[1KPRICE]),"")</f>
        <v>0.12</v>
      </c>
      <c r="AO4" s="6" t="str">
        <f>IF(AND($A4&lt;&gt;0,$A4&lt;&gt;""),LOOKUP(A4,Load_Switch_NFET[PARTNUMBER],Load_Switch_NFET[TI_EQ_PACKAGE]),"")</f>
        <v>WLP1X1.5</v>
      </c>
      <c r="AP4" s="6" t="str">
        <f t="shared" si="19"/>
        <v>CSD13303W1015, WLP1X1.5, 0.092W, $0.12</v>
      </c>
    </row>
    <row r="5" spans="1:52" ht="30" x14ac:dyDescent="0.25">
      <c r="A5" s="6" t="str">
        <f>IF(CH="N",NLogic!B5,"")</f>
        <v>CSD13306W</v>
      </c>
      <c r="B5" s="23" t="str">
        <f>IF(OR($A5=0,$A5=""),"0",IF(LOOKUP($A5,Load_Switch_NFET[PARTNUMBER],Load_Switch_NFET[RDSON18])="(NULL)","0","1"))</f>
        <v>0</v>
      </c>
      <c r="C5" s="8" t="str">
        <f>IF(OR($A5=0,$A5=""),"0",IF(LOOKUP($A5,Load_Switch_NFET[PARTNUMBER],Load_Switch_NFET[RDSON25])="(NULL)","0","1"))</f>
        <v>1</v>
      </c>
      <c r="D5" s="9" t="str">
        <f>IF(OR($A5=0,$A5=""),"0",IF(LOOKUP($A5,Load_Switch_NFET[PARTNUMBER],Load_Switch_NFET[RDSON3])="(NULL)","0","1"))</f>
        <v>0</v>
      </c>
      <c r="E5" s="11" t="str">
        <f>IF(OR($A5=0,$A5=""),"0",IF(LOOKUP($A5,Load_Switch_NFET[PARTNUMBER],Load_Switch_NFET[RDSON45])="(NULL)","0","1"))</f>
        <v>1</v>
      </c>
      <c r="F5" s="16" t="str">
        <f>IF(OR($A5=0,$A5=""),"0",IF(LOOKUP($A5,Load_Switch_NFET[PARTNUMBER],Load_Switch_NFET[RDSON6])="(NULL)","0","1"))</f>
        <v>0</v>
      </c>
      <c r="G5" s="3" t="str">
        <f>IF(OR($A5=0,$A5=""),"0",IF(LOOKUP($A5,Load_Switch_NFET[PARTNUMBER],Load_Switch_NFET[RDSON8])="(NULL)","0","1"))</f>
        <v>0</v>
      </c>
      <c r="H5" s="14" t="str">
        <f>IF(OR($A5=0,$A5=""),"0",IF(LOOKUP($A5,Load_Switch_NFET[PARTNUMBER],Load_Switch_NFET[RDSON10])="(NULL)","0","1"))</f>
        <v>0</v>
      </c>
      <c r="I5" s="24" t="b">
        <f t="shared" si="10"/>
        <v>0</v>
      </c>
      <c r="J5" s="7" t="b">
        <f t="shared" si="11"/>
        <v>1</v>
      </c>
      <c r="K5" s="10" t="b">
        <f t="shared" si="12"/>
        <v>0</v>
      </c>
      <c r="L5" s="12" t="b">
        <f t="shared" si="13"/>
        <v>1</v>
      </c>
      <c r="M5" s="17" t="b">
        <f t="shared" si="14"/>
        <v>0</v>
      </c>
      <c r="N5" s="13" t="b">
        <f t="shared" si="15"/>
        <v>0</v>
      </c>
      <c r="O5" s="15" t="b">
        <f t="shared" si="16"/>
        <v>0</v>
      </c>
      <c r="P5" s="18" t="b">
        <f t="shared" si="17"/>
        <v>1</v>
      </c>
      <c r="Q5" s="24" t="b">
        <f t="shared" si="20"/>
        <v>0</v>
      </c>
      <c r="R5" s="7" t="b">
        <f t="shared" si="21"/>
        <v>1</v>
      </c>
      <c r="S5" s="10" t="b">
        <f t="shared" si="1"/>
        <v>0</v>
      </c>
      <c r="T5" s="12" t="b">
        <f t="shared" si="2"/>
        <v>1</v>
      </c>
      <c r="U5" s="17" t="b">
        <f t="shared" si="3"/>
        <v>0</v>
      </c>
      <c r="V5" s="13" t="b">
        <f t="shared" si="4"/>
        <v>0</v>
      </c>
      <c r="W5" s="15" t="b">
        <f t="shared" si="5"/>
        <v>0</v>
      </c>
      <c r="X5" s="6">
        <f>IF(W5,LOOKUP(A5,Load_Switch_NFET[PARTNUMBER],Load_Switch_NFET[RDSON10])*1000,IF(V5,LOOKUP(A5,Load_Switch_NFET[PARTNUMBER],Load_Switch_NFET[RDSON8])*1000,IF(U5,LOOKUP(A5,Load_Switch_NFET[PARTNUMBER],Load_Switch_NFET[RDSON6])*1000,IF(T5,LOOKUP(A5,Load_Switch_NFET[PARTNUMBER],Load_Switch_NFET[RDSON45])*1000,IF(S5,LOOKUP(A5,Load_Switch_NFET[PARTNUMBER],Load_Switch_NFET[RDSON3])*1000,IF(R5,LOOKUP(A5,Load_Switch_NFET[PARTNUMBER],Load_Switch_NFET[RDSON25])*1000,IF(Q5,LOOKUP(A5,Load_Switch_NFET[PARTNUMBER],Load_Switch_NFET[RDSON18])*1000,"")))))))</f>
        <v>10.200000000000001</v>
      </c>
      <c r="Y5" s="19">
        <f>IF(AND(A5&lt;&gt;0,A5&lt;&gt;""),X5*(1+(Tj-25)*(LOOKUP(A5,Load_Switch_NFET[PARTNUMBER],Load_Switch_NFET[RDSDELTA])/((LOOKUP(A5,Load_Switch_NFET[PARTNUMBER],Load_Switch_NFET[TJMAX])-25)))),"")</f>
        <v>11.668800000000001</v>
      </c>
      <c r="Z5" s="6">
        <f>IF(AND(A5&lt;&gt;0,A5&lt;&gt;""),LOOKUP(A5,Load_Switch_NFET[PARTNUMBER],Load_Switch_NFET[VTHMAX]),"")</f>
        <v>1.3</v>
      </c>
      <c r="AA5" s="6">
        <f>IF(AND(A5&lt;&gt;0,A5&lt;&gt;""),LOOKUP(A5,Load_Switch_NFET[PARTNUMBER],Load_Switch_NFET[VTHMIN]),"")</f>
        <v>0.7</v>
      </c>
      <c r="AB5" s="6">
        <f t="shared" si="18"/>
        <v>2.5</v>
      </c>
      <c r="AC5" s="6">
        <f>IF(AND(A5&lt;&gt;0,A5&lt;&gt;""),LOOKUP(A5,Load_Switch_NFET[PARTNUMBER],Load_Switch_NFET[RGIMAX]),"")</f>
        <v>8.4</v>
      </c>
      <c r="AD5" s="6">
        <f>IF(AND($A5&lt;&gt;0,$A5&lt;&gt;""),LOOKUP($A5,Load_Switch_NFET[PARTNUMBER],Load_Switch_NFET[QGTYP]),"")</f>
        <v>8.6</v>
      </c>
      <c r="AE5" s="6">
        <f>IF(AND($A5&lt;&gt;0,$A5&lt;&gt;""),LOOKUP($A5,Load_Switch_NFET[PARTNUMBER],Load_Switch_NFET[QGS]),"")</f>
        <v>1.1000000000000001</v>
      </c>
      <c r="AF5" s="6">
        <f>IF(AND($A5&lt;&gt;0,$A5&lt;&gt;""),LOOKUP($A5,Load_Switch_NFET[PARTNUMBER],Load_Switch_NFET[QGD]),"")</f>
        <v>3</v>
      </c>
      <c r="AG5" s="6" t="str">
        <f>IF(AND($A5&lt;&gt;0,$A5&lt;&gt;""),LOOKUP($A5,Load_Switch_NFET[PARTNUMBER],Load_Switch_NFET[QGTH]),"")</f>
        <v>(NULL)</v>
      </c>
      <c r="AH5" s="6" t="str">
        <f>IF(AND($A5&lt;&gt;0,$A5&lt;&gt;""),LOOKUP($A5,Load_Switch_NFET[PARTNUMBER],Load_Switch_NFET[VMILLER]),"")</f>
        <v>(NULL)</v>
      </c>
      <c r="AI5" s="6">
        <f>IF(AND($A5&lt;&gt;0,$A5&lt;&gt;""),LOOKUP($A5,Load_Switch_NFET[PARTNUMBER],Load_Switch_NFET[COSS_AT_VDSSPEC]),"")</f>
        <v>0.32400000000000001</v>
      </c>
      <c r="AJ5" s="6" t="e">
        <f t="shared" si="6"/>
        <v>#VALUE!</v>
      </c>
      <c r="AK5" s="6">
        <f t="shared" si="7"/>
        <v>1</v>
      </c>
      <c r="AL5" s="6">
        <f t="shared" si="8"/>
        <v>4.6675200000000007E-2</v>
      </c>
      <c r="AM5" s="49">
        <f t="shared" si="9"/>
        <v>4.7E-2</v>
      </c>
      <c r="AN5" s="46">
        <f>IF(AND($A5&lt;&gt;0,$A5&lt;&gt;""),LOOKUP($A5,Load_Switch_NFET[PARTNUMBER],Load_Switch_NFET[1KPRICE]),"")</f>
        <v>0.11700000000000001</v>
      </c>
      <c r="AO5" s="6" t="str">
        <f>IF(AND($A5&lt;&gt;0,$A5&lt;&gt;""),LOOKUP(A5,Load_Switch_NFET[PARTNUMBER],Load_Switch_NFET[TI_EQ_PACKAGE]),"")</f>
        <v>WLP1X1.5</v>
      </c>
      <c r="AP5" s="6" t="str">
        <f t="shared" si="19"/>
        <v>CSD13306W, WLP1X1.5, 0.047W, $0.117</v>
      </c>
    </row>
    <row r="6" spans="1:52" ht="30" x14ac:dyDescent="0.25">
      <c r="A6" s="6" t="str">
        <f>IF(CH="N",NLogic!B6,"")</f>
        <v>CSD13380F3</v>
      </c>
      <c r="B6" s="23" t="str">
        <f>IF(OR($A6=0,$A6=""),"0",IF(LOOKUP($A6,Load_Switch_NFET[PARTNUMBER],Load_Switch_NFET[RDSON18])="(NULL)","0","1"))</f>
        <v>1</v>
      </c>
      <c r="C6" s="8" t="str">
        <f>IF(OR($A6=0,$A6=""),"0",IF(LOOKUP($A6,Load_Switch_NFET[PARTNUMBER],Load_Switch_NFET[RDSON25])="(NULL)","0","1"))</f>
        <v>1</v>
      </c>
      <c r="D6" s="9" t="str">
        <f>IF(OR($A6=0,$A6=""),"0",IF(LOOKUP($A6,Load_Switch_NFET[PARTNUMBER],Load_Switch_NFET[RDSON3])="(NULL)","0","1"))</f>
        <v>0</v>
      </c>
      <c r="E6" s="11" t="str">
        <f>IF(OR($A6=0,$A6=""),"0",IF(LOOKUP($A6,Load_Switch_NFET[PARTNUMBER],Load_Switch_NFET[RDSON45])="(NULL)","0","1"))</f>
        <v>1</v>
      </c>
      <c r="F6" s="16" t="str">
        <f>IF(OR($A6=0,$A6=""),"0",IF(LOOKUP($A6,Load_Switch_NFET[PARTNUMBER],Load_Switch_NFET[RDSON6])="(NULL)","0","1"))</f>
        <v>0</v>
      </c>
      <c r="G6" s="3" t="str">
        <f>IF(OR($A6=0,$A6=""),"0",IF(LOOKUP($A6,Load_Switch_NFET[PARTNUMBER],Load_Switch_NFET[RDSON8])="(NULL)","0","1"))</f>
        <v>0</v>
      </c>
      <c r="H6" s="14" t="str">
        <f>IF(OR($A6=0,$A6=""),"0",IF(LOOKUP($A6,Load_Switch_NFET[PARTNUMBER],Load_Switch_NFET[RDSON10])="(NULL)","0","1"))</f>
        <v>0</v>
      </c>
      <c r="I6" s="24" t="b">
        <f t="shared" si="10"/>
        <v>1</v>
      </c>
      <c r="J6" s="7" t="b">
        <f t="shared" si="11"/>
        <v>1</v>
      </c>
      <c r="K6" s="10" t="b">
        <f t="shared" si="12"/>
        <v>0</v>
      </c>
      <c r="L6" s="12" t="b">
        <f t="shared" si="13"/>
        <v>1</v>
      </c>
      <c r="M6" s="17" t="b">
        <f t="shared" si="14"/>
        <v>0</v>
      </c>
      <c r="N6" s="13" t="b">
        <f t="shared" si="15"/>
        <v>0</v>
      </c>
      <c r="O6" s="15" t="b">
        <f t="shared" si="16"/>
        <v>0</v>
      </c>
      <c r="P6" s="18" t="b">
        <f t="shared" si="17"/>
        <v>1</v>
      </c>
      <c r="Q6" s="24" t="b">
        <f t="shared" si="20"/>
        <v>1</v>
      </c>
      <c r="R6" s="7" t="b">
        <f t="shared" si="21"/>
        <v>1</v>
      </c>
      <c r="S6" s="10" t="b">
        <f t="shared" si="1"/>
        <v>0</v>
      </c>
      <c r="T6" s="12" t="b">
        <f t="shared" si="2"/>
        <v>1</v>
      </c>
      <c r="U6" s="17" t="b">
        <f t="shared" si="3"/>
        <v>0</v>
      </c>
      <c r="V6" s="13" t="b">
        <f t="shared" si="4"/>
        <v>0</v>
      </c>
      <c r="W6" s="15" t="b">
        <f t="shared" si="5"/>
        <v>0</v>
      </c>
      <c r="X6" s="6">
        <f>IF(W6,LOOKUP(A6,Load_Switch_NFET[PARTNUMBER],Load_Switch_NFET[RDSON10])*1000,IF(V6,LOOKUP(A6,Load_Switch_NFET[PARTNUMBER],Load_Switch_NFET[RDSON8])*1000,IF(U6,LOOKUP(A6,Load_Switch_NFET[PARTNUMBER],Load_Switch_NFET[RDSON6])*1000,IF(T6,LOOKUP(A6,Load_Switch_NFET[PARTNUMBER],Load_Switch_NFET[RDSON45])*1000,IF(S6,LOOKUP(A6,Load_Switch_NFET[PARTNUMBER],Load_Switch_NFET[RDSON3])*1000,IF(R6,LOOKUP(A6,Load_Switch_NFET[PARTNUMBER],Load_Switch_NFET[RDSON25])*1000,IF(Q6,LOOKUP(A6,Load_Switch_NFET[PARTNUMBER],Load_Switch_NFET[RDSON18])*1000,"")))))))</f>
        <v>76</v>
      </c>
      <c r="Y6" s="19">
        <f>IF(AND(A6&lt;&gt;0,A6&lt;&gt;""),X6*(1+(Tj-25)*(LOOKUP(A6,Load_Switch_NFET[PARTNUMBER],Load_Switch_NFET[RDSDELTA])/((LOOKUP(A6,Load_Switch_NFET[PARTNUMBER],Load_Switch_NFET[TJMAX])-25)))),"")</f>
        <v>86.032000000000011</v>
      </c>
      <c r="Z6" s="6">
        <f>IF(AND(A6&lt;&gt;0,A6&lt;&gt;""),LOOKUP(A6,Load_Switch_NFET[PARTNUMBER],Load_Switch_NFET[VTHMAX]),"")</f>
        <v>1.3</v>
      </c>
      <c r="AA6" s="6">
        <f>IF(AND(A6&lt;&gt;0,A6&lt;&gt;""),LOOKUP(A6,Load_Switch_NFET[PARTNUMBER],Load_Switch_NFET[VTHMIN]),"")</f>
        <v>0.55000000000000004</v>
      </c>
      <c r="AB6" s="6">
        <f t="shared" si="18"/>
        <v>1.8</v>
      </c>
      <c r="AC6" s="6" t="str">
        <f>IF(AND(A6&lt;&gt;0,A6&lt;&gt;""),LOOKUP(A6,Load_Switch_NFET[PARTNUMBER],Load_Switch_NFET[RGIMAX]),"")</f>
        <v>(NULL)</v>
      </c>
      <c r="AD6" s="6">
        <f>IF(AND($A6&lt;&gt;0,$A6&lt;&gt;""),LOOKUP($A6,Load_Switch_NFET[PARTNUMBER],Load_Switch_NFET[QGTYP]),"")</f>
        <v>0.91</v>
      </c>
      <c r="AE6" s="6">
        <f>IF(AND($A6&lt;&gt;0,$A6&lt;&gt;""),LOOKUP($A6,Load_Switch_NFET[PARTNUMBER],Load_Switch_NFET[QGS]),"")</f>
        <v>0.19</v>
      </c>
      <c r="AF6" s="6">
        <f>IF(AND($A6&lt;&gt;0,$A6&lt;&gt;""),LOOKUP($A6,Load_Switch_NFET[PARTNUMBER],Load_Switch_NFET[QGD]),"")</f>
        <v>0.15</v>
      </c>
      <c r="AG6" s="6">
        <f>IF(AND($A6&lt;&gt;0,$A6&lt;&gt;""),LOOKUP($A6,Load_Switch_NFET[PARTNUMBER],Load_Switch_NFET[QGTH]),"")</f>
        <v>0.15</v>
      </c>
      <c r="AH6" s="6" t="str">
        <f>IF(AND($A6&lt;&gt;0,$A6&lt;&gt;""),LOOKUP($A6,Load_Switch_NFET[PARTNUMBER],Load_Switch_NFET[VMILLER]),"")</f>
        <v>(NULL)</v>
      </c>
      <c r="AI6" s="6" t="str">
        <f>IF(AND($A6&lt;&gt;0,$A6&lt;&gt;""),LOOKUP($A6,Load_Switch_NFET[PARTNUMBER],Load_Switch_NFET[COSS_AT_VDSSPEC]),"")</f>
        <v>(NULL)</v>
      </c>
      <c r="AJ6" s="6">
        <f t="shared" si="6"/>
        <v>0.18999999999999997</v>
      </c>
      <c r="AK6" s="6">
        <f t="shared" si="7"/>
        <v>0.92500000000000004</v>
      </c>
      <c r="AL6" s="6">
        <f t="shared" si="8"/>
        <v>0.34412800000000004</v>
      </c>
      <c r="AM6" s="49">
        <f t="shared" si="9"/>
        <v>0.34399999999999997</v>
      </c>
      <c r="AN6" s="46">
        <f>IF(AND($A6&lt;&gt;0,$A6&lt;&gt;""),LOOKUP($A6,Load_Switch_NFET[PARTNUMBER],Load_Switch_NFET[1KPRICE]),"")</f>
        <v>0.04</v>
      </c>
      <c r="AO6" s="6" t="str">
        <f>IF(AND($A6&lt;&gt;0,$A6&lt;&gt;""),LOOKUP(A6,Load_Switch_NFET[PARTNUMBER],Load_Switch_NFET[TI_EQ_PACKAGE]),"")</f>
        <v>LGA0.6X0.7</v>
      </c>
      <c r="AP6" s="6" t="str">
        <f t="shared" si="19"/>
        <v>CSD13380F3, LGA0.6X0.7, 0.344W, $0.04</v>
      </c>
    </row>
    <row r="7" spans="1:52" ht="30" x14ac:dyDescent="0.25">
      <c r="A7" s="6" t="str">
        <f>IF(CH="N",NLogic!B7,"")</f>
        <v>CSD13381F4</v>
      </c>
      <c r="B7" s="23" t="str">
        <f>IF(OR($A7=0,$A7=""),"0",IF(LOOKUP($A7,Load_Switch_NFET[PARTNUMBER],Load_Switch_NFET[RDSON18])="(NULL)","0","1"))</f>
        <v>1</v>
      </c>
      <c r="C7" s="8" t="str">
        <f>IF(OR($A7=0,$A7=""),"0",IF(LOOKUP($A7,Load_Switch_NFET[PARTNUMBER],Load_Switch_NFET[RDSON25])="(NULL)","0","1"))</f>
        <v>1</v>
      </c>
      <c r="D7" s="9" t="str">
        <f>IF(OR($A7=0,$A7=""),"0",IF(LOOKUP($A7,Load_Switch_NFET[PARTNUMBER],Load_Switch_NFET[RDSON3])="(NULL)","0","1"))</f>
        <v>0</v>
      </c>
      <c r="E7" s="11" t="str">
        <f>IF(OR($A7=0,$A7=""),"0",IF(LOOKUP($A7,Load_Switch_NFET[PARTNUMBER],Load_Switch_NFET[RDSON45])="(NULL)","0","1"))</f>
        <v>1</v>
      </c>
      <c r="F7" s="16" t="str">
        <f>IF(OR($A7=0,$A7=""),"0",IF(LOOKUP($A7,Load_Switch_NFET[PARTNUMBER],Load_Switch_NFET[RDSON6])="(NULL)","0","1"))</f>
        <v>0</v>
      </c>
      <c r="G7" s="3" t="str">
        <f>IF(OR($A7=0,$A7=""),"0",IF(LOOKUP($A7,Load_Switch_NFET[PARTNUMBER],Load_Switch_NFET[RDSON8])="(NULL)","0","1"))</f>
        <v>0</v>
      </c>
      <c r="H7" s="14" t="str">
        <f>IF(OR($A7=0,$A7=""),"0",IF(LOOKUP($A7,Load_Switch_NFET[PARTNUMBER],Load_Switch_NFET[RDSON10])="(NULL)","0","1"))</f>
        <v>0</v>
      </c>
      <c r="I7" s="24" t="b">
        <f t="shared" si="10"/>
        <v>1</v>
      </c>
      <c r="J7" s="7" t="b">
        <f t="shared" si="11"/>
        <v>1</v>
      </c>
      <c r="K7" s="10" t="b">
        <f t="shared" si="12"/>
        <v>0</v>
      </c>
      <c r="L7" s="12" t="b">
        <f t="shared" si="13"/>
        <v>1</v>
      </c>
      <c r="M7" s="17" t="b">
        <f t="shared" si="14"/>
        <v>0</v>
      </c>
      <c r="N7" s="13" t="b">
        <f t="shared" si="15"/>
        <v>0</v>
      </c>
      <c r="O7" s="15" t="b">
        <f t="shared" si="16"/>
        <v>0</v>
      </c>
      <c r="P7" s="18" t="b">
        <f t="shared" si="17"/>
        <v>1</v>
      </c>
      <c r="Q7" s="24" t="b">
        <f t="shared" si="20"/>
        <v>1</v>
      </c>
      <c r="R7" s="7" t="b">
        <f t="shared" si="21"/>
        <v>1</v>
      </c>
      <c r="S7" s="10" t="b">
        <f t="shared" si="1"/>
        <v>0</v>
      </c>
      <c r="T7" s="12" t="b">
        <f t="shared" si="2"/>
        <v>1</v>
      </c>
      <c r="U7" s="17" t="b">
        <f t="shared" si="3"/>
        <v>0</v>
      </c>
      <c r="V7" s="13" t="b">
        <f t="shared" si="4"/>
        <v>0</v>
      </c>
      <c r="W7" s="15" t="b">
        <f t="shared" si="5"/>
        <v>0</v>
      </c>
      <c r="X7" s="6">
        <f>IF(W7,LOOKUP(A7,Load_Switch_NFET[PARTNUMBER],Load_Switch_NFET[RDSON10])*1000,IF(V7,LOOKUP(A7,Load_Switch_NFET[PARTNUMBER],Load_Switch_NFET[RDSON8])*1000,IF(U7,LOOKUP(A7,Load_Switch_NFET[PARTNUMBER],Load_Switch_NFET[RDSON6])*1000,IF(T7,LOOKUP(A7,Load_Switch_NFET[PARTNUMBER],Load_Switch_NFET[RDSON45])*1000,IF(S7,LOOKUP(A7,Load_Switch_NFET[PARTNUMBER],Load_Switch_NFET[RDSON3])*1000,IF(R7,LOOKUP(A7,Load_Switch_NFET[PARTNUMBER],Load_Switch_NFET[RDSON25])*1000,IF(Q7,LOOKUP(A7,Load_Switch_NFET[PARTNUMBER],Load_Switch_NFET[RDSON18])*1000,"")))))))</f>
        <v>180</v>
      </c>
      <c r="Y7" s="19">
        <f>IF(AND(A7&lt;&gt;0,A7&lt;&gt;""),X7*(1+(Tj-25)*(LOOKUP(A7,Load_Switch_NFET[PARTNUMBER],Load_Switch_NFET[RDSDELTA])/((LOOKUP(A7,Load_Switch_NFET[PARTNUMBER],Load_Switch_NFET[TJMAX])-25)))),"")</f>
        <v>203.76000000000002</v>
      </c>
      <c r="Z7" s="6">
        <f>IF(AND(A7&lt;&gt;0,A7&lt;&gt;""),LOOKUP(A7,Load_Switch_NFET[PARTNUMBER],Load_Switch_NFET[VTHMAX]),"")</f>
        <v>1.1000000000000001</v>
      </c>
      <c r="AA7" s="6">
        <f>IF(AND(A7&lt;&gt;0,A7&lt;&gt;""),LOOKUP(A7,Load_Switch_NFET[PARTNUMBER],Load_Switch_NFET[VTHMIN]),"")</f>
        <v>0.65</v>
      </c>
      <c r="AB7" s="6">
        <f t="shared" si="18"/>
        <v>1.8</v>
      </c>
      <c r="AC7" s="6">
        <f>IF(AND(A7&lt;&gt;0,A7&lt;&gt;""),LOOKUP(A7,Load_Switch_NFET[PARTNUMBER],Load_Switch_NFET[RGIMAX]),"")</f>
        <v>23</v>
      </c>
      <c r="AD7" s="6">
        <f>IF(AND($A7&lt;&gt;0,$A7&lt;&gt;""),LOOKUP($A7,Load_Switch_NFET[PARTNUMBER],Load_Switch_NFET[QGTYP]),"")</f>
        <v>1.06</v>
      </c>
      <c r="AE7" s="6">
        <f>IF(AND($A7&lt;&gt;0,$A7&lt;&gt;""),LOOKUP($A7,Load_Switch_NFET[PARTNUMBER],Load_Switch_NFET[QGS]),"")</f>
        <v>0.23</v>
      </c>
      <c r="AF7" s="6">
        <f>IF(AND($A7&lt;&gt;0,$A7&lt;&gt;""),LOOKUP($A7,Load_Switch_NFET[PARTNUMBER],Load_Switch_NFET[QGD]),"")</f>
        <v>0.14000000000000001</v>
      </c>
      <c r="AG7" s="6" t="str">
        <f>IF(AND($A7&lt;&gt;0,$A7&lt;&gt;""),LOOKUP($A7,Load_Switch_NFET[PARTNUMBER],Load_Switch_NFET[QGTH]),"")</f>
        <v>(NULL)</v>
      </c>
      <c r="AH7" s="6" t="str">
        <f>IF(AND($A7&lt;&gt;0,$A7&lt;&gt;""),LOOKUP($A7,Load_Switch_NFET[PARTNUMBER],Load_Switch_NFET[VMILLER]),"")</f>
        <v>(NULL)</v>
      </c>
      <c r="AI7" s="6">
        <f>IF(AND($A7&lt;&gt;0,$A7&lt;&gt;""),LOOKUP($A7,Load_Switch_NFET[PARTNUMBER],Load_Switch_NFET[COSS_AT_VDSSPEC]),"")</f>
        <v>4.7E-2</v>
      </c>
      <c r="AJ7" s="6" t="e">
        <f t="shared" si="6"/>
        <v>#VALUE!</v>
      </c>
      <c r="AK7" s="6">
        <f t="shared" si="7"/>
        <v>0.875</v>
      </c>
      <c r="AL7" s="6">
        <f t="shared" si="8"/>
        <v>0.8150400000000001</v>
      </c>
      <c r="AM7" s="49">
        <f t="shared" si="9"/>
        <v>0.81499999999999995</v>
      </c>
      <c r="AN7" s="46">
        <f>IF(AND($A7&lt;&gt;0,$A7&lt;&gt;""),LOOKUP($A7,Load_Switch_NFET[PARTNUMBER],Load_Switch_NFET[1KPRICE]),"")</f>
        <v>3.9E-2</v>
      </c>
      <c r="AO7" s="6" t="str">
        <f>IF(AND($A7&lt;&gt;0,$A7&lt;&gt;""),LOOKUP(A7,Load_Switch_NFET[PARTNUMBER],Load_Switch_NFET[TI_EQ_PACKAGE]),"")</f>
        <v>LGA1X0.6</v>
      </c>
      <c r="AP7" s="6" t="str">
        <f t="shared" si="19"/>
        <v>CSD13381F4, LGA1X0.6, 0.815W, $0.039</v>
      </c>
    </row>
    <row r="8" spans="1:52" ht="30" x14ac:dyDescent="0.25">
      <c r="A8" s="6" t="str">
        <f>IF(CH="N",NLogic!B8,"")</f>
        <v>CSD13383F4</v>
      </c>
      <c r="B8" s="23" t="str">
        <f>IF(OR($A8=0,$A8=""),"0",IF(LOOKUP($A8,Load_Switch_NFET[PARTNUMBER],Load_Switch_NFET[RDSON18])="(NULL)","0","1"))</f>
        <v>0</v>
      </c>
      <c r="C8" s="8" t="str">
        <f>IF(OR($A8=0,$A8=""),"0",IF(LOOKUP($A8,Load_Switch_NFET[PARTNUMBER],Load_Switch_NFET[RDSON25])="(NULL)","0","1"))</f>
        <v>1</v>
      </c>
      <c r="D8" s="9" t="str">
        <f>IF(OR($A8=0,$A8=""),"0",IF(LOOKUP($A8,Load_Switch_NFET[PARTNUMBER],Load_Switch_NFET[RDSON3])="(NULL)","0","1"))</f>
        <v>0</v>
      </c>
      <c r="E8" s="11" t="str">
        <f>IF(OR($A8=0,$A8=""),"0",IF(LOOKUP($A8,Load_Switch_NFET[PARTNUMBER],Load_Switch_NFET[RDSON45])="(NULL)","0","1"))</f>
        <v>1</v>
      </c>
      <c r="F8" s="16" t="str">
        <f>IF(OR($A8=0,$A8=""),"0",IF(LOOKUP($A8,Load_Switch_NFET[PARTNUMBER],Load_Switch_NFET[RDSON6])="(NULL)","0","1"))</f>
        <v>0</v>
      </c>
      <c r="G8" s="3" t="str">
        <f>IF(OR($A8=0,$A8=""),"0",IF(LOOKUP($A8,Load_Switch_NFET[PARTNUMBER],Load_Switch_NFET[RDSON8])="(NULL)","0","1"))</f>
        <v>0</v>
      </c>
      <c r="H8" s="14" t="str">
        <f>IF(OR($A8=0,$A8=""),"0",IF(LOOKUP($A8,Load_Switch_NFET[PARTNUMBER],Load_Switch_NFET[RDSON10])="(NULL)","0","1"))</f>
        <v>0</v>
      </c>
      <c r="I8" s="24" t="b">
        <f t="shared" si="10"/>
        <v>0</v>
      </c>
      <c r="J8" s="7" t="b">
        <f t="shared" si="11"/>
        <v>1</v>
      </c>
      <c r="K8" s="10" t="b">
        <f t="shared" si="12"/>
        <v>0</v>
      </c>
      <c r="L8" s="12" t="b">
        <f t="shared" si="13"/>
        <v>1</v>
      </c>
      <c r="M8" s="17" t="b">
        <f t="shared" si="14"/>
        <v>0</v>
      </c>
      <c r="N8" s="13" t="b">
        <f t="shared" si="15"/>
        <v>0</v>
      </c>
      <c r="O8" s="15" t="b">
        <f t="shared" si="16"/>
        <v>0</v>
      </c>
      <c r="P8" s="18" t="b">
        <f t="shared" si="17"/>
        <v>1</v>
      </c>
      <c r="Q8" s="24" t="b">
        <f t="shared" si="20"/>
        <v>0</v>
      </c>
      <c r="R8" s="7" t="b">
        <f t="shared" si="21"/>
        <v>1</v>
      </c>
      <c r="S8" s="10" t="b">
        <f t="shared" si="1"/>
        <v>0</v>
      </c>
      <c r="T8" s="12" t="b">
        <f t="shared" si="2"/>
        <v>1</v>
      </c>
      <c r="U8" s="17" t="b">
        <f t="shared" si="3"/>
        <v>0</v>
      </c>
      <c r="V8" s="13" t="b">
        <f t="shared" si="4"/>
        <v>0</v>
      </c>
      <c r="W8" s="15" t="b">
        <f t="shared" si="5"/>
        <v>0</v>
      </c>
      <c r="X8" s="6">
        <f>IF(W8,LOOKUP(A8,Load_Switch_NFET[PARTNUMBER],Load_Switch_NFET[RDSON10])*1000,IF(V8,LOOKUP(A8,Load_Switch_NFET[PARTNUMBER],Load_Switch_NFET[RDSON8])*1000,IF(U8,LOOKUP(A8,Load_Switch_NFET[PARTNUMBER],Load_Switch_NFET[RDSON6])*1000,IF(T8,LOOKUP(A8,Load_Switch_NFET[PARTNUMBER],Load_Switch_NFET[RDSON45])*1000,IF(S8,LOOKUP(A8,Load_Switch_NFET[PARTNUMBER],Load_Switch_NFET[RDSON3])*1000,IF(R8,LOOKUP(A8,Load_Switch_NFET[PARTNUMBER],Load_Switch_NFET[RDSON25])*1000,IF(Q8,LOOKUP(A8,Load_Switch_NFET[PARTNUMBER],Load_Switch_NFET[RDSON18])*1000,"")))))))</f>
        <v>44</v>
      </c>
      <c r="Y8" s="19">
        <f>IF(AND(A8&lt;&gt;0,A8&lt;&gt;""),X8*(1+(Tj-25)*(LOOKUP(A8,Load_Switch_NFET[PARTNUMBER],Load_Switch_NFET[RDSDELTA])/((LOOKUP(A8,Load_Switch_NFET[PARTNUMBER],Load_Switch_NFET[TJMAX])-25)))),"")</f>
        <v>50.16</v>
      </c>
      <c r="Z8" s="6">
        <f>IF(AND(A8&lt;&gt;0,A8&lt;&gt;""),LOOKUP(A8,Load_Switch_NFET[PARTNUMBER],Load_Switch_NFET[VTHMAX]),"")</f>
        <v>1.25</v>
      </c>
      <c r="AA8" s="6">
        <f>IF(AND(A8&lt;&gt;0,A8&lt;&gt;""),LOOKUP(A8,Load_Switch_NFET[PARTNUMBER],Load_Switch_NFET[VTHMIN]),"")</f>
        <v>0.7</v>
      </c>
      <c r="AB8" s="6">
        <f t="shared" si="18"/>
        <v>2.5</v>
      </c>
      <c r="AC8" s="6" t="str">
        <f>IF(AND(A8&lt;&gt;0,A8&lt;&gt;""),LOOKUP(A8,Load_Switch_NFET[PARTNUMBER],Load_Switch_NFET[RGIMAX]),"")</f>
        <v>(NULL)</v>
      </c>
      <c r="AD8" s="6">
        <f>IF(AND($A8&lt;&gt;0,$A8&lt;&gt;""),LOOKUP($A8,Load_Switch_NFET[PARTNUMBER],Load_Switch_NFET[QGTYP]),"")</f>
        <v>2</v>
      </c>
      <c r="AE8" s="6">
        <f>IF(AND($A8&lt;&gt;0,$A8&lt;&gt;""),LOOKUP($A8,Load_Switch_NFET[PARTNUMBER],Load_Switch_NFET[QGS]),"")</f>
        <v>0.4</v>
      </c>
      <c r="AF8" s="6">
        <f>IF(AND($A8&lt;&gt;0,$A8&lt;&gt;""),LOOKUP($A8,Load_Switch_NFET[PARTNUMBER],Load_Switch_NFET[QGD]),"")</f>
        <v>0.6</v>
      </c>
      <c r="AG8" s="6" t="str">
        <f>IF(AND($A8&lt;&gt;0,$A8&lt;&gt;""),LOOKUP($A8,Load_Switch_NFET[PARTNUMBER],Load_Switch_NFET[QGTH]),"")</f>
        <v>(NULL)</v>
      </c>
      <c r="AH8" s="6" t="str">
        <f>IF(AND($A8&lt;&gt;0,$A8&lt;&gt;""),LOOKUP($A8,Load_Switch_NFET[PARTNUMBER],Load_Switch_NFET[VMILLER]),"")</f>
        <v>(NULL)</v>
      </c>
      <c r="AI8" s="6" t="str">
        <f>IF(AND($A8&lt;&gt;0,$A8&lt;&gt;""),LOOKUP($A8,Load_Switch_NFET[PARTNUMBER],Load_Switch_NFET[COSS_AT_VDSSPEC]),"")</f>
        <v>(NULL)</v>
      </c>
      <c r="AJ8" s="6" t="e">
        <f t="shared" si="6"/>
        <v>#VALUE!</v>
      </c>
      <c r="AK8" s="6">
        <f t="shared" si="7"/>
        <v>0.97499999999999998</v>
      </c>
      <c r="AL8" s="6">
        <f t="shared" si="8"/>
        <v>0.20063999999999999</v>
      </c>
      <c r="AM8" s="49">
        <f t="shared" si="9"/>
        <v>0.20100000000000001</v>
      </c>
      <c r="AN8" s="46">
        <f>IF(AND($A8&lt;&gt;0,$A8&lt;&gt;""),LOOKUP($A8,Load_Switch_NFET[PARTNUMBER],Load_Switch_NFET[1KPRICE]),"")</f>
        <v>5.8999999999999997E-2</v>
      </c>
      <c r="AO8" s="6" t="str">
        <f>IF(AND($A8&lt;&gt;0,$A8&lt;&gt;""),LOOKUP(A8,Load_Switch_NFET[PARTNUMBER],Load_Switch_NFET[TI_EQ_PACKAGE]),"")</f>
        <v>LGA1X0.6</v>
      </c>
      <c r="AP8" s="6" t="str">
        <f t="shared" si="19"/>
        <v>CSD13383F4, LGA1X0.6, 0.201W, $0.059</v>
      </c>
    </row>
    <row r="9" spans="1:52" ht="30" x14ac:dyDescent="0.25">
      <c r="A9" s="6" t="str">
        <f>IF(CH="N",NLogic!B9,"")</f>
        <v>CSD13385F5</v>
      </c>
      <c r="B9" s="23" t="str">
        <f>IF(OR($A9=0,$A9=""),"0",IF(LOOKUP($A9,Load_Switch_NFET[PARTNUMBER],Load_Switch_NFET[RDSON18])="(NULL)","0","1"))</f>
        <v>1</v>
      </c>
      <c r="C9" s="8" t="str">
        <f>IF(OR($A9=0,$A9=""),"0",IF(LOOKUP($A9,Load_Switch_NFET[PARTNUMBER],Load_Switch_NFET[RDSON25])="(NULL)","0","1"))</f>
        <v>1</v>
      </c>
      <c r="D9" s="9" t="str">
        <f>IF(OR($A9=0,$A9=""),"0",IF(LOOKUP($A9,Load_Switch_NFET[PARTNUMBER],Load_Switch_NFET[RDSON3])="(NULL)","0","1"))</f>
        <v>0</v>
      </c>
      <c r="E9" s="11" t="str">
        <f>IF(OR($A9=0,$A9=""),"0",IF(LOOKUP($A9,Load_Switch_NFET[PARTNUMBER],Load_Switch_NFET[RDSON45])="(NULL)","0","1"))</f>
        <v>1</v>
      </c>
      <c r="F9" s="16" t="str">
        <f>IF(OR($A9=0,$A9=""),"0",IF(LOOKUP($A9,Load_Switch_NFET[PARTNUMBER],Load_Switch_NFET[RDSON6])="(NULL)","0","1"))</f>
        <v>0</v>
      </c>
      <c r="G9" s="3" t="str">
        <f>IF(OR($A9=0,$A9=""),"0",IF(LOOKUP($A9,Load_Switch_NFET[PARTNUMBER],Load_Switch_NFET[RDSON8])="(NULL)","0","1"))</f>
        <v>0</v>
      </c>
      <c r="H9" s="14" t="str">
        <f>IF(OR($A9=0,$A9=""),"0",IF(LOOKUP($A9,Load_Switch_NFET[PARTNUMBER],Load_Switch_NFET[RDSON10])="(NULL)","0","1"))</f>
        <v>0</v>
      </c>
      <c r="I9" s="24" t="b">
        <f t="shared" si="10"/>
        <v>1</v>
      </c>
      <c r="J9" s="7" t="b">
        <f t="shared" si="11"/>
        <v>1</v>
      </c>
      <c r="K9" s="10" t="b">
        <f t="shared" si="12"/>
        <v>0</v>
      </c>
      <c r="L9" s="12" t="b">
        <f t="shared" si="13"/>
        <v>1</v>
      </c>
      <c r="M9" s="17" t="b">
        <f t="shared" si="14"/>
        <v>0</v>
      </c>
      <c r="N9" s="13" t="b">
        <f t="shared" si="15"/>
        <v>0</v>
      </c>
      <c r="O9" s="15" t="b">
        <f t="shared" si="16"/>
        <v>0</v>
      </c>
      <c r="P9" s="18" t="b">
        <f t="shared" si="17"/>
        <v>1</v>
      </c>
      <c r="Q9" s="24" t="b">
        <f t="shared" si="20"/>
        <v>1</v>
      </c>
      <c r="R9" s="7" t="b">
        <f t="shared" si="21"/>
        <v>1</v>
      </c>
      <c r="S9" s="10" t="b">
        <f t="shared" si="1"/>
        <v>0</v>
      </c>
      <c r="T9" s="12" t="b">
        <f t="shared" si="2"/>
        <v>1</v>
      </c>
      <c r="U9" s="17" t="b">
        <f t="shared" si="3"/>
        <v>0</v>
      </c>
      <c r="V9" s="13" t="b">
        <f t="shared" si="4"/>
        <v>0</v>
      </c>
      <c r="W9" s="15" t="b">
        <f t="shared" si="5"/>
        <v>0</v>
      </c>
      <c r="X9" s="6">
        <f>IF(W9,LOOKUP(A9,Load_Switch_NFET[PARTNUMBER],Load_Switch_NFET[RDSON10])*1000,IF(V9,LOOKUP(A9,Load_Switch_NFET[PARTNUMBER],Load_Switch_NFET[RDSON8])*1000,IF(U9,LOOKUP(A9,Load_Switch_NFET[PARTNUMBER],Load_Switch_NFET[RDSON6])*1000,IF(T9,LOOKUP(A9,Load_Switch_NFET[PARTNUMBER],Load_Switch_NFET[RDSON45])*1000,IF(S9,LOOKUP(A9,Load_Switch_NFET[PARTNUMBER],Load_Switch_NFET[RDSON3])*1000,IF(R9,LOOKUP(A9,Load_Switch_NFET[PARTNUMBER],Load_Switch_NFET[RDSON25])*1000,IF(Q9,LOOKUP(A9,Load_Switch_NFET[PARTNUMBER],Load_Switch_NFET[RDSON18])*1000,"")))))))</f>
        <v>19</v>
      </c>
      <c r="Y9" s="19">
        <f>IF(AND(A9&lt;&gt;0,A9&lt;&gt;""),X9*(1+(Tj-25)*(LOOKUP(A9,Load_Switch_NFET[PARTNUMBER],Load_Switch_NFET[RDSDELTA])/((LOOKUP(A9,Load_Switch_NFET[PARTNUMBER],Load_Switch_NFET[TJMAX])-25)))),"")</f>
        <v>22.343999999999998</v>
      </c>
      <c r="Z9" s="6">
        <f>IF(AND(A9&lt;&gt;0,A9&lt;&gt;""),LOOKUP(A9,Load_Switch_NFET[PARTNUMBER],Load_Switch_NFET[VTHMAX]),"")</f>
        <v>1.2</v>
      </c>
      <c r="AA9" s="6">
        <f>IF(AND(A9&lt;&gt;0,A9&lt;&gt;""),LOOKUP(A9,Load_Switch_NFET[PARTNUMBER],Load_Switch_NFET[VTHMIN]),"")</f>
        <v>0.5</v>
      </c>
      <c r="AB9" s="6">
        <f t="shared" si="18"/>
        <v>1.8</v>
      </c>
      <c r="AC9" s="6" t="str">
        <f>IF(AND(A9&lt;&gt;0,A9&lt;&gt;""),LOOKUP(A9,Load_Switch_NFET[PARTNUMBER],Load_Switch_NFET[RGIMAX]),"")</f>
        <v>(NULL)</v>
      </c>
      <c r="AD9" s="6">
        <f>IF(AND($A9&lt;&gt;0,$A9&lt;&gt;""),LOOKUP($A9,Load_Switch_NFET[PARTNUMBER],Load_Switch_NFET[QGTYP]),"")</f>
        <v>3.9</v>
      </c>
      <c r="AE9" s="6">
        <f>IF(AND($A9&lt;&gt;0,$A9&lt;&gt;""),LOOKUP($A9,Load_Switch_NFET[PARTNUMBER],Load_Switch_NFET[QGS]),"")</f>
        <v>0.74</v>
      </c>
      <c r="AF9" s="6">
        <f>IF(AND($A9&lt;&gt;0,$A9&lt;&gt;""),LOOKUP($A9,Load_Switch_NFET[PARTNUMBER],Load_Switch_NFET[QGD]),"")</f>
        <v>0.39</v>
      </c>
      <c r="AG9" s="6">
        <f>IF(AND($A9&lt;&gt;0,$A9&lt;&gt;""),LOOKUP($A9,Load_Switch_NFET[PARTNUMBER],Load_Switch_NFET[QGTH]),"")</f>
        <v>0.46</v>
      </c>
      <c r="AH9" s="6" t="str">
        <f>IF(AND($A9&lt;&gt;0,$A9&lt;&gt;""),LOOKUP($A9,Load_Switch_NFET[PARTNUMBER],Load_Switch_NFET[VMILLER]),"")</f>
        <v>(NULL)</v>
      </c>
      <c r="AI9" s="6" t="str">
        <f>IF(AND($A9&lt;&gt;0,$A9&lt;&gt;""),LOOKUP($A9,Load_Switch_NFET[PARTNUMBER],Load_Switch_NFET[COSS_AT_VDSSPEC]),"")</f>
        <v>(NULL)</v>
      </c>
      <c r="AJ9" s="6">
        <f t="shared" si="6"/>
        <v>0.66999999999999993</v>
      </c>
      <c r="AK9" s="6">
        <f t="shared" si="7"/>
        <v>0.85</v>
      </c>
      <c r="AL9" s="6">
        <f t="shared" si="8"/>
        <v>8.9375999999999997E-2</v>
      </c>
      <c r="AM9" s="49">
        <f t="shared" si="9"/>
        <v>8.8999999999999996E-2</v>
      </c>
      <c r="AN9" s="46">
        <f>IF(AND($A9&lt;&gt;0,$A9&lt;&gt;""),LOOKUP($A9,Load_Switch_NFET[PARTNUMBER],Load_Switch_NFET[1KPRICE]),"")</f>
        <v>0.08</v>
      </c>
      <c r="AO9" s="6" t="str">
        <f>IF(AND($A9&lt;&gt;0,$A9&lt;&gt;""),LOOKUP(A9,Load_Switch_NFET[PARTNUMBER],Load_Switch_NFET[TI_EQ_PACKAGE]),"")</f>
        <v>LGA1.5X0.8</v>
      </c>
      <c r="AP9" s="6" t="str">
        <f t="shared" si="19"/>
        <v>CSD13385F5, LGA1.5X0.8, 0.089W, $0.08</v>
      </c>
    </row>
    <row r="10" spans="1:52" ht="30" x14ac:dyDescent="0.25">
      <c r="A10" s="6" t="str">
        <f>IF(CH="N",NLogic!B10,"")</f>
        <v>CSD15571Q2</v>
      </c>
      <c r="B10" s="23" t="str">
        <f>IF(OR($A10=0,$A10=""),"0",IF(LOOKUP($A10,Load_Switch_NFET[PARTNUMBER],Load_Switch_NFET[RDSON18])="(NULL)","0","1"))</f>
        <v>0</v>
      </c>
      <c r="C10" s="8" t="str">
        <f>IF(OR($A10=0,$A10=""),"0",IF(LOOKUP($A10,Load_Switch_NFET[PARTNUMBER],Load_Switch_NFET[RDSON25])="(NULL)","0","1"))</f>
        <v>0</v>
      </c>
      <c r="D10" s="9" t="str">
        <f>IF(OR($A10=0,$A10=""),"0",IF(LOOKUP($A10,Load_Switch_NFET[PARTNUMBER],Load_Switch_NFET[RDSON3])="(NULL)","0","1"))</f>
        <v>0</v>
      </c>
      <c r="E10" s="11" t="str">
        <f>IF(OR($A10=0,$A10=""),"0",IF(LOOKUP($A10,Load_Switch_NFET[PARTNUMBER],Load_Switch_NFET[RDSON45])="(NULL)","0","1"))</f>
        <v>1</v>
      </c>
      <c r="F10" s="16" t="str">
        <f>IF(OR($A10=0,$A10=""),"0",IF(LOOKUP($A10,Load_Switch_NFET[PARTNUMBER],Load_Switch_NFET[RDSON6])="(NULL)","0","1"))</f>
        <v>0</v>
      </c>
      <c r="G10" s="3" t="str">
        <f>IF(OR($A10=0,$A10=""),"0",IF(LOOKUP($A10,Load_Switch_NFET[PARTNUMBER],Load_Switch_NFET[RDSON8])="(NULL)","0","1"))</f>
        <v>0</v>
      </c>
      <c r="H10" s="14" t="str">
        <f>IF(OR($A10=0,$A10=""),"0",IF(LOOKUP($A10,Load_Switch_NFET[PARTNUMBER],Load_Switch_NFET[RDSON10])="(NULL)","0","1"))</f>
        <v>1</v>
      </c>
      <c r="I10" s="24" t="b">
        <f t="shared" si="10"/>
        <v>0</v>
      </c>
      <c r="J10" s="7" t="b">
        <f t="shared" si="11"/>
        <v>0</v>
      </c>
      <c r="K10" s="10" t="b">
        <f t="shared" si="12"/>
        <v>0</v>
      </c>
      <c r="L10" s="12" t="b">
        <f t="shared" si="13"/>
        <v>1</v>
      </c>
      <c r="M10" s="17" t="b">
        <f t="shared" si="14"/>
        <v>0</v>
      </c>
      <c r="N10" s="13" t="b">
        <f t="shared" si="15"/>
        <v>0</v>
      </c>
      <c r="O10" s="15" t="b">
        <f t="shared" si="16"/>
        <v>0</v>
      </c>
      <c r="P10" s="18" t="b">
        <f t="shared" si="17"/>
        <v>1</v>
      </c>
      <c r="Q10" s="24" t="b">
        <f t="shared" si="20"/>
        <v>0</v>
      </c>
      <c r="R10" s="7" t="b">
        <f t="shared" si="21"/>
        <v>0</v>
      </c>
      <c r="S10" s="10" t="b">
        <f t="shared" si="1"/>
        <v>0</v>
      </c>
      <c r="T10" s="12" t="b">
        <f t="shared" si="2"/>
        <v>1</v>
      </c>
      <c r="U10" s="17" t="b">
        <f t="shared" si="3"/>
        <v>0</v>
      </c>
      <c r="V10" s="13" t="b">
        <f t="shared" si="4"/>
        <v>0</v>
      </c>
      <c r="W10" s="15" t="b">
        <f t="shared" si="5"/>
        <v>0</v>
      </c>
      <c r="X10" s="6">
        <f>IF(W10,LOOKUP(A10,Load_Switch_NFET[PARTNUMBER],Load_Switch_NFET[RDSON10])*1000,IF(V10,LOOKUP(A10,Load_Switch_NFET[PARTNUMBER],Load_Switch_NFET[RDSON8])*1000,IF(U10,LOOKUP(A10,Load_Switch_NFET[PARTNUMBER],Load_Switch_NFET[RDSON6])*1000,IF(T10,LOOKUP(A10,Load_Switch_NFET[PARTNUMBER],Load_Switch_NFET[RDSON45])*1000,IF(S10,LOOKUP(A10,Load_Switch_NFET[PARTNUMBER],Load_Switch_NFET[RDSON3])*1000,IF(R10,LOOKUP(A10,Load_Switch_NFET[PARTNUMBER],Load_Switch_NFET[RDSON25])*1000,IF(Q10,LOOKUP(A10,Load_Switch_NFET[PARTNUMBER],Load_Switch_NFET[RDSON18])*1000,"")))))))</f>
        <v>19.2</v>
      </c>
      <c r="Y10" s="19">
        <f>IF(AND(A10&lt;&gt;0,A10&lt;&gt;""),X10*(1+(Tj-25)*(LOOKUP(A10,Load_Switch_NFET[PARTNUMBER],Load_Switch_NFET[RDSDELTA])/((LOOKUP(A10,Load_Switch_NFET[PARTNUMBER],Load_Switch_NFET[TJMAX])-25)))),"")</f>
        <v>24.038399999999999</v>
      </c>
      <c r="Z10" s="6">
        <f>IF(AND(A10&lt;&gt;0,A10&lt;&gt;""),LOOKUP(A10,Load_Switch_NFET[PARTNUMBER],Load_Switch_NFET[VTHMAX]),"")</f>
        <v>1.9</v>
      </c>
      <c r="AA10" s="6">
        <f>IF(AND(A10&lt;&gt;0,A10&lt;&gt;""),LOOKUP(A10,Load_Switch_NFET[PARTNUMBER],Load_Switch_NFET[VTHMIN]),"")</f>
        <v>1.1000000000000001</v>
      </c>
      <c r="AB10" s="6">
        <f t="shared" si="18"/>
        <v>4.5</v>
      </c>
      <c r="AC10" s="6">
        <f>IF(AND(A10&lt;&gt;0,A10&lt;&gt;""),LOOKUP(A10,Load_Switch_NFET[PARTNUMBER],Load_Switch_NFET[RGIMAX]),"")</f>
        <v>7.6</v>
      </c>
      <c r="AD10" s="6">
        <f>IF(AND($A10&lt;&gt;0,$A10&lt;&gt;""),LOOKUP($A10,Load_Switch_NFET[PARTNUMBER],Load_Switch_NFET[QGTYP]),"")</f>
        <v>2.5</v>
      </c>
      <c r="AE10" s="6">
        <f>IF(AND($A10&lt;&gt;0,$A10&lt;&gt;""),LOOKUP($A10,Load_Switch_NFET[PARTNUMBER],Load_Switch_NFET[QGS]),"")</f>
        <v>0.93</v>
      </c>
      <c r="AF10" s="6">
        <f>IF(AND($A10&lt;&gt;0,$A10&lt;&gt;""),LOOKUP($A10,Load_Switch_NFET[PARTNUMBER],Load_Switch_NFET[QGD]),"")</f>
        <v>0.66</v>
      </c>
      <c r="AG10" s="6">
        <f>IF(AND($A10&lt;&gt;0,$A10&lt;&gt;""),LOOKUP($A10,Load_Switch_NFET[PARTNUMBER],Load_Switch_NFET[QGTH]),"")</f>
        <v>0.52</v>
      </c>
      <c r="AH10" s="6">
        <f>IF(AND($A10&lt;&gt;0,$A10&lt;&gt;""),LOOKUP($A10,Load_Switch_NFET[PARTNUMBER],Load_Switch_NFET[VMILLER]),"")</f>
        <v>2.5</v>
      </c>
      <c r="AI10" s="6">
        <f>IF(AND($A10&lt;&gt;0,$A10&lt;&gt;""),LOOKUP($A10,Load_Switch_NFET[PARTNUMBER],Load_Switch_NFET[COSS_AT_VDSSPEC]),"")</f>
        <v>0.184</v>
      </c>
      <c r="AJ10" s="6">
        <f t="shared" si="6"/>
        <v>1.07</v>
      </c>
      <c r="AK10" s="6">
        <f t="shared" si="7"/>
        <v>1.5</v>
      </c>
      <c r="AL10" s="6">
        <f t="shared" si="8"/>
        <v>9.6153600000000006E-2</v>
      </c>
      <c r="AM10" s="49">
        <f t="shared" si="9"/>
        <v>9.6000000000000002E-2</v>
      </c>
      <c r="AN10" s="46">
        <f>IF(AND($A10&lt;&gt;0,$A10&lt;&gt;""),LOOKUP($A10,Load_Switch_NFET[PARTNUMBER],Load_Switch_NFET[1KPRICE]),"")</f>
        <v>0.104</v>
      </c>
      <c r="AO10" s="6" t="str">
        <f>IF(AND($A10&lt;&gt;0,$A10&lt;&gt;""),LOOKUP(A10,Load_Switch_NFET[PARTNUMBER],Load_Switch_NFET[TI_EQ_PACKAGE]),"")</f>
        <v>SON2X2</v>
      </c>
      <c r="AP10" s="6" t="str">
        <f t="shared" si="19"/>
        <v>CSD15571Q2, SON2X2, 0.096W, $0.104</v>
      </c>
    </row>
    <row r="11" spans="1:52" ht="30" x14ac:dyDescent="0.25">
      <c r="A11" s="6" t="str">
        <f>IF(CH="N",NLogic!B11,"")</f>
        <v>CSD16301Q2</v>
      </c>
      <c r="B11" s="23" t="str">
        <f>IF(OR($A11=0,$A11=""),"0",IF(LOOKUP($A11,Load_Switch_NFET[PARTNUMBER],Load_Switch_NFET[RDSON18])="(NULL)","0","1"))</f>
        <v>0</v>
      </c>
      <c r="C11" s="8" t="str">
        <f>IF(OR($A11=0,$A11=""),"0",IF(LOOKUP($A11,Load_Switch_NFET[PARTNUMBER],Load_Switch_NFET[RDSON25])="(NULL)","0","1"))</f>
        <v>0</v>
      </c>
      <c r="D11" s="9" t="str">
        <f>IF(OR($A11=0,$A11=""),"0",IF(LOOKUP($A11,Load_Switch_NFET[PARTNUMBER],Load_Switch_NFET[RDSON3])="(NULL)","0","1"))</f>
        <v>1</v>
      </c>
      <c r="E11" s="11" t="str">
        <f>IF(OR($A11=0,$A11=""),"0",IF(LOOKUP($A11,Load_Switch_NFET[PARTNUMBER],Load_Switch_NFET[RDSON45])="(NULL)","0","1"))</f>
        <v>1</v>
      </c>
      <c r="F11" s="16" t="str">
        <f>IF(OR($A11=0,$A11=""),"0",IF(LOOKUP($A11,Load_Switch_NFET[PARTNUMBER],Load_Switch_NFET[RDSON6])="(NULL)","0","1"))</f>
        <v>0</v>
      </c>
      <c r="G11" s="3" t="str">
        <f>IF(OR($A11=0,$A11=""),"0",IF(LOOKUP($A11,Load_Switch_NFET[PARTNUMBER],Load_Switch_NFET[RDSON8])="(NULL)","0","1"))</f>
        <v>1</v>
      </c>
      <c r="H11" s="14" t="str">
        <f>IF(OR($A11=0,$A11=""),"0",IF(LOOKUP($A11,Load_Switch_NFET[PARTNUMBER],Load_Switch_NFET[RDSON10])="(NULL)","0","1"))</f>
        <v>0</v>
      </c>
      <c r="I11" s="24" t="b">
        <f t="shared" si="10"/>
        <v>0</v>
      </c>
      <c r="J11" s="7" t="b">
        <f t="shared" si="11"/>
        <v>0</v>
      </c>
      <c r="K11" s="10" t="b">
        <f t="shared" si="12"/>
        <v>1</v>
      </c>
      <c r="L11" s="12" t="b">
        <f t="shared" si="13"/>
        <v>1</v>
      </c>
      <c r="M11" s="17" t="b">
        <f t="shared" si="14"/>
        <v>0</v>
      </c>
      <c r="N11" s="13" t="b">
        <f t="shared" si="15"/>
        <v>0</v>
      </c>
      <c r="O11" s="15" t="b">
        <f t="shared" si="16"/>
        <v>0</v>
      </c>
      <c r="P11" s="18" t="b">
        <f t="shared" si="17"/>
        <v>1</v>
      </c>
      <c r="Q11" s="24" t="b">
        <f t="shared" si="20"/>
        <v>0</v>
      </c>
      <c r="R11" s="7" t="b">
        <f t="shared" si="21"/>
        <v>0</v>
      </c>
      <c r="S11" s="10" t="b">
        <f t="shared" si="1"/>
        <v>1</v>
      </c>
      <c r="T11" s="12" t="b">
        <f t="shared" si="2"/>
        <v>1</v>
      </c>
      <c r="U11" s="17" t="b">
        <f t="shared" si="3"/>
        <v>0</v>
      </c>
      <c r="V11" s="13" t="b">
        <f t="shared" si="4"/>
        <v>0</v>
      </c>
      <c r="W11" s="15" t="b">
        <f t="shared" si="5"/>
        <v>0</v>
      </c>
      <c r="X11" s="6">
        <f>IF(W11,LOOKUP(A11,Load_Switch_NFET[PARTNUMBER],Load_Switch_NFET[RDSON10])*1000,IF(V11,LOOKUP(A11,Load_Switch_NFET[PARTNUMBER],Load_Switch_NFET[RDSON8])*1000,IF(U11,LOOKUP(A11,Load_Switch_NFET[PARTNUMBER],Load_Switch_NFET[RDSON6])*1000,IF(T11,LOOKUP(A11,Load_Switch_NFET[PARTNUMBER],Load_Switch_NFET[RDSON45])*1000,IF(S11,LOOKUP(A11,Load_Switch_NFET[PARTNUMBER],Load_Switch_NFET[RDSON3])*1000,IF(R11,LOOKUP(A11,Load_Switch_NFET[PARTNUMBER],Load_Switch_NFET[RDSON25])*1000,IF(Q11,LOOKUP(A11,Load_Switch_NFET[PARTNUMBER],Load_Switch_NFET[RDSON18])*1000,"")))))))</f>
        <v>29</v>
      </c>
      <c r="Y11" s="19">
        <f>IF(AND(A11&lt;&gt;0,A11&lt;&gt;""),X11*(1+(Tj-25)*(LOOKUP(A11,Load_Switch_NFET[PARTNUMBER],Load_Switch_NFET[RDSDELTA])/((LOOKUP(A11,Load_Switch_NFET[PARTNUMBER],Load_Switch_NFET[TJMAX])-25)))),"")</f>
        <v>35.612000000000002</v>
      </c>
      <c r="Z11" s="6">
        <f>IF(AND(A11&lt;&gt;0,A11&lt;&gt;""),LOOKUP(A11,Load_Switch_NFET[PARTNUMBER],Load_Switch_NFET[VTHMAX]),"")</f>
        <v>1.55</v>
      </c>
      <c r="AA11" s="6">
        <f>IF(AND(A11&lt;&gt;0,A11&lt;&gt;""),LOOKUP(A11,Load_Switch_NFET[PARTNUMBER],Load_Switch_NFET[VTHMIN]),"")</f>
        <v>0.9</v>
      </c>
      <c r="AB11" s="6">
        <f t="shared" si="18"/>
        <v>3</v>
      </c>
      <c r="AC11" s="6">
        <f>IF(AND(A11&lt;&gt;0,A11&lt;&gt;""),LOOKUP(A11,Load_Switch_NFET[PARTNUMBER],Load_Switch_NFET[RGIMAX]),"")</f>
        <v>2.6</v>
      </c>
      <c r="AD11" s="6">
        <f>IF(AND($A11&lt;&gt;0,$A11&lt;&gt;""),LOOKUP($A11,Load_Switch_NFET[PARTNUMBER],Load_Switch_NFET[QGTYP]),"")</f>
        <v>2</v>
      </c>
      <c r="AE11" s="6">
        <f>IF(AND($A11&lt;&gt;0,$A11&lt;&gt;""),LOOKUP($A11,Load_Switch_NFET[PARTNUMBER],Load_Switch_NFET[QGS]),"")</f>
        <v>0.6</v>
      </c>
      <c r="AF11" s="6">
        <f>IF(AND($A11&lt;&gt;0,$A11&lt;&gt;""),LOOKUP($A11,Load_Switch_NFET[PARTNUMBER],Load_Switch_NFET[QGD]),"")</f>
        <v>0.4</v>
      </c>
      <c r="AG11" s="6">
        <f>IF(AND($A11&lt;&gt;0,$A11&lt;&gt;""),LOOKUP($A11,Load_Switch_NFET[PARTNUMBER],Load_Switch_NFET[QGTH]),"")</f>
        <v>0.3</v>
      </c>
      <c r="AH11" s="6">
        <f>IF(AND($A11&lt;&gt;0,$A11&lt;&gt;""),LOOKUP($A11,Load_Switch_NFET[PARTNUMBER],Load_Switch_NFET[VMILLER]),"")</f>
        <v>1.94</v>
      </c>
      <c r="AI11" s="6">
        <f>IF(AND($A11&lt;&gt;0,$A11&lt;&gt;""),LOOKUP($A11,Load_Switch_NFET[PARTNUMBER],Load_Switch_NFET[COSS_AT_VDSSPEC]),"")</f>
        <v>0.16500000000000001</v>
      </c>
      <c r="AJ11" s="6">
        <f t="shared" si="6"/>
        <v>0.7</v>
      </c>
      <c r="AK11" s="6">
        <f t="shared" si="7"/>
        <v>1.2250000000000001</v>
      </c>
      <c r="AL11" s="6">
        <f t="shared" si="8"/>
        <v>0.14244800000000002</v>
      </c>
      <c r="AM11" s="49">
        <f t="shared" si="9"/>
        <v>0.14199999999999999</v>
      </c>
      <c r="AN11" s="46">
        <f>IF(AND($A11&lt;&gt;0,$A11&lt;&gt;""),LOOKUP($A11,Load_Switch_NFET[PARTNUMBER],Load_Switch_NFET[1KPRICE]),"")</f>
        <v>0.126</v>
      </c>
      <c r="AO11" s="6" t="str">
        <f>IF(AND($A11&lt;&gt;0,$A11&lt;&gt;""),LOOKUP(A11,Load_Switch_NFET[PARTNUMBER],Load_Switch_NFET[TI_EQ_PACKAGE]),"")</f>
        <v>SON2X2</v>
      </c>
      <c r="AP11" s="6" t="str">
        <f t="shared" si="19"/>
        <v>CSD16301Q2, SON2X2, 0.142W, $0.126</v>
      </c>
    </row>
    <row r="12" spans="1:52" ht="30" x14ac:dyDescent="0.25">
      <c r="A12" s="6" t="str">
        <f>IF(CH="N",NLogic!B12,"")</f>
        <v>CSD16321Q5</v>
      </c>
      <c r="B12" s="23" t="str">
        <f>IF(OR($A12=0,$A12=""),"0",IF(LOOKUP($A12,Load_Switch_NFET[PARTNUMBER],Load_Switch_NFET[RDSON18])="(NULL)","0","1"))</f>
        <v>0</v>
      </c>
      <c r="C12" s="8" t="str">
        <f>IF(OR($A12=0,$A12=""),"0",IF(LOOKUP($A12,Load_Switch_NFET[PARTNUMBER],Load_Switch_NFET[RDSON25])="(NULL)","0","1"))</f>
        <v>0</v>
      </c>
      <c r="D12" s="9" t="str">
        <f>IF(OR($A12=0,$A12=""),"0",IF(LOOKUP($A12,Load_Switch_NFET[PARTNUMBER],Load_Switch_NFET[RDSON3])="(NULL)","0","1"))</f>
        <v>1</v>
      </c>
      <c r="E12" s="11" t="str">
        <f>IF(OR($A12=0,$A12=""),"0",IF(LOOKUP($A12,Load_Switch_NFET[PARTNUMBER],Load_Switch_NFET[RDSON45])="(NULL)","0","1"))</f>
        <v>1</v>
      </c>
      <c r="F12" s="16" t="str">
        <f>IF(OR($A12=0,$A12=""),"0",IF(LOOKUP($A12,Load_Switch_NFET[PARTNUMBER],Load_Switch_NFET[RDSON6])="(NULL)","0","1"))</f>
        <v>0</v>
      </c>
      <c r="G12" s="3" t="str">
        <f>IF(OR($A12=0,$A12=""),"0",IF(LOOKUP($A12,Load_Switch_NFET[PARTNUMBER],Load_Switch_NFET[RDSON8])="(NULL)","0","1"))</f>
        <v>1</v>
      </c>
      <c r="H12" s="14" t="str">
        <f>IF(OR($A12=0,$A12=""),"0",IF(LOOKUP($A12,Load_Switch_NFET[PARTNUMBER],Load_Switch_NFET[RDSON10])="(NULL)","0","1"))</f>
        <v>0</v>
      </c>
      <c r="I12" s="24" t="b">
        <f t="shared" si="10"/>
        <v>0</v>
      </c>
      <c r="J12" s="7" t="b">
        <f t="shared" si="11"/>
        <v>0</v>
      </c>
      <c r="K12" s="10" t="b">
        <f t="shared" si="12"/>
        <v>1</v>
      </c>
      <c r="L12" s="12" t="b">
        <f t="shared" si="13"/>
        <v>1</v>
      </c>
      <c r="M12" s="17" t="b">
        <f t="shared" si="14"/>
        <v>0</v>
      </c>
      <c r="N12" s="13" t="b">
        <f t="shared" si="15"/>
        <v>0</v>
      </c>
      <c r="O12" s="15" t="b">
        <f t="shared" si="16"/>
        <v>0</v>
      </c>
      <c r="P12" s="18" t="b">
        <f t="shared" si="17"/>
        <v>1</v>
      </c>
      <c r="Q12" s="24" t="b">
        <f t="shared" si="20"/>
        <v>0</v>
      </c>
      <c r="R12" s="7" t="b">
        <f t="shared" si="21"/>
        <v>0</v>
      </c>
      <c r="S12" s="10" t="b">
        <f t="shared" si="1"/>
        <v>1</v>
      </c>
      <c r="T12" s="12" t="b">
        <f t="shared" si="2"/>
        <v>1</v>
      </c>
      <c r="U12" s="17" t="b">
        <f t="shared" si="3"/>
        <v>0</v>
      </c>
      <c r="V12" s="13" t="b">
        <f t="shared" si="4"/>
        <v>0</v>
      </c>
      <c r="W12" s="15" t="b">
        <f t="shared" si="5"/>
        <v>0</v>
      </c>
      <c r="X12" s="6">
        <f>IF(W12,LOOKUP(A12,Load_Switch_NFET[PARTNUMBER],Load_Switch_NFET[RDSON10])*1000,IF(V12,LOOKUP(A12,Load_Switch_NFET[PARTNUMBER],Load_Switch_NFET[RDSON8])*1000,IF(U12,LOOKUP(A12,Load_Switch_NFET[PARTNUMBER],Load_Switch_NFET[RDSON6])*1000,IF(T12,LOOKUP(A12,Load_Switch_NFET[PARTNUMBER],Load_Switch_NFET[RDSON45])*1000,IF(S12,LOOKUP(A12,Load_Switch_NFET[PARTNUMBER],Load_Switch_NFET[RDSON3])*1000,IF(R12,LOOKUP(A12,Load_Switch_NFET[PARTNUMBER],Load_Switch_NFET[RDSON25])*1000,IF(Q12,LOOKUP(A12,Load_Switch_NFET[PARTNUMBER],Load_Switch_NFET[RDSON18])*1000,"")))))))</f>
        <v>2.6</v>
      </c>
      <c r="Y12" s="19">
        <f>IF(AND(A12&lt;&gt;0,A12&lt;&gt;""),X12*(1+(Tj-25)*(LOOKUP(A12,Load_Switch_NFET[PARTNUMBER],Load_Switch_NFET[RDSDELTA])/((LOOKUP(A12,Load_Switch_NFET[PARTNUMBER],Load_Switch_NFET[TJMAX])-25)))),"")</f>
        <v>3.1512000000000002</v>
      </c>
      <c r="Z12" s="6">
        <f>IF(AND(A12&lt;&gt;0,A12&lt;&gt;""),LOOKUP(A12,Load_Switch_NFET[PARTNUMBER],Load_Switch_NFET[VTHMAX]),"")</f>
        <v>1.4</v>
      </c>
      <c r="AA12" s="6">
        <f>IF(AND(A12&lt;&gt;0,A12&lt;&gt;""),LOOKUP(A12,Load_Switch_NFET[PARTNUMBER],Load_Switch_NFET[VTHMIN]),"")</f>
        <v>0.9</v>
      </c>
      <c r="AB12" s="6">
        <f t="shared" si="18"/>
        <v>3</v>
      </c>
      <c r="AC12" s="6">
        <f>IF(AND(A12&lt;&gt;0,A12&lt;&gt;""),LOOKUP(A12,Load_Switch_NFET[PARTNUMBER],Load_Switch_NFET[RGIMAX]),"")</f>
        <v>3</v>
      </c>
      <c r="AD12" s="6">
        <f>IF(AND($A12&lt;&gt;0,$A12&lt;&gt;""),LOOKUP($A12,Load_Switch_NFET[PARTNUMBER],Load_Switch_NFET[QGTYP]),"")</f>
        <v>14</v>
      </c>
      <c r="AE12" s="6">
        <f>IF(AND($A12&lt;&gt;0,$A12&lt;&gt;""),LOOKUP($A12,Load_Switch_NFET[PARTNUMBER],Load_Switch_NFET[QGS]),"")</f>
        <v>4</v>
      </c>
      <c r="AF12" s="6">
        <f>IF(AND($A12&lt;&gt;0,$A12&lt;&gt;""),LOOKUP($A12,Load_Switch_NFET[PARTNUMBER],Load_Switch_NFET[QGD]),"")</f>
        <v>2.5</v>
      </c>
      <c r="AG12" s="6">
        <f>IF(AND($A12&lt;&gt;0,$A12&lt;&gt;""),LOOKUP($A12,Load_Switch_NFET[PARTNUMBER],Load_Switch_NFET[QGTH]),"")</f>
        <v>2.1</v>
      </c>
      <c r="AH12" s="6">
        <f>IF(AND($A12&lt;&gt;0,$A12&lt;&gt;""),LOOKUP($A12,Load_Switch_NFET[PARTNUMBER],Load_Switch_NFET[VMILLER]),"")</f>
        <v>2.1</v>
      </c>
      <c r="AI12" s="6">
        <f>IF(AND($A12&lt;&gt;0,$A12&lt;&gt;""),LOOKUP($A12,Load_Switch_NFET[PARTNUMBER],Load_Switch_NFET[COSS_AT_VDSSPEC]),"")</f>
        <v>1.7</v>
      </c>
      <c r="AJ12" s="6">
        <f t="shared" si="6"/>
        <v>4.4000000000000004</v>
      </c>
      <c r="AK12" s="6">
        <f t="shared" si="7"/>
        <v>1.1499999999999999</v>
      </c>
      <c r="AL12" s="6">
        <f t="shared" si="8"/>
        <v>1.2604800000000001E-2</v>
      </c>
      <c r="AM12" s="49">
        <f t="shared" si="9"/>
        <v>1.2999999999999999E-2</v>
      </c>
      <c r="AN12" s="46">
        <f>IF(AND($A12&lt;&gt;0,$A12&lt;&gt;""),LOOKUP($A12,Load_Switch_NFET[PARTNUMBER],Load_Switch_NFET[1KPRICE]),"")</f>
        <v>0.56299999999999994</v>
      </c>
      <c r="AO12" s="6" t="str">
        <f>IF(AND($A12&lt;&gt;0,$A12&lt;&gt;""),LOOKUP(A12,Load_Switch_NFET[PARTNUMBER],Load_Switch_NFET[TI_EQ_PACKAGE]),"")</f>
        <v>SON5X6</v>
      </c>
      <c r="AP12" s="6" t="str">
        <f t="shared" si="19"/>
        <v>CSD16321Q5, SON5X6, 0.013W, $0.563</v>
      </c>
    </row>
    <row r="13" spans="1:52" ht="30" x14ac:dyDescent="0.25">
      <c r="A13" s="6" t="str">
        <f>IF(CH="N",NLogic!B13,"")</f>
        <v>CSD16322Q5</v>
      </c>
      <c r="B13" s="23" t="str">
        <f>IF(OR($A13=0,$A13=""),"0",IF(LOOKUP($A13,Load_Switch_NFET[PARTNUMBER],Load_Switch_NFET[RDSON18])="(NULL)","0","1"))</f>
        <v>0</v>
      </c>
      <c r="C13" s="8" t="str">
        <f>IF(OR($A13=0,$A13=""),"0",IF(LOOKUP($A13,Load_Switch_NFET[PARTNUMBER],Load_Switch_NFET[RDSON25])="(NULL)","0","1"))</f>
        <v>0</v>
      </c>
      <c r="D13" s="9" t="str">
        <f>IF(OR($A13=0,$A13=""),"0",IF(LOOKUP($A13,Load_Switch_NFET[PARTNUMBER],Load_Switch_NFET[RDSON3])="(NULL)","0","1"))</f>
        <v>1</v>
      </c>
      <c r="E13" s="11" t="str">
        <f>IF(OR($A13=0,$A13=""),"0",IF(LOOKUP($A13,Load_Switch_NFET[PARTNUMBER],Load_Switch_NFET[RDSON45])="(NULL)","0","1"))</f>
        <v>1</v>
      </c>
      <c r="F13" s="16" t="str">
        <f>IF(OR($A13=0,$A13=""),"0",IF(LOOKUP($A13,Load_Switch_NFET[PARTNUMBER],Load_Switch_NFET[RDSON6])="(NULL)","0","1"))</f>
        <v>0</v>
      </c>
      <c r="G13" s="3" t="str">
        <f>IF(OR($A13=0,$A13=""),"0",IF(LOOKUP($A13,Load_Switch_NFET[PARTNUMBER],Load_Switch_NFET[RDSON8])="(NULL)","0","1"))</f>
        <v>1</v>
      </c>
      <c r="H13" s="14" t="str">
        <f>IF(OR($A13=0,$A13=""),"0",IF(LOOKUP($A13,Load_Switch_NFET[PARTNUMBER],Load_Switch_NFET[RDSON10])="(NULL)","0","1"))</f>
        <v>0</v>
      </c>
      <c r="I13" s="24" t="b">
        <f t="shared" si="10"/>
        <v>0</v>
      </c>
      <c r="J13" s="7" t="b">
        <f t="shared" si="11"/>
        <v>0</v>
      </c>
      <c r="K13" s="10" t="b">
        <f t="shared" si="12"/>
        <v>1</v>
      </c>
      <c r="L13" s="12" t="b">
        <f t="shared" si="13"/>
        <v>1</v>
      </c>
      <c r="M13" s="17" t="b">
        <f t="shared" si="14"/>
        <v>0</v>
      </c>
      <c r="N13" s="13" t="b">
        <f t="shared" si="15"/>
        <v>0</v>
      </c>
      <c r="O13" s="15" t="b">
        <f t="shared" si="16"/>
        <v>0</v>
      </c>
      <c r="P13" s="18" t="b">
        <f t="shared" si="17"/>
        <v>1</v>
      </c>
      <c r="Q13" s="24" t="b">
        <f t="shared" si="20"/>
        <v>0</v>
      </c>
      <c r="R13" s="7" t="b">
        <f t="shared" si="21"/>
        <v>0</v>
      </c>
      <c r="S13" s="10" t="b">
        <f t="shared" si="1"/>
        <v>1</v>
      </c>
      <c r="T13" s="12" t="b">
        <f t="shared" si="2"/>
        <v>1</v>
      </c>
      <c r="U13" s="17" t="b">
        <f t="shared" si="3"/>
        <v>0</v>
      </c>
      <c r="V13" s="13" t="b">
        <f t="shared" si="4"/>
        <v>0</v>
      </c>
      <c r="W13" s="15" t="b">
        <f t="shared" si="5"/>
        <v>0</v>
      </c>
      <c r="X13" s="6">
        <f>IF(W13,LOOKUP(A13,Load_Switch_NFET[PARTNUMBER],Load_Switch_NFET[RDSON10])*1000,IF(V13,LOOKUP(A13,Load_Switch_NFET[PARTNUMBER],Load_Switch_NFET[RDSON8])*1000,IF(U13,LOOKUP(A13,Load_Switch_NFET[PARTNUMBER],Load_Switch_NFET[RDSON6])*1000,IF(T13,LOOKUP(A13,Load_Switch_NFET[PARTNUMBER],Load_Switch_NFET[RDSON45])*1000,IF(S13,LOOKUP(A13,Load_Switch_NFET[PARTNUMBER],Load_Switch_NFET[RDSON3])*1000,IF(R13,LOOKUP(A13,Load_Switch_NFET[PARTNUMBER],Load_Switch_NFET[RDSON25])*1000,IF(Q13,LOOKUP(A13,Load_Switch_NFET[PARTNUMBER],Load_Switch_NFET[RDSON18])*1000,"")))))))</f>
        <v>5.8</v>
      </c>
      <c r="Y13" s="19">
        <f>IF(AND(A13&lt;&gt;0,A13&lt;&gt;""),X13*(1+(Tj-25)*(LOOKUP(A13,Load_Switch_NFET[PARTNUMBER],Load_Switch_NFET[RDSDELTA])/((LOOKUP(A13,Load_Switch_NFET[PARTNUMBER],Load_Switch_NFET[TJMAX])-25)))),"")</f>
        <v>6.4960000000000004</v>
      </c>
      <c r="Z13" s="6">
        <f>IF(AND(A13&lt;&gt;0,A13&lt;&gt;""),LOOKUP(A13,Load_Switch_NFET[PARTNUMBER],Load_Switch_NFET[VTHMAX]),"")</f>
        <v>1.4</v>
      </c>
      <c r="AA13" s="6">
        <f>IF(AND(A13&lt;&gt;0,A13&lt;&gt;""),LOOKUP(A13,Load_Switch_NFET[PARTNUMBER],Load_Switch_NFET[VTHMIN]),"")</f>
        <v>0.9</v>
      </c>
      <c r="AB13" s="6">
        <f t="shared" si="18"/>
        <v>3</v>
      </c>
      <c r="AC13" s="6">
        <f>IF(AND(A13&lt;&gt;0,A13&lt;&gt;""),LOOKUP(A13,Load_Switch_NFET[PARTNUMBER],Load_Switch_NFET[RGIMAX]),"")</f>
        <v>2.2000000000000002</v>
      </c>
      <c r="AD13" s="6">
        <f>IF(AND($A13&lt;&gt;0,$A13&lt;&gt;""),LOOKUP($A13,Load_Switch_NFET[PARTNUMBER],Load_Switch_NFET[QGTYP]),"")</f>
        <v>6.8</v>
      </c>
      <c r="AE13" s="6">
        <f>IF(AND($A13&lt;&gt;0,$A13&lt;&gt;""),LOOKUP($A13,Load_Switch_NFET[PARTNUMBER],Load_Switch_NFET[QGS]),"")</f>
        <v>2.4</v>
      </c>
      <c r="AF13" s="6">
        <f>IF(AND($A13&lt;&gt;0,$A13&lt;&gt;""),LOOKUP($A13,Load_Switch_NFET[PARTNUMBER],Load_Switch_NFET[QGD]),"")</f>
        <v>1.3</v>
      </c>
      <c r="AG13" s="6">
        <f>IF(AND($A13&lt;&gt;0,$A13&lt;&gt;""),LOOKUP($A13,Load_Switch_NFET[PARTNUMBER],Load_Switch_NFET[QGTH]),"")</f>
        <v>1.3</v>
      </c>
      <c r="AH13" s="6">
        <f>IF(AND($A13&lt;&gt;0,$A13&lt;&gt;""),LOOKUP($A13,Load_Switch_NFET[PARTNUMBER],Load_Switch_NFET[VMILLER]),"")</f>
        <v>2.3199999999999998</v>
      </c>
      <c r="AI13" s="6">
        <f>IF(AND($A13&lt;&gt;0,$A13&lt;&gt;""),LOOKUP($A13,Load_Switch_NFET[PARTNUMBER],Load_Switch_NFET[COSS_AT_VDSSPEC]),"")</f>
        <v>0.74</v>
      </c>
      <c r="AJ13" s="6">
        <f t="shared" si="6"/>
        <v>2.4000000000000004</v>
      </c>
      <c r="AK13" s="6">
        <f t="shared" si="7"/>
        <v>1.1499999999999999</v>
      </c>
      <c r="AL13" s="6">
        <f t="shared" si="8"/>
        <v>2.5984000000000004E-2</v>
      </c>
      <c r="AM13" s="49">
        <f t="shared" si="9"/>
        <v>2.5999999999999999E-2</v>
      </c>
      <c r="AN13" s="46">
        <f>IF(AND($A13&lt;&gt;0,$A13&lt;&gt;""),LOOKUP($A13,Load_Switch_NFET[PARTNUMBER],Load_Switch_NFET[1KPRICE]),"")</f>
        <v>0.36899999999999999</v>
      </c>
      <c r="AO13" s="6" t="str">
        <f>IF(AND($A13&lt;&gt;0,$A13&lt;&gt;""),LOOKUP(A13,Load_Switch_NFET[PARTNUMBER],Load_Switch_NFET[TI_EQ_PACKAGE]),"")</f>
        <v>SON5X6</v>
      </c>
      <c r="AP13" s="6" t="str">
        <f t="shared" si="19"/>
        <v>CSD16322Q5, SON5X6, 0.026W, $0.369</v>
      </c>
    </row>
    <row r="14" spans="1:52" ht="30" x14ac:dyDescent="0.25">
      <c r="A14" s="6" t="str">
        <f>IF(CH="N",NLogic!B14,"")</f>
        <v>CSD16323Q3</v>
      </c>
      <c r="B14" s="23" t="str">
        <f>IF(OR($A14=0,$A14=""),"0",IF(LOOKUP($A14,Load_Switch_NFET[PARTNUMBER],Load_Switch_NFET[RDSON18])="(NULL)","0","1"))</f>
        <v>0</v>
      </c>
      <c r="C14" s="8" t="str">
        <f>IF(OR($A14=0,$A14=""),"0",IF(LOOKUP($A14,Load_Switch_NFET[PARTNUMBER],Load_Switch_NFET[RDSON25])="(NULL)","0","1"))</f>
        <v>0</v>
      </c>
      <c r="D14" s="9" t="str">
        <f>IF(OR($A14=0,$A14=""),"0",IF(LOOKUP($A14,Load_Switch_NFET[PARTNUMBER],Load_Switch_NFET[RDSON3])="(NULL)","0","1"))</f>
        <v>1</v>
      </c>
      <c r="E14" s="11" t="str">
        <f>IF(OR($A14=0,$A14=""),"0",IF(LOOKUP($A14,Load_Switch_NFET[PARTNUMBER],Load_Switch_NFET[RDSON45])="(NULL)","0","1"))</f>
        <v>1</v>
      </c>
      <c r="F14" s="16" t="str">
        <f>IF(OR($A14=0,$A14=""),"0",IF(LOOKUP($A14,Load_Switch_NFET[PARTNUMBER],Load_Switch_NFET[RDSON6])="(NULL)","0","1"))</f>
        <v>0</v>
      </c>
      <c r="G14" s="3" t="str">
        <f>IF(OR($A14=0,$A14=""),"0",IF(LOOKUP($A14,Load_Switch_NFET[PARTNUMBER],Load_Switch_NFET[RDSON8])="(NULL)","0","1"))</f>
        <v>1</v>
      </c>
      <c r="H14" s="14" t="str">
        <f>IF(OR($A14=0,$A14=""),"0",IF(LOOKUP($A14,Load_Switch_NFET[PARTNUMBER],Load_Switch_NFET[RDSON10])="(NULL)","0","1"))</f>
        <v>0</v>
      </c>
      <c r="I14" s="24" t="b">
        <f t="shared" si="10"/>
        <v>0</v>
      </c>
      <c r="J14" s="7" t="b">
        <f t="shared" si="11"/>
        <v>0</v>
      </c>
      <c r="K14" s="10" t="b">
        <f t="shared" si="12"/>
        <v>1</v>
      </c>
      <c r="L14" s="12" t="b">
        <f t="shared" si="13"/>
        <v>1</v>
      </c>
      <c r="M14" s="17" t="b">
        <f t="shared" si="14"/>
        <v>0</v>
      </c>
      <c r="N14" s="13" t="b">
        <f t="shared" si="15"/>
        <v>0</v>
      </c>
      <c r="O14" s="15" t="b">
        <f t="shared" si="16"/>
        <v>0</v>
      </c>
      <c r="P14" s="18" t="b">
        <f t="shared" si="17"/>
        <v>1</v>
      </c>
      <c r="Q14" s="24" t="b">
        <f t="shared" si="20"/>
        <v>0</v>
      </c>
      <c r="R14" s="7" t="b">
        <f t="shared" si="21"/>
        <v>0</v>
      </c>
      <c r="S14" s="10" t="b">
        <f t="shared" si="1"/>
        <v>1</v>
      </c>
      <c r="T14" s="12" t="b">
        <f t="shared" si="2"/>
        <v>1</v>
      </c>
      <c r="U14" s="17" t="b">
        <f t="shared" si="3"/>
        <v>0</v>
      </c>
      <c r="V14" s="13" t="b">
        <f t="shared" si="4"/>
        <v>0</v>
      </c>
      <c r="W14" s="15" t="b">
        <f t="shared" si="5"/>
        <v>0</v>
      </c>
      <c r="X14" s="6">
        <f>IF(W14,LOOKUP(A14,Load_Switch_NFET[PARTNUMBER],Load_Switch_NFET[RDSON10])*1000,IF(V14,LOOKUP(A14,Load_Switch_NFET[PARTNUMBER],Load_Switch_NFET[RDSON8])*1000,IF(U14,LOOKUP(A14,Load_Switch_NFET[PARTNUMBER],Load_Switch_NFET[RDSON6])*1000,IF(T14,LOOKUP(A14,Load_Switch_NFET[PARTNUMBER],Load_Switch_NFET[RDSON45])*1000,IF(S14,LOOKUP(A14,Load_Switch_NFET[PARTNUMBER],Load_Switch_NFET[RDSON3])*1000,IF(R14,LOOKUP(A14,Load_Switch_NFET[PARTNUMBER],Load_Switch_NFET[RDSON25])*1000,IF(Q14,LOOKUP(A14,Load_Switch_NFET[PARTNUMBER],Load_Switch_NFET[RDSON18])*1000,"")))))))</f>
        <v>5.5</v>
      </c>
      <c r="Y14" s="19">
        <f>IF(AND(A14&lt;&gt;0,A14&lt;&gt;""),X14*(1+(Tj-25)*(LOOKUP(A14,Load_Switch_NFET[PARTNUMBER],Load_Switch_NFET[RDSDELTA])/((LOOKUP(A14,Load_Switch_NFET[PARTNUMBER],Load_Switch_NFET[TJMAX])-25)))),"")</f>
        <v>6.5779999999999994</v>
      </c>
      <c r="Z14" s="6">
        <f>IF(AND(A14&lt;&gt;0,A14&lt;&gt;""),LOOKUP(A14,Load_Switch_NFET[PARTNUMBER],Load_Switch_NFET[VTHMAX]),"")</f>
        <v>1.4</v>
      </c>
      <c r="AA14" s="6">
        <f>IF(AND(A14&lt;&gt;0,A14&lt;&gt;""),LOOKUP(A14,Load_Switch_NFET[PARTNUMBER],Load_Switch_NFET[VTHMIN]),"")</f>
        <v>0.9</v>
      </c>
      <c r="AB14" s="6">
        <f t="shared" si="18"/>
        <v>3</v>
      </c>
      <c r="AC14" s="6">
        <f>IF(AND(A14&lt;&gt;0,A14&lt;&gt;""),LOOKUP(A14,Load_Switch_NFET[PARTNUMBER],Load_Switch_NFET[RGIMAX]),"")</f>
        <v>2.8</v>
      </c>
      <c r="AD14" s="6">
        <f>IF(AND($A14&lt;&gt;0,$A14&lt;&gt;""),LOOKUP($A14,Load_Switch_NFET[PARTNUMBER],Load_Switch_NFET[QGTYP]),"")</f>
        <v>6.2</v>
      </c>
      <c r="AE14" s="6">
        <f>IF(AND($A14&lt;&gt;0,$A14&lt;&gt;""),LOOKUP($A14,Load_Switch_NFET[PARTNUMBER],Load_Switch_NFET[QGS]),"")</f>
        <v>1.8</v>
      </c>
      <c r="AF14" s="6">
        <f>IF(AND($A14&lt;&gt;0,$A14&lt;&gt;""),LOOKUP($A14,Load_Switch_NFET[PARTNUMBER],Load_Switch_NFET[QGD]),"")</f>
        <v>1.1000000000000001</v>
      </c>
      <c r="AG14" s="6">
        <f>IF(AND($A14&lt;&gt;0,$A14&lt;&gt;""),LOOKUP($A14,Load_Switch_NFET[PARTNUMBER],Load_Switch_NFET[QGTH]),"")</f>
        <v>1</v>
      </c>
      <c r="AH14" s="6">
        <f>IF(AND($A14&lt;&gt;0,$A14&lt;&gt;""),LOOKUP($A14,Load_Switch_NFET[PARTNUMBER],Load_Switch_NFET[VMILLER]),"")</f>
        <v>2.06</v>
      </c>
      <c r="AI14" s="6">
        <f>IF(AND($A14&lt;&gt;0,$A14&lt;&gt;""),LOOKUP($A14,Load_Switch_NFET[PARTNUMBER],Load_Switch_NFET[COSS_AT_VDSSPEC]),"")</f>
        <v>0.74</v>
      </c>
      <c r="AJ14" s="6">
        <f t="shared" si="6"/>
        <v>1.9000000000000004</v>
      </c>
      <c r="AK14" s="6">
        <f t="shared" si="7"/>
        <v>1.1499999999999999</v>
      </c>
      <c r="AL14" s="6">
        <f t="shared" si="8"/>
        <v>2.6311999999999999E-2</v>
      </c>
      <c r="AM14" s="49">
        <f t="shared" si="9"/>
        <v>2.5999999999999999E-2</v>
      </c>
      <c r="AN14" s="46">
        <f>IF(AND($A14&lt;&gt;0,$A14&lt;&gt;""),LOOKUP($A14,Load_Switch_NFET[PARTNUMBER],Load_Switch_NFET[1KPRICE]),"")</f>
        <v>0.33600000000000002</v>
      </c>
      <c r="AO14" s="6" t="str">
        <f>IF(AND($A14&lt;&gt;0,$A14&lt;&gt;""),LOOKUP(A14,Load_Switch_NFET[PARTNUMBER],Load_Switch_NFET[TI_EQ_PACKAGE]),"")</f>
        <v>SON3X3</v>
      </c>
      <c r="AP14" s="6" t="str">
        <f t="shared" si="19"/>
        <v>CSD16323Q3, SON3X3, 0.026W, $0.336</v>
      </c>
    </row>
    <row r="15" spans="1:52" x14ac:dyDescent="0.25">
      <c r="A15" s="6" t="str">
        <f>IF(CH="N",NLogic!B15,"")</f>
        <v>CSD16325Q5</v>
      </c>
      <c r="B15" s="23" t="str">
        <f>IF(OR($A15=0,$A15=""),"0",IF(LOOKUP($A15,Load_Switch_NFET[PARTNUMBER],Load_Switch_NFET[RDSON18])="(NULL)","0","1"))</f>
        <v>0</v>
      </c>
      <c r="C15" s="8" t="str">
        <f>IF(OR($A15=0,$A15=""),"0",IF(LOOKUP($A15,Load_Switch_NFET[PARTNUMBER],Load_Switch_NFET[RDSON25])="(NULL)","0","1"))</f>
        <v>0</v>
      </c>
      <c r="D15" s="9" t="str">
        <f>IF(OR($A15=0,$A15=""),"0",IF(LOOKUP($A15,Load_Switch_NFET[PARTNUMBER],Load_Switch_NFET[RDSON3])="(NULL)","0","1"))</f>
        <v>1</v>
      </c>
      <c r="E15" s="11" t="str">
        <f>IF(OR($A15=0,$A15=""),"0",IF(LOOKUP($A15,Load_Switch_NFET[PARTNUMBER],Load_Switch_NFET[RDSON45])="(NULL)","0","1"))</f>
        <v>1</v>
      </c>
      <c r="F15" s="16" t="str">
        <f>IF(OR($A15=0,$A15=""),"0",IF(LOOKUP($A15,Load_Switch_NFET[PARTNUMBER],Load_Switch_NFET[RDSON6])="(NULL)","0","1"))</f>
        <v>0</v>
      </c>
      <c r="G15" s="3" t="str">
        <f>IF(OR($A15=0,$A15=""),"0",IF(LOOKUP($A15,Load_Switch_NFET[PARTNUMBER],Load_Switch_NFET[RDSON8])="(NULL)","0","1"))</f>
        <v>1</v>
      </c>
      <c r="H15" s="14" t="str">
        <f>IF(OR($A15=0,$A15=""),"0",IF(LOOKUP($A15,Load_Switch_NFET[PARTNUMBER],Load_Switch_NFET[RDSON10])="(NULL)","0","1"))</f>
        <v>0</v>
      </c>
      <c r="I15" s="24" t="b">
        <f t="shared" si="10"/>
        <v>0</v>
      </c>
      <c r="J15" s="7" t="b">
        <f t="shared" si="11"/>
        <v>0</v>
      </c>
      <c r="K15" s="10" t="b">
        <f t="shared" si="12"/>
        <v>1</v>
      </c>
      <c r="L15" s="12" t="b">
        <f t="shared" si="13"/>
        <v>1</v>
      </c>
      <c r="M15" s="17" t="b">
        <f t="shared" si="14"/>
        <v>0</v>
      </c>
      <c r="N15" s="13" t="b">
        <f t="shared" si="15"/>
        <v>0</v>
      </c>
      <c r="O15" s="15" t="b">
        <f t="shared" si="16"/>
        <v>0</v>
      </c>
      <c r="P15" s="18" t="b">
        <f t="shared" si="17"/>
        <v>1</v>
      </c>
      <c r="Q15" s="24" t="b">
        <f t="shared" si="20"/>
        <v>0</v>
      </c>
      <c r="R15" s="7" t="b">
        <f t="shared" si="21"/>
        <v>0</v>
      </c>
      <c r="S15" s="10" t="b">
        <f t="shared" si="1"/>
        <v>1</v>
      </c>
      <c r="T15" s="12" t="b">
        <f t="shared" si="2"/>
        <v>1</v>
      </c>
      <c r="U15" s="17" t="b">
        <f t="shared" si="3"/>
        <v>0</v>
      </c>
      <c r="V15" s="13" t="b">
        <f t="shared" si="4"/>
        <v>0</v>
      </c>
      <c r="W15" s="15" t="b">
        <f t="shared" si="5"/>
        <v>0</v>
      </c>
      <c r="X15" s="6">
        <f>IF(W15,LOOKUP(A15,Load_Switch_NFET[PARTNUMBER],Load_Switch_NFET[RDSON10])*1000,IF(V15,LOOKUP(A15,Load_Switch_NFET[PARTNUMBER],Load_Switch_NFET[RDSON8])*1000,IF(U15,LOOKUP(A15,Load_Switch_NFET[PARTNUMBER],Load_Switch_NFET[RDSON6])*1000,IF(T15,LOOKUP(A15,Load_Switch_NFET[PARTNUMBER],Load_Switch_NFET[RDSON45])*1000,IF(S15,LOOKUP(A15,Load_Switch_NFET[PARTNUMBER],Load_Switch_NFET[RDSON3])*1000,IF(R15,LOOKUP(A15,Load_Switch_NFET[PARTNUMBER],Load_Switch_NFET[RDSON25])*1000,IF(Q15,LOOKUP(A15,Load_Switch_NFET[PARTNUMBER],Load_Switch_NFET[RDSON18])*1000,"")))))))</f>
        <v>2.2000000000000002</v>
      </c>
      <c r="Y15" s="19">
        <f>IF(AND(A15&lt;&gt;0,A15&lt;&gt;""),X15*(1+(Tj-25)*(LOOKUP(A15,Load_Switch_NFET[PARTNUMBER],Load_Switch_NFET[RDSDELTA])/((LOOKUP(A15,Load_Switch_NFET[PARTNUMBER],Load_Switch_NFET[TJMAX])-25)))),"")</f>
        <v>2.6135999999999999</v>
      </c>
      <c r="Z15" s="6">
        <f>IF(AND(A15&lt;&gt;0,A15&lt;&gt;""),LOOKUP(A15,Load_Switch_NFET[PARTNUMBER],Load_Switch_NFET[VTHMAX]),"")</f>
        <v>1.4</v>
      </c>
      <c r="AA15" s="6">
        <f>IF(AND(A15&lt;&gt;0,A15&lt;&gt;""),LOOKUP(A15,Load_Switch_NFET[PARTNUMBER],Load_Switch_NFET[VTHMIN]),"")</f>
        <v>0.9</v>
      </c>
      <c r="AB15" s="6">
        <f t="shared" si="18"/>
        <v>3</v>
      </c>
      <c r="AC15" s="6">
        <f>IF(AND(A15&lt;&gt;0,A15&lt;&gt;""),LOOKUP(A15,Load_Switch_NFET[PARTNUMBER],Load_Switch_NFET[RGIMAX]),"")</f>
        <v>3.2</v>
      </c>
      <c r="AD15" s="6">
        <f>IF(AND($A15&lt;&gt;0,$A15&lt;&gt;""),LOOKUP($A15,Load_Switch_NFET[PARTNUMBER],Load_Switch_NFET[QGTYP]),"")</f>
        <v>18</v>
      </c>
      <c r="AE15" s="6">
        <f>IF(AND($A15&lt;&gt;0,$A15&lt;&gt;""),LOOKUP($A15,Load_Switch_NFET[PARTNUMBER],Load_Switch_NFET[QGS]),"")</f>
        <v>6.6</v>
      </c>
      <c r="AF15" s="6">
        <f>IF(AND($A15&lt;&gt;0,$A15&lt;&gt;""),LOOKUP($A15,Load_Switch_NFET[PARTNUMBER],Load_Switch_NFET[QGD]),"")</f>
        <v>3.5</v>
      </c>
      <c r="AG15" s="6">
        <f>IF(AND($A15&lt;&gt;0,$A15&lt;&gt;""),LOOKUP($A15,Load_Switch_NFET[PARTNUMBER],Load_Switch_NFET[QGTH]),"")</f>
        <v>3.3</v>
      </c>
      <c r="AH15" s="6">
        <f>IF(AND($A15&lt;&gt;0,$A15&lt;&gt;""),LOOKUP($A15,Load_Switch_NFET[PARTNUMBER],Load_Switch_NFET[VMILLER]),"")</f>
        <v>2.48</v>
      </c>
      <c r="AI15" s="6">
        <f>IF(AND($A15&lt;&gt;0,$A15&lt;&gt;""),LOOKUP($A15,Load_Switch_NFET[PARTNUMBER],Load_Switch_NFET[COSS_AT_VDSSPEC]),"")</f>
        <v>2.19</v>
      </c>
      <c r="AJ15" s="6">
        <f t="shared" si="6"/>
        <v>6.8</v>
      </c>
      <c r="AK15" s="6">
        <f t="shared" si="7"/>
        <v>1.1499999999999999</v>
      </c>
      <c r="AL15" s="6">
        <f t="shared" si="8"/>
        <v>1.0454399999999999E-2</v>
      </c>
      <c r="AM15" s="49">
        <f t="shared" si="9"/>
        <v>0.01</v>
      </c>
      <c r="AN15" s="46">
        <f>IF(AND($A15&lt;&gt;0,$A15&lt;&gt;""),LOOKUP($A15,Load_Switch_NFET[PARTNUMBER],Load_Switch_NFET[1KPRICE]),"")</f>
        <v>0.66800000000000004</v>
      </c>
      <c r="AO15" s="6" t="str">
        <f>IF(AND($A15&lt;&gt;0,$A15&lt;&gt;""),LOOKUP(A15,Load_Switch_NFET[PARTNUMBER],Load_Switch_NFET[TI_EQ_PACKAGE]),"")</f>
        <v>SON5X6</v>
      </c>
      <c r="AP15" s="6" t="str">
        <f t="shared" si="19"/>
        <v>CSD16325Q5, SON5X6, 0.01W, $0.668</v>
      </c>
    </row>
    <row r="16" spans="1:52" ht="30" x14ac:dyDescent="0.25">
      <c r="A16" s="6" t="str">
        <f>IF(CH="N",NLogic!B16,"")</f>
        <v>CSD16327Q3</v>
      </c>
      <c r="B16" s="23" t="str">
        <f>IF(OR($A16=0,$A16=""),"0",IF(LOOKUP($A16,Load_Switch_NFET[PARTNUMBER],Load_Switch_NFET[RDSON18])="(NULL)","0","1"))</f>
        <v>0</v>
      </c>
      <c r="C16" s="8" t="str">
        <f>IF(OR($A16=0,$A16=""),"0",IF(LOOKUP($A16,Load_Switch_NFET[PARTNUMBER],Load_Switch_NFET[RDSON25])="(NULL)","0","1"))</f>
        <v>0</v>
      </c>
      <c r="D16" s="9" t="str">
        <f>IF(OR($A16=0,$A16=""),"0",IF(LOOKUP($A16,Load_Switch_NFET[PARTNUMBER],Load_Switch_NFET[RDSON3])="(NULL)","0","1"))</f>
        <v>1</v>
      </c>
      <c r="E16" s="11" t="str">
        <f>IF(OR($A16=0,$A16=""),"0",IF(LOOKUP($A16,Load_Switch_NFET[PARTNUMBER],Load_Switch_NFET[RDSON45])="(NULL)","0","1"))</f>
        <v>1</v>
      </c>
      <c r="F16" s="16" t="str">
        <f>IF(OR($A16=0,$A16=""),"0",IF(LOOKUP($A16,Load_Switch_NFET[PARTNUMBER],Load_Switch_NFET[RDSON6])="(NULL)","0","1"))</f>
        <v>0</v>
      </c>
      <c r="G16" s="3" t="str">
        <f>IF(OR($A16=0,$A16=""),"0",IF(LOOKUP($A16,Load_Switch_NFET[PARTNUMBER],Load_Switch_NFET[RDSON8])="(NULL)","0","1"))</f>
        <v>1</v>
      </c>
      <c r="H16" s="14" t="str">
        <f>IF(OR($A16=0,$A16=""),"0",IF(LOOKUP($A16,Load_Switch_NFET[PARTNUMBER],Load_Switch_NFET[RDSON10])="(NULL)","0","1"))</f>
        <v>1</v>
      </c>
      <c r="I16" s="24" t="b">
        <f t="shared" si="10"/>
        <v>0</v>
      </c>
      <c r="J16" s="7" t="b">
        <f t="shared" si="11"/>
        <v>0</v>
      </c>
      <c r="K16" s="10" t="b">
        <f t="shared" si="12"/>
        <v>1</v>
      </c>
      <c r="L16" s="12" t="b">
        <f t="shared" si="13"/>
        <v>1</v>
      </c>
      <c r="M16" s="17" t="b">
        <f t="shared" si="14"/>
        <v>0</v>
      </c>
      <c r="N16" s="13" t="b">
        <f t="shared" si="15"/>
        <v>0</v>
      </c>
      <c r="O16" s="15" t="b">
        <f t="shared" si="16"/>
        <v>0</v>
      </c>
      <c r="P16" s="18" t="b">
        <f t="shared" si="17"/>
        <v>1</v>
      </c>
      <c r="Q16" s="24" t="b">
        <f t="shared" si="20"/>
        <v>0</v>
      </c>
      <c r="R16" s="7" t="b">
        <f t="shared" si="21"/>
        <v>0</v>
      </c>
      <c r="S16" s="10" t="b">
        <f t="shared" si="1"/>
        <v>1</v>
      </c>
      <c r="T16" s="12" t="b">
        <f t="shared" si="2"/>
        <v>1</v>
      </c>
      <c r="U16" s="17" t="b">
        <f t="shared" si="3"/>
        <v>0</v>
      </c>
      <c r="V16" s="13" t="b">
        <f t="shared" si="4"/>
        <v>0</v>
      </c>
      <c r="W16" s="15" t="b">
        <f t="shared" si="5"/>
        <v>0</v>
      </c>
      <c r="X16" s="6">
        <f>IF(W16,LOOKUP(A16,Load_Switch_NFET[PARTNUMBER],Load_Switch_NFET[RDSON10])*1000,IF(V16,LOOKUP(A16,Load_Switch_NFET[PARTNUMBER],Load_Switch_NFET[RDSON8])*1000,IF(U16,LOOKUP(A16,Load_Switch_NFET[PARTNUMBER],Load_Switch_NFET[RDSON6])*1000,IF(T16,LOOKUP(A16,Load_Switch_NFET[PARTNUMBER],Load_Switch_NFET[RDSON45])*1000,IF(S16,LOOKUP(A16,Load_Switch_NFET[PARTNUMBER],Load_Switch_NFET[RDSON3])*1000,IF(R16,LOOKUP(A16,Load_Switch_NFET[PARTNUMBER],Load_Switch_NFET[RDSON25])*1000,IF(Q16,LOOKUP(A16,Load_Switch_NFET[PARTNUMBER],Load_Switch_NFET[RDSON18])*1000,"")))))))</f>
        <v>4.8</v>
      </c>
      <c r="Y16" s="19">
        <f>IF(AND(A16&lt;&gt;0,A16&lt;&gt;""),X16*(1+(Tj-25)*(LOOKUP(A16,Load_Switch_NFET[PARTNUMBER],Load_Switch_NFET[RDSDELTA])/((LOOKUP(A16,Load_Switch_NFET[PARTNUMBER],Load_Switch_NFET[TJMAX])-25)))),"")</f>
        <v>5.6447999999999992</v>
      </c>
      <c r="Z16" s="6">
        <f>IF(AND(A16&lt;&gt;0,A16&lt;&gt;""),LOOKUP(A16,Load_Switch_NFET[PARTNUMBER],Load_Switch_NFET[VTHMAX]),"")</f>
        <v>1.4</v>
      </c>
      <c r="AA16" s="6">
        <f>IF(AND(A16&lt;&gt;0,A16&lt;&gt;""),LOOKUP(A16,Load_Switch_NFET[PARTNUMBER],Load_Switch_NFET[VTHMIN]),"")</f>
        <v>0.9</v>
      </c>
      <c r="AB16" s="6">
        <f t="shared" si="18"/>
        <v>3</v>
      </c>
      <c r="AC16" s="6">
        <f>IF(AND(A16&lt;&gt;0,A16&lt;&gt;""),LOOKUP(A16,Load_Switch_NFET[PARTNUMBER],Load_Switch_NFET[RGIMAX]),"")</f>
        <v>2.8</v>
      </c>
      <c r="AD16" s="6">
        <f>IF(AND($A16&lt;&gt;0,$A16&lt;&gt;""),LOOKUP($A16,Load_Switch_NFET[PARTNUMBER],Load_Switch_NFET[QGTYP]),"")</f>
        <v>6.2</v>
      </c>
      <c r="AE16" s="6">
        <f>IF(AND($A16&lt;&gt;0,$A16&lt;&gt;""),LOOKUP($A16,Load_Switch_NFET[PARTNUMBER],Load_Switch_NFET[QGS]),"")</f>
        <v>1.8</v>
      </c>
      <c r="AF16" s="6">
        <f>IF(AND($A16&lt;&gt;0,$A16&lt;&gt;""),LOOKUP($A16,Load_Switch_NFET[PARTNUMBER],Load_Switch_NFET[QGD]),"")</f>
        <v>1.1000000000000001</v>
      </c>
      <c r="AG16" s="6">
        <f>IF(AND($A16&lt;&gt;0,$A16&lt;&gt;""),LOOKUP($A16,Load_Switch_NFET[PARTNUMBER],Load_Switch_NFET[QGTH]),"")</f>
        <v>1</v>
      </c>
      <c r="AH16" s="6">
        <f>IF(AND($A16&lt;&gt;0,$A16&lt;&gt;""),LOOKUP($A16,Load_Switch_NFET[PARTNUMBER],Load_Switch_NFET[VMILLER]),"")</f>
        <v>2</v>
      </c>
      <c r="AI16" s="6">
        <f>IF(AND($A16&lt;&gt;0,$A16&lt;&gt;""),LOOKUP($A16,Load_Switch_NFET[PARTNUMBER],Load_Switch_NFET[COSS_AT_VDSSPEC]),"")</f>
        <v>0.74</v>
      </c>
      <c r="AJ16" s="6">
        <f t="shared" si="6"/>
        <v>1.9000000000000004</v>
      </c>
      <c r="AK16" s="6">
        <f t="shared" si="7"/>
        <v>1.1499999999999999</v>
      </c>
      <c r="AL16" s="6">
        <f t="shared" si="8"/>
        <v>2.2579199999999997E-2</v>
      </c>
      <c r="AM16" s="49">
        <f t="shared" si="9"/>
        <v>2.3E-2</v>
      </c>
      <c r="AN16" s="46">
        <f>IF(AND($A16&lt;&gt;0,$A16&lt;&gt;""),LOOKUP($A16,Load_Switch_NFET[PARTNUMBER],Load_Switch_NFET[1KPRICE]),"")</f>
        <v>0.33500000000000002</v>
      </c>
      <c r="AO16" s="6" t="str">
        <f>IF(AND($A16&lt;&gt;0,$A16&lt;&gt;""),LOOKUP(A16,Load_Switch_NFET[PARTNUMBER],Load_Switch_NFET[TI_EQ_PACKAGE]),"")</f>
        <v>SON3X3</v>
      </c>
      <c r="AP16" s="6" t="str">
        <f t="shared" si="19"/>
        <v>CSD16327Q3, SON3X3, 0.023W, $0.335</v>
      </c>
    </row>
    <row r="17" spans="1:42" ht="30" x14ac:dyDescent="0.25">
      <c r="A17" s="6" t="str">
        <f>IF(CH="N",NLogic!B17,"")</f>
        <v>CSD16340Q3</v>
      </c>
      <c r="B17" s="23" t="str">
        <f>IF(OR($A17=0,$A17=""),"0",IF(LOOKUP($A17,Load_Switch_NFET[PARTNUMBER],Load_Switch_NFET[RDSON18])="(NULL)","0","1"))</f>
        <v>0</v>
      </c>
      <c r="C17" s="8" t="str">
        <f>IF(OR($A17=0,$A17=""),"0",IF(LOOKUP($A17,Load_Switch_NFET[PARTNUMBER],Load_Switch_NFET[RDSON25])="(NULL)","0","1"))</f>
        <v>1</v>
      </c>
      <c r="D17" s="9" t="str">
        <f>IF(OR($A17=0,$A17=""),"0",IF(LOOKUP($A17,Load_Switch_NFET[PARTNUMBER],Load_Switch_NFET[RDSON3])="(NULL)","0","1"))</f>
        <v>0</v>
      </c>
      <c r="E17" s="11" t="str">
        <f>IF(OR($A17=0,$A17=""),"0",IF(LOOKUP($A17,Load_Switch_NFET[PARTNUMBER],Load_Switch_NFET[RDSON45])="(NULL)","0","1"))</f>
        <v>1</v>
      </c>
      <c r="F17" s="16" t="str">
        <f>IF(OR($A17=0,$A17=""),"0",IF(LOOKUP($A17,Load_Switch_NFET[PARTNUMBER],Load_Switch_NFET[RDSON6])="(NULL)","0","1"))</f>
        <v>0</v>
      </c>
      <c r="G17" s="3" t="str">
        <f>IF(OR($A17=0,$A17=""),"0",IF(LOOKUP($A17,Load_Switch_NFET[PARTNUMBER],Load_Switch_NFET[RDSON8])="(NULL)","0","1"))</f>
        <v>1</v>
      </c>
      <c r="H17" s="14" t="str">
        <f>IF(OR($A17=0,$A17=""),"0",IF(LOOKUP($A17,Load_Switch_NFET[PARTNUMBER],Load_Switch_NFET[RDSON10])="(NULL)","0","1"))</f>
        <v>1</v>
      </c>
      <c r="I17" s="24" t="b">
        <f t="shared" si="10"/>
        <v>0</v>
      </c>
      <c r="J17" s="7" t="b">
        <f t="shared" si="11"/>
        <v>1</v>
      </c>
      <c r="K17" s="10" t="b">
        <f t="shared" si="12"/>
        <v>0</v>
      </c>
      <c r="L17" s="12" t="b">
        <f t="shared" si="13"/>
        <v>1</v>
      </c>
      <c r="M17" s="17" t="b">
        <f t="shared" si="14"/>
        <v>0</v>
      </c>
      <c r="N17" s="13" t="b">
        <f t="shared" si="15"/>
        <v>0</v>
      </c>
      <c r="O17" s="15" t="b">
        <f t="shared" si="16"/>
        <v>0</v>
      </c>
      <c r="P17" s="18" t="b">
        <f t="shared" si="17"/>
        <v>1</v>
      </c>
      <c r="Q17" s="24" t="b">
        <f t="shared" si="20"/>
        <v>0</v>
      </c>
      <c r="R17" s="7" t="b">
        <f t="shared" si="21"/>
        <v>1</v>
      </c>
      <c r="S17" s="10" t="b">
        <f t="shared" si="1"/>
        <v>0</v>
      </c>
      <c r="T17" s="12" t="b">
        <f t="shared" si="2"/>
        <v>1</v>
      </c>
      <c r="U17" s="17" t="b">
        <f t="shared" si="3"/>
        <v>0</v>
      </c>
      <c r="V17" s="13" t="b">
        <f t="shared" si="4"/>
        <v>0</v>
      </c>
      <c r="W17" s="15" t="b">
        <f t="shared" si="5"/>
        <v>0</v>
      </c>
      <c r="X17" s="6">
        <f>IF(W17,LOOKUP(A17,Load_Switch_NFET[PARTNUMBER],Load_Switch_NFET[RDSON10])*1000,IF(V17,LOOKUP(A17,Load_Switch_NFET[PARTNUMBER],Load_Switch_NFET[RDSON8])*1000,IF(U17,LOOKUP(A17,Load_Switch_NFET[PARTNUMBER],Load_Switch_NFET[RDSON6])*1000,IF(T17,LOOKUP(A17,Load_Switch_NFET[PARTNUMBER],Load_Switch_NFET[RDSON45])*1000,IF(S17,LOOKUP(A17,Load_Switch_NFET[PARTNUMBER],Load_Switch_NFET[RDSON3])*1000,IF(R17,LOOKUP(A17,Load_Switch_NFET[PARTNUMBER],Load_Switch_NFET[RDSON25])*1000,IF(Q17,LOOKUP(A17,Load_Switch_NFET[PARTNUMBER],Load_Switch_NFET[RDSON18])*1000,"")))))))</f>
        <v>4.3</v>
      </c>
      <c r="Y17" s="19">
        <f>IF(AND(A17&lt;&gt;0,A17&lt;&gt;""),X17*(1+(Tj-25)*(LOOKUP(A17,Load_Switch_NFET[PARTNUMBER],Load_Switch_NFET[RDSDELTA])/((LOOKUP(A17,Load_Switch_NFET[PARTNUMBER],Load_Switch_NFET[TJMAX])-25)))),"")</f>
        <v>4.8504000000000005</v>
      </c>
      <c r="Z17" s="6">
        <f>IF(AND(A17&lt;&gt;0,A17&lt;&gt;""),LOOKUP(A17,Load_Switch_NFET[PARTNUMBER],Load_Switch_NFET[VTHMAX]),"")</f>
        <v>1.1000000000000001</v>
      </c>
      <c r="AA17" s="6">
        <f>IF(AND(A17&lt;&gt;0,A17&lt;&gt;""),LOOKUP(A17,Load_Switch_NFET[PARTNUMBER],Load_Switch_NFET[VTHMIN]),"")</f>
        <v>0.6</v>
      </c>
      <c r="AB17" s="6">
        <f t="shared" si="18"/>
        <v>2.5</v>
      </c>
      <c r="AC17" s="6">
        <f>IF(AND(A17&lt;&gt;0,A17&lt;&gt;""),LOOKUP(A17,Load_Switch_NFET[PARTNUMBER],Load_Switch_NFET[RGIMAX]),"")</f>
        <v>3</v>
      </c>
      <c r="AD17" s="6">
        <f>IF(AND($A17&lt;&gt;0,$A17&lt;&gt;""),LOOKUP($A17,Load_Switch_NFET[PARTNUMBER],Load_Switch_NFET[QGTYP]),"")</f>
        <v>6.5</v>
      </c>
      <c r="AE17" s="6">
        <f>IF(AND($A17&lt;&gt;0,$A17&lt;&gt;""),LOOKUP($A17,Load_Switch_NFET[PARTNUMBER],Load_Switch_NFET[QGS]),"")</f>
        <v>2.1</v>
      </c>
      <c r="AF17" s="6">
        <f>IF(AND($A17&lt;&gt;0,$A17&lt;&gt;""),LOOKUP($A17,Load_Switch_NFET[PARTNUMBER],Load_Switch_NFET[QGD]),"")</f>
        <v>1.2</v>
      </c>
      <c r="AG17" s="6">
        <f>IF(AND($A17&lt;&gt;0,$A17&lt;&gt;""),LOOKUP($A17,Load_Switch_NFET[PARTNUMBER],Load_Switch_NFET[QGTH]),"")</f>
        <v>1</v>
      </c>
      <c r="AH17" s="6">
        <f>IF(AND($A17&lt;&gt;0,$A17&lt;&gt;""),LOOKUP($A17,Load_Switch_NFET[PARTNUMBER],Load_Switch_NFET[VMILLER]),"")</f>
        <v>2.02</v>
      </c>
      <c r="AI17" s="6">
        <f>IF(AND($A17&lt;&gt;0,$A17&lt;&gt;""),LOOKUP($A17,Load_Switch_NFET[PARTNUMBER],Load_Switch_NFET[COSS_AT_VDSSPEC]),"")</f>
        <v>0.73</v>
      </c>
      <c r="AJ17" s="6">
        <f t="shared" si="6"/>
        <v>2.2999999999999998</v>
      </c>
      <c r="AK17" s="6">
        <f t="shared" si="7"/>
        <v>0.85000000000000009</v>
      </c>
      <c r="AL17" s="6">
        <f t="shared" si="8"/>
        <v>1.9401600000000001E-2</v>
      </c>
      <c r="AM17" s="49">
        <f t="shared" si="9"/>
        <v>1.9E-2</v>
      </c>
      <c r="AN17" s="46">
        <f>IF(AND($A17&lt;&gt;0,$A17&lt;&gt;""),LOOKUP($A17,Load_Switch_NFET[PARTNUMBER],Load_Switch_NFET[1KPRICE]),"")</f>
        <v>0.34499999999999997</v>
      </c>
      <c r="AO17" s="6" t="str">
        <f>IF(AND($A17&lt;&gt;0,$A17&lt;&gt;""),LOOKUP(A17,Load_Switch_NFET[PARTNUMBER],Load_Switch_NFET[TI_EQ_PACKAGE]),"")</f>
        <v>SON3X3</v>
      </c>
      <c r="AP17" s="6" t="str">
        <f t="shared" si="19"/>
        <v>CSD16340Q3, SON3X3, 0.019W, $0.345</v>
      </c>
    </row>
    <row r="18" spans="1:42" ht="30" x14ac:dyDescent="0.25">
      <c r="A18" s="6" t="str">
        <f>IF(CH="N",NLogic!B18,"")</f>
        <v>CSD16342Q5A</v>
      </c>
      <c r="B18" s="23" t="str">
        <f>IF(OR($A18=0,$A18=""),"0",IF(LOOKUP($A18,Load_Switch_NFET[PARTNUMBER],Load_Switch_NFET[RDSON18])="(NULL)","0","1"))</f>
        <v>0</v>
      </c>
      <c r="C18" s="8" t="str">
        <f>IF(OR($A18=0,$A18=""),"0",IF(LOOKUP($A18,Load_Switch_NFET[PARTNUMBER],Load_Switch_NFET[RDSON25])="(NULL)","0","1"))</f>
        <v>1</v>
      </c>
      <c r="D18" s="9" t="str">
        <f>IF(OR($A18=0,$A18=""),"0",IF(LOOKUP($A18,Load_Switch_NFET[PARTNUMBER],Load_Switch_NFET[RDSON3])="(NULL)","0","1"))</f>
        <v>0</v>
      </c>
      <c r="E18" s="11" t="str">
        <f>IF(OR($A18=0,$A18=""),"0",IF(LOOKUP($A18,Load_Switch_NFET[PARTNUMBER],Load_Switch_NFET[RDSON45])="(NULL)","0","1"))</f>
        <v>1</v>
      </c>
      <c r="F18" s="16" t="str">
        <f>IF(OR($A18=0,$A18=""),"0",IF(LOOKUP($A18,Load_Switch_NFET[PARTNUMBER],Load_Switch_NFET[RDSON6])="(NULL)","0","1"))</f>
        <v>0</v>
      </c>
      <c r="G18" s="3" t="str">
        <f>IF(OR($A18=0,$A18=""),"0",IF(LOOKUP($A18,Load_Switch_NFET[PARTNUMBER],Load_Switch_NFET[RDSON8])="(NULL)","0","1"))</f>
        <v>1</v>
      </c>
      <c r="H18" s="14" t="str">
        <f>IF(OR($A18=0,$A18=""),"0",IF(LOOKUP($A18,Load_Switch_NFET[PARTNUMBER],Load_Switch_NFET[RDSON10])="(NULL)","0","1"))</f>
        <v>0</v>
      </c>
      <c r="I18" s="24" t="b">
        <f t="shared" si="10"/>
        <v>0</v>
      </c>
      <c r="J18" s="7" t="b">
        <f t="shared" si="11"/>
        <v>1</v>
      </c>
      <c r="K18" s="10" t="b">
        <f t="shared" si="12"/>
        <v>0</v>
      </c>
      <c r="L18" s="12" t="b">
        <f t="shared" si="13"/>
        <v>1</v>
      </c>
      <c r="M18" s="17" t="b">
        <f t="shared" si="14"/>
        <v>0</v>
      </c>
      <c r="N18" s="13" t="b">
        <f t="shared" si="15"/>
        <v>0</v>
      </c>
      <c r="O18" s="15" t="b">
        <f t="shared" si="16"/>
        <v>0</v>
      </c>
      <c r="P18" s="18" t="b">
        <f t="shared" si="17"/>
        <v>1</v>
      </c>
      <c r="Q18" s="24" t="b">
        <f t="shared" si="20"/>
        <v>0</v>
      </c>
      <c r="R18" s="7" t="b">
        <f t="shared" si="21"/>
        <v>1</v>
      </c>
      <c r="S18" s="10" t="b">
        <f t="shared" si="1"/>
        <v>0</v>
      </c>
      <c r="T18" s="12" t="b">
        <f t="shared" si="2"/>
        <v>1</v>
      </c>
      <c r="U18" s="17" t="b">
        <f t="shared" si="3"/>
        <v>0</v>
      </c>
      <c r="V18" s="13" t="b">
        <f t="shared" si="4"/>
        <v>0</v>
      </c>
      <c r="W18" s="15" t="b">
        <f t="shared" si="5"/>
        <v>0</v>
      </c>
      <c r="X18" s="6">
        <f>IF(W18,LOOKUP(A18,Load_Switch_NFET[PARTNUMBER],Load_Switch_NFET[RDSON10])*1000,IF(V18,LOOKUP(A18,Load_Switch_NFET[PARTNUMBER],Load_Switch_NFET[RDSON8])*1000,IF(U18,LOOKUP(A18,Load_Switch_NFET[PARTNUMBER],Load_Switch_NFET[RDSON6])*1000,IF(T18,LOOKUP(A18,Load_Switch_NFET[PARTNUMBER],Load_Switch_NFET[RDSON45])*1000,IF(S18,LOOKUP(A18,Load_Switch_NFET[PARTNUMBER],Load_Switch_NFET[RDSON3])*1000,IF(R18,LOOKUP(A18,Load_Switch_NFET[PARTNUMBER],Load_Switch_NFET[RDSON25])*1000,IF(Q18,LOOKUP(A18,Load_Switch_NFET[PARTNUMBER],Load_Switch_NFET[RDSON18])*1000,"")))))))</f>
        <v>5.5</v>
      </c>
      <c r="Y18" s="19">
        <f>IF(AND(A18&lt;&gt;0,A18&lt;&gt;""),X18*(1+(Tj-25)*(LOOKUP(A18,Load_Switch_NFET[PARTNUMBER],Load_Switch_NFET[RDSDELTA])/((LOOKUP(A18,Load_Switch_NFET[PARTNUMBER],Load_Switch_NFET[TJMAX])-25)))),"")</f>
        <v>6.5339999999999998</v>
      </c>
      <c r="Z18" s="6">
        <f>IF(AND(A18&lt;&gt;0,A18&lt;&gt;""),LOOKUP(A18,Load_Switch_NFET[PARTNUMBER],Load_Switch_NFET[VTHMAX]),"")</f>
        <v>1.1000000000000001</v>
      </c>
      <c r="AA18" s="6">
        <f>IF(AND(A18&lt;&gt;0,A18&lt;&gt;""),LOOKUP(A18,Load_Switch_NFET[PARTNUMBER],Load_Switch_NFET[VTHMIN]),"")</f>
        <v>0.6</v>
      </c>
      <c r="AB18" s="6">
        <f t="shared" si="18"/>
        <v>2.5</v>
      </c>
      <c r="AC18" s="6">
        <f>IF(AND(A18&lt;&gt;0,A18&lt;&gt;""),LOOKUP(A18,Load_Switch_NFET[PARTNUMBER],Load_Switch_NFET[RGIMAX]),"")</f>
        <v>3</v>
      </c>
      <c r="AD18" s="6">
        <f>IF(AND($A18&lt;&gt;0,$A18&lt;&gt;""),LOOKUP($A18,Load_Switch_NFET[PARTNUMBER],Load_Switch_NFET[QGTYP]),"")</f>
        <v>6.8</v>
      </c>
      <c r="AE18" s="6">
        <f>IF(AND($A18&lt;&gt;0,$A18&lt;&gt;""),LOOKUP($A18,Load_Switch_NFET[PARTNUMBER],Load_Switch_NFET[QGS]),"")</f>
        <v>1.9</v>
      </c>
      <c r="AF18" s="6">
        <f>IF(AND($A18&lt;&gt;0,$A18&lt;&gt;""),LOOKUP($A18,Load_Switch_NFET[PARTNUMBER],Load_Switch_NFET[QGD]),"")</f>
        <v>0.9</v>
      </c>
      <c r="AG18" s="6">
        <f>IF(AND($A18&lt;&gt;0,$A18&lt;&gt;""),LOOKUP($A18,Load_Switch_NFET[PARTNUMBER],Load_Switch_NFET[QGTH]),"")</f>
        <v>1.2</v>
      </c>
      <c r="AH18" s="6">
        <f>IF(AND($A18&lt;&gt;0,$A18&lt;&gt;""),LOOKUP($A18,Load_Switch_NFET[PARTNUMBER],Load_Switch_NFET[VMILLER]),"")</f>
        <v>1.6</v>
      </c>
      <c r="AI18" s="6">
        <f>IF(AND($A18&lt;&gt;0,$A18&lt;&gt;""),LOOKUP($A18,Load_Switch_NFET[PARTNUMBER],Load_Switch_NFET[COSS_AT_VDSSPEC]),"")</f>
        <v>0.73</v>
      </c>
      <c r="AJ18" s="6">
        <f t="shared" si="6"/>
        <v>1.5999999999999999</v>
      </c>
      <c r="AK18" s="6">
        <f t="shared" si="7"/>
        <v>0.85000000000000009</v>
      </c>
      <c r="AL18" s="6">
        <f t="shared" si="8"/>
        <v>2.6136E-2</v>
      </c>
      <c r="AM18" s="49">
        <f t="shared" si="9"/>
        <v>2.5999999999999999E-2</v>
      </c>
      <c r="AN18" s="46">
        <f>IF(AND($A18&lt;&gt;0,$A18&lt;&gt;""),LOOKUP($A18,Load_Switch_NFET[PARTNUMBER],Load_Switch_NFET[1KPRICE]),"")</f>
        <v>0.33400000000000002</v>
      </c>
      <c r="AO18" s="6" t="str">
        <f>IF(AND($A18&lt;&gt;0,$A18&lt;&gt;""),LOOKUP(A18,Load_Switch_NFET[PARTNUMBER],Load_Switch_NFET[TI_EQ_PACKAGE]),"")</f>
        <v>SON5X6</v>
      </c>
      <c r="AP18" s="6" t="str">
        <f t="shared" si="19"/>
        <v>CSD16342Q5A, SON5X6, 0.026W, $0.334</v>
      </c>
    </row>
    <row r="19" spans="1:42" ht="30" x14ac:dyDescent="0.25">
      <c r="A19" s="6" t="str">
        <f>IF(CH="N",NLogic!B19,"")</f>
        <v>CSD16401Q5</v>
      </c>
      <c r="B19" s="23" t="str">
        <f>IF(OR($A19=0,$A19=""),"0",IF(LOOKUP($A19,Load_Switch_NFET[PARTNUMBER],Load_Switch_NFET[RDSON18])="(NULL)","0","1"))</f>
        <v>0</v>
      </c>
      <c r="C19" s="8" t="str">
        <f>IF(OR($A19=0,$A19=""),"0",IF(LOOKUP($A19,Load_Switch_NFET[PARTNUMBER],Load_Switch_NFET[RDSON25])="(NULL)","0","1"))</f>
        <v>0</v>
      </c>
      <c r="D19" s="9" t="str">
        <f>IF(OR($A19=0,$A19=""),"0",IF(LOOKUP($A19,Load_Switch_NFET[PARTNUMBER],Load_Switch_NFET[RDSON3])="(NULL)","0","1"))</f>
        <v>0</v>
      </c>
      <c r="E19" s="11" t="str">
        <f>IF(OR($A19=0,$A19=""),"0",IF(LOOKUP($A19,Load_Switch_NFET[PARTNUMBER],Load_Switch_NFET[RDSON45])="(NULL)","0","1"))</f>
        <v>1</v>
      </c>
      <c r="F19" s="16" t="str">
        <f>IF(OR($A19=0,$A19=""),"0",IF(LOOKUP($A19,Load_Switch_NFET[PARTNUMBER],Load_Switch_NFET[RDSON6])="(NULL)","0","1"))</f>
        <v>0</v>
      </c>
      <c r="G19" s="3" t="str">
        <f>IF(OR($A19=0,$A19=""),"0",IF(LOOKUP($A19,Load_Switch_NFET[PARTNUMBER],Load_Switch_NFET[RDSON8])="(NULL)","0","1"))</f>
        <v>0</v>
      </c>
      <c r="H19" s="14" t="str">
        <f>IF(OR($A19=0,$A19=""),"0",IF(LOOKUP($A19,Load_Switch_NFET[PARTNUMBER],Load_Switch_NFET[RDSON10])="(NULL)","0","1"))</f>
        <v>1</v>
      </c>
      <c r="I19" s="24" t="b">
        <f t="shared" si="10"/>
        <v>0</v>
      </c>
      <c r="J19" s="7" t="b">
        <f t="shared" si="11"/>
        <v>0</v>
      </c>
      <c r="K19" s="10" t="b">
        <f t="shared" si="12"/>
        <v>0</v>
      </c>
      <c r="L19" s="12" t="b">
        <f t="shared" si="13"/>
        <v>1</v>
      </c>
      <c r="M19" s="17" t="b">
        <f t="shared" si="14"/>
        <v>0</v>
      </c>
      <c r="N19" s="13" t="b">
        <f t="shared" si="15"/>
        <v>0</v>
      </c>
      <c r="O19" s="15" t="b">
        <f t="shared" si="16"/>
        <v>0</v>
      </c>
      <c r="P19" s="18" t="b">
        <f t="shared" si="17"/>
        <v>1</v>
      </c>
      <c r="Q19" s="24" t="b">
        <f t="shared" si="20"/>
        <v>0</v>
      </c>
      <c r="R19" s="7" t="b">
        <f t="shared" si="21"/>
        <v>0</v>
      </c>
      <c r="S19" s="10" t="b">
        <f t="shared" si="1"/>
        <v>0</v>
      </c>
      <c r="T19" s="12" t="b">
        <f t="shared" si="2"/>
        <v>1</v>
      </c>
      <c r="U19" s="17" t="b">
        <f t="shared" si="3"/>
        <v>0</v>
      </c>
      <c r="V19" s="13" t="b">
        <f t="shared" si="4"/>
        <v>0</v>
      </c>
      <c r="W19" s="15" t="b">
        <f t="shared" si="5"/>
        <v>0</v>
      </c>
      <c r="X19" s="6">
        <f>IF(W19,LOOKUP(A19,Load_Switch_NFET[PARTNUMBER],Load_Switch_NFET[RDSON10])*1000,IF(V19,LOOKUP(A19,Load_Switch_NFET[PARTNUMBER],Load_Switch_NFET[RDSON8])*1000,IF(U19,LOOKUP(A19,Load_Switch_NFET[PARTNUMBER],Load_Switch_NFET[RDSON6])*1000,IF(T19,LOOKUP(A19,Load_Switch_NFET[PARTNUMBER],Load_Switch_NFET[RDSON45])*1000,IF(S19,LOOKUP(A19,Load_Switch_NFET[PARTNUMBER],Load_Switch_NFET[RDSON3])*1000,IF(R19,LOOKUP(A19,Load_Switch_NFET[PARTNUMBER],Load_Switch_NFET[RDSON25])*1000,IF(Q19,LOOKUP(A19,Load_Switch_NFET[PARTNUMBER],Load_Switch_NFET[RDSON18])*1000,"")))))))</f>
        <v>2.2999999999999998</v>
      </c>
      <c r="Y19" s="19">
        <f>IF(AND(A19&lt;&gt;0,A19&lt;&gt;""),X19*(1+(Tj-25)*(LOOKUP(A19,Load_Switch_NFET[PARTNUMBER],Load_Switch_NFET[RDSDELTA])/((LOOKUP(A19,Load_Switch_NFET[PARTNUMBER],Load_Switch_NFET[TJMAX])-25)))),"")</f>
        <v>2.7323999999999997</v>
      </c>
      <c r="Z19" s="6">
        <f>IF(AND(A19&lt;&gt;0,A19&lt;&gt;""),LOOKUP(A19,Load_Switch_NFET[PARTNUMBER],Load_Switch_NFET[VTHMAX]),"")</f>
        <v>1.9</v>
      </c>
      <c r="AA19" s="6">
        <f>IF(AND(A19&lt;&gt;0,A19&lt;&gt;""),LOOKUP(A19,Load_Switch_NFET[PARTNUMBER],Load_Switch_NFET[VTHMIN]),"")</f>
        <v>1.2</v>
      </c>
      <c r="AB19" s="6">
        <f t="shared" si="18"/>
        <v>4.5</v>
      </c>
      <c r="AC19" s="6">
        <f>IF(AND(A19&lt;&gt;0,A19&lt;&gt;""),LOOKUP(A19,Load_Switch_NFET[PARTNUMBER],Load_Switch_NFET[RGIMAX]),"")</f>
        <v>2.4</v>
      </c>
      <c r="AD19" s="6">
        <f>IF(AND($A19&lt;&gt;0,$A19&lt;&gt;""),LOOKUP($A19,Load_Switch_NFET[PARTNUMBER],Load_Switch_NFET[QGTYP]),"")</f>
        <v>21</v>
      </c>
      <c r="AE19" s="6">
        <f>IF(AND($A19&lt;&gt;0,$A19&lt;&gt;""),LOOKUP($A19,Load_Switch_NFET[PARTNUMBER],Load_Switch_NFET[QGS]),"")</f>
        <v>8.3000000000000007</v>
      </c>
      <c r="AF19" s="6">
        <f>IF(AND($A19&lt;&gt;0,$A19&lt;&gt;""),LOOKUP($A19,Load_Switch_NFET[PARTNUMBER],Load_Switch_NFET[QGD]),"")</f>
        <v>5.2</v>
      </c>
      <c r="AG19" s="6">
        <f>IF(AND($A19&lt;&gt;0,$A19&lt;&gt;""),LOOKUP($A19,Load_Switch_NFET[PARTNUMBER],Load_Switch_NFET[QGTH]),"")</f>
        <v>4.8</v>
      </c>
      <c r="AH19" s="6">
        <f>IF(AND($A19&lt;&gt;0,$A19&lt;&gt;""),LOOKUP($A19,Load_Switch_NFET[PARTNUMBER],Load_Switch_NFET[VMILLER]),"")</f>
        <v>2.92</v>
      </c>
      <c r="AI19" s="6">
        <f>IF(AND($A19&lt;&gt;0,$A19&lt;&gt;""),LOOKUP($A19,Load_Switch_NFET[PARTNUMBER],Load_Switch_NFET[COSS_AT_VDSSPEC]),"")</f>
        <v>2.5299999999999998</v>
      </c>
      <c r="AJ19" s="6">
        <f t="shared" si="6"/>
        <v>8.6999999999999993</v>
      </c>
      <c r="AK19" s="6">
        <f t="shared" si="7"/>
        <v>1.5499999999999998</v>
      </c>
      <c r="AL19" s="6">
        <f t="shared" si="8"/>
        <v>1.0929599999999999E-2</v>
      </c>
      <c r="AM19" s="49">
        <f t="shared" si="9"/>
        <v>1.0999999999999999E-2</v>
      </c>
      <c r="AN19" s="46">
        <f>IF(AND($A19&lt;&gt;0,$A19&lt;&gt;""),LOOKUP($A19,Load_Switch_NFET[PARTNUMBER],Load_Switch_NFET[1KPRICE]),"")</f>
        <v>0.79600000000000004</v>
      </c>
      <c r="AO19" s="6" t="str">
        <f>IF(AND($A19&lt;&gt;0,$A19&lt;&gt;""),LOOKUP(A19,Load_Switch_NFET[PARTNUMBER],Load_Switch_NFET[TI_EQ_PACKAGE]),"")</f>
        <v>SON5X6</v>
      </c>
      <c r="AP19" s="6" t="str">
        <f t="shared" si="19"/>
        <v>CSD16401Q5, SON5X6, 0.011W, $0.796</v>
      </c>
    </row>
    <row r="20" spans="1:42" ht="30" x14ac:dyDescent="0.25">
      <c r="A20" s="6" t="str">
        <f>IF(CH="N",NLogic!B20,"")</f>
        <v>CSD16403Q5A</v>
      </c>
      <c r="B20" s="23" t="str">
        <f>IF(OR($A20=0,$A20=""),"0",IF(LOOKUP($A20,Load_Switch_NFET[PARTNUMBER],Load_Switch_NFET[RDSON18])="(NULL)","0","1"))</f>
        <v>0</v>
      </c>
      <c r="C20" s="8" t="str">
        <f>IF(OR($A20=0,$A20=""),"0",IF(LOOKUP($A20,Load_Switch_NFET[PARTNUMBER],Load_Switch_NFET[RDSON25])="(NULL)","0","1"))</f>
        <v>0</v>
      </c>
      <c r="D20" s="9" t="str">
        <f>IF(OR($A20=0,$A20=""),"0",IF(LOOKUP($A20,Load_Switch_NFET[PARTNUMBER],Load_Switch_NFET[RDSON3])="(NULL)","0","1"))</f>
        <v>0</v>
      </c>
      <c r="E20" s="11" t="str">
        <f>IF(OR($A20=0,$A20=""),"0",IF(LOOKUP($A20,Load_Switch_NFET[PARTNUMBER],Load_Switch_NFET[RDSON45])="(NULL)","0","1"))</f>
        <v>1</v>
      </c>
      <c r="F20" s="16" t="str">
        <f>IF(OR($A20=0,$A20=""),"0",IF(LOOKUP($A20,Load_Switch_NFET[PARTNUMBER],Load_Switch_NFET[RDSON6])="(NULL)","0","1"))</f>
        <v>0</v>
      </c>
      <c r="G20" s="3" t="str">
        <f>IF(OR($A20=0,$A20=""),"0",IF(LOOKUP($A20,Load_Switch_NFET[PARTNUMBER],Load_Switch_NFET[RDSON8])="(NULL)","0","1"))</f>
        <v>0</v>
      </c>
      <c r="H20" s="14" t="str">
        <f>IF(OR($A20=0,$A20=""),"0",IF(LOOKUP($A20,Load_Switch_NFET[PARTNUMBER],Load_Switch_NFET[RDSON10])="(NULL)","0","1"))</f>
        <v>1</v>
      </c>
      <c r="I20" s="24" t="b">
        <f t="shared" si="10"/>
        <v>0</v>
      </c>
      <c r="J20" s="7" t="b">
        <f t="shared" si="11"/>
        <v>0</v>
      </c>
      <c r="K20" s="10" t="b">
        <f t="shared" si="12"/>
        <v>0</v>
      </c>
      <c r="L20" s="12" t="b">
        <f t="shared" si="13"/>
        <v>1</v>
      </c>
      <c r="M20" s="17" t="b">
        <f t="shared" si="14"/>
        <v>0</v>
      </c>
      <c r="N20" s="13" t="b">
        <f t="shared" si="15"/>
        <v>0</v>
      </c>
      <c r="O20" s="15" t="b">
        <f t="shared" si="16"/>
        <v>0</v>
      </c>
      <c r="P20" s="18" t="b">
        <f t="shared" si="17"/>
        <v>1</v>
      </c>
      <c r="Q20" s="24" t="b">
        <f t="shared" si="20"/>
        <v>0</v>
      </c>
      <c r="R20" s="7" t="b">
        <f t="shared" si="21"/>
        <v>0</v>
      </c>
      <c r="S20" s="10" t="b">
        <f t="shared" si="1"/>
        <v>0</v>
      </c>
      <c r="T20" s="12" t="b">
        <f t="shared" si="2"/>
        <v>1</v>
      </c>
      <c r="U20" s="17" t="b">
        <f t="shared" si="3"/>
        <v>0</v>
      </c>
      <c r="V20" s="13" t="b">
        <f t="shared" si="4"/>
        <v>0</v>
      </c>
      <c r="W20" s="15" t="b">
        <f t="shared" si="5"/>
        <v>0</v>
      </c>
      <c r="X20" s="6">
        <f>IF(W20,LOOKUP(A20,Load_Switch_NFET[PARTNUMBER],Load_Switch_NFET[RDSON10])*1000,IF(V20,LOOKUP(A20,Load_Switch_NFET[PARTNUMBER],Load_Switch_NFET[RDSON8])*1000,IF(U20,LOOKUP(A20,Load_Switch_NFET[PARTNUMBER],Load_Switch_NFET[RDSON6])*1000,IF(T20,LOOKUP(A20,Load_Switch_NFET[PARTNUMBER],Load_Switch_NFET[RDSON45])*1000,IF(S20,LOOKUP(A20,Load_Switch_NFET[PARTNUMBER],Load_Switch_NFET[RDSON3])*1000,IF(R20,LOOKUP(A20,Load_Switch_NFET[PARTNUMBER],Load_Switch_NFET[RDSON25])*1000,IF(Q20,LOOKUP(A20,Load_Switch_NFET[PARTNUMBER],Load_Switch_NFET[RDSON18])*1000,"")))))))</f>
        <v>3.7</v>
      </c>
      <c r="Y20" s="19">
        <f>IF(AND(A20&lt;&gt;0,A20&lt;&gt;""),X20*(1+(Tj-25)*(LOOKUP(A20,Load_Switch_NFET[PARTNUMBER],Load_Switch_NFET[RDSDELTA])/((LOOKUP(A20,Load_Switch_NFET[PARTNUMBER],Load_Switch_NFET[TJMAX])-25)))),"")</f>
        <v>4.4695999999999998</v>
      </c>
      <c r="Z20" s="6">
        <f>IF(AND(A20&lt;&gt;0,A20&lt;&gt;""),LOOKUP(A20,Load_Switch_NFET[PARTNUMBER],Load_Switch_NFET[VTHMAX]),"")</f>
        <v>1.9</v>
      </c>
      <c r="AA20" s="6">
        <f>IF(AND(A20&lt;&gt;0,A20&lt;&gt;""),LOOKUP(A20,Load_Switch_NFET[PARTNUMBER],Load_Switch_NFET[VTHMIN]),"")</f>
        <v>1.2</v>
      </c>
      <c r="AB20" s="6">
        <f t="shared" si="18"/>
        <v>4.5</v>
      </c>
      <c r="AC20" s="6">
        <f>IF(AND(A20&lt;&gt;0,A20&lt;&gt;""),LOOKUP(A20,Load_Switch_NFET[PARTNUMBER],Load_Switch_NFET[RGIMAX]),"")</f>
        <v>2.4</v>
      </c>
      <c r="AD20" s="6">
        <f>IF(AND($A20&lt;&gt;0,$A20&lt;&gt;""),LOOKUP($A20,Load_Switch_NFET[PARTNUMBER],Load_Switch_NFET[QGTYP]),"")</f>
        <v>13.3</v>
      </c>
      <c r="AE20" s="6">
        <f>IF(AND($A20&lt;&gt;0,$A20&lt;&gt;""),LOOKUP($A20,Load_Switch_NFET[PARTNUMBER],Load_Switch_NFET[QGS]),"")</f>
        <v>5.5</v>
      </c>
      <c r="AF20" s="6">
        <f>IF(AND($A20&lt;&gt;0,$A20&lt;&gt;""),LOOKUP($A20,Load_Switch_NFET[PARTNUMBER],Load_Switch_NFET[QGD]),"")</f>
        <v>3.5</v>
      </c>
      <c r="AG20" s="6">
        <f>IF(AND($A20&lt;&gt;0,$A20&lt;&gt;""),LOOKUP($A20,Load_Switch_NFET[PARTNUMBER],Load_Switch_NFET[QGTH]),"")</f>
        <v>3.1</v>
      </c>
      <c r="AH20" s="6">
        <f>IF(AND($A20&lt;&gt;0,$A20&lt;&gt;""),LOOKUP($A20,Load_Switch_NFET[PARTNUMBER],Load_Switch_NFET[VMILLER]),"")</f>
        <v>2.83</v>
      </c>
      <c r="AI20" s="6">
        <f>IF(AND($A20&lt;&gt;0,$A20&lt;&gt;""),LOOKUP($A20,Load_Switch_NFET[PARTNUMBER],Load_Switch_NFET[COSS_AT_VDSSPEC]),"")</f>
        <v>1.6</v>
      </c>
      <c r="AJ20" s="6">
        <f t="shared" si="6"/>
        <v>5.9</v>
      </c>
      <c r="AK20" s="6">
        <f t="shared" si="7"/>
        <v>1.5499999999999998</v>
      </c>
      <c r="AL20" s="6">
        <f t="shared" si="8"/>
        <v>1.7878399999999999E-2</v>
      </c>
      <c r="AM20" s="49">
        <f t="shared" si="9"/>
        <v>1.7999999999999999E-2</v>
      </c>
      <c r="AN20" s="46">
        <f>IF(AND($A20&lt;&gt;0,$A20&lt;&gt;""),LOOKUP($A20,Load_Switch_NFET[PARTNUMBER],Load_Switch_NFET[1KPRICE]),"")</f>
        <v>0.53400000000000003</v>
      </c>
      <c r="AO20" s="6" t="str">
        <f>IF(AND($A20&lt;&gt;0,$A20&lt;&gt;""),LOOKUP(A20,Load_Switch_NFET[PARTNUMBER],Load_Switch_NFET[TI_EQ_PACKAGE]),"")</f>
        <v>SON5X6</v>
      </c>
      <c r="AP20" s="6" t="str">
        <f t="shared" si="19"/>
        <v>CSD16403Q5A, SON5X6, 0.018W, $0.534</v>
      </c>
    </row>
    <row r="21" spans="1:42" ht="30" x14ac:dyDescent="0.25">
      <c r="A21" s="6" t="str">
        <f>IF(CH="N",NLogic!B21,"")</f>
        <v>CSD16404Q5A</v>
      </c>
      <c r="B21" s="23" t="str">
        <f>IF(OR($A21=0,$A21=""),"0",IF(LOOKUP($A21,Load_Switch_NFET[PARTNUMBER],Load_Switch_NFET[RDSON18])="(NULL)","0","1"))</f>
        <v>0</v>
      </c>
      <c r="C21" s="8" t="str">
        <f>IF(OR($A21=0,$A21=""),"0",IF(LOOKUP($A21,Load_Switch_NFET[PARTNUMBER],Load_Switch_NFET[RDSON25])="(NULL)","0","1"))</f>
        <v>0</v>
      </c>
      <c r="D21" s="9" t="str">
        <f>IF(OR($A21=0,$A21=""),"0",IF(LOOKUP($A21,Load_Switch_NFET[PARTNUMBER],Load_Switch_NFET[RDSON3])="(NULL)","0","1"))</f>
        <v>0</v>
      </c>
      <c r="E21" s="11" t="str">
        <f>IF(OR($A21=0,$A21=""),"0",IF(LOOKUP($A21,Load_Switch_NFET[PARTNUMBER],Load_Switch_NFET[RDSON45])="(NULL)","0","1"))</f>
        <v>1</v>
      </c>
      <c r="F21" s="16" t="str">
        <f>IF(OR($A21=0,$A21=""),"0",IF(LOOKUP($A21,Load_Switch_NFET[PARTNUMBER],Load_Switch_NFET[RDSON6])="(NULL)","0","1"))</f>
        <v>0</v>
      </c>
      <c r="G21" s="3" t="str">
        <f>IF(OR($A21=0,$A21=""),"0",IF(LOOKUP($A21,Load_Switch_NFET[PARTNUMBER],Load_Switch_NFET[RDSON8])="(NULL)","0","1"))</f>
        <v>0</v>
      </c>
      <c r="H21" s="14" t="str">
        <f>IF(OR($A21=0,$A21=""),"0",IF(LOOKUP($A21,Load_Switch_NFET[PARTNUMBER],Load_Switch_NFET[RDSON10])="(NULL)","0","1"))</f>
        <v>1</v>
      </c>
      <c r="I21" s="24" t="b">
        <f t="shared" si="10"/>
        <v>0</v>
      </c>
      <c r="J21" s="7" t="b">
        <f t="shared" si="11"/>
        <v>0</v>
      </c>
      <c r="K21" s="10" t="b">
        <f t="shared" si="12"/>
        <v>0</v>
      </c>
      <c r="L21" s="12" t="b">
        <f t="shared" si="13"/>
        <v>1</v>
      </c>
      <c r="M21" s="17" t="b">
        <f t="shared" si="14"/>
        <v>0</v>
      </c>
      <c r="N21" s="13" t="b">
        <f t="shared" si="15"/>
        <v>0</v>
      </c>
      <c r="O21" s="15" t="b">
        <f t="shared" si="16"/>
        <v>0</v>
      </c>
      <c r="P21" s="18" t="b">
        <f t="shared" si="17"/>
        <v>1</v>
      </c>
      <c r="Q21" s="24" t="b">
        <f t="shared" si="20"/>
        <v>0</v>
      </c>
      <c r="R21" s="7" t="b">
        <f t="shared" si="21"/>
        <v>0</v>
      </c>
      <c r="S21" s="10" t="b">
        <f t="shared" si="1"/>
        <v>0</v>
      </c>
      <c r="T21" s="12" t="b">
        <f t="shared" si="2"/>
        <v>1</v>
      </c>
      <c r="U21" s="17" t="b">
        <f t="shared" si="3"/>
        <v>0</v>
      </c>
      <c r="V21" s="13" t="b">
        <f t="shared" si="4"/>
        <v>0</v>
      </c>
      <c r="W21" s="15" t="b">
        <f t="shared" si="5"/>
        <v>0</v>
      </c>
      <c r="X21" s="6">
        <f>IF(W21,LOOKUP(A21,Load_Switch_NFET[PARTNUMBER],Load_Switch_NFET[RDSON10])*1000,IF(V21,LOOKUP(A21,Load_Switch_NFET[PARTNUMBER],Load_Switch_NFET[RDSON8])*1000,IF(U21,LOOKUP(A21,Load_Switch_NFET[PARTNUMBER],Load_Switch_NFET[RDSON6])*1000,IF(T21,LOOKUP(A21,Load_Switch_NFET[PARTNUMBER],Load_Switch_NFET[RDSON45])*1000,IF(S21,LOOKUP(A21,Load_Switch_NFET[PARTNUMBER],Load_Switch_NFET[RDSON3])*1000,IF(R21,LOOKUP(A21,Load_Switch_NFET[PARTNUMBER],Load_Switch_NFET[RDSON25])*1000,IF(Q21,LOOKUP(A21,Load_Switch_NFET[PARTNUMBER],Load_Switch_NFET[RDSON18])*1000,"")))))))</f>
        <v>7.2</v>
      </c>
      <c r="Y21" s="19">
        <f>IF(AND(A21&lt;&gt;0,A21&lt;&gt;""),X21*(1+(Tj-25)*(LOOKUP(A21,Load_Switch_NFET[PARTNUMBER],Load_Switch_NFET[RDSDELTA])/((LOOKUP(A21,Load_Switch_NFET[PARTNUMBER],Load_Switch_NFET[TJMAX])-25)))),"")</f>
        <v>8.4383999999999997</v>
      </c>
      <c r="Z21" s="6">
        <f>IF(AND(A21&lt;&gt;0,A21&lt;&gt;""),LOOKUP(A21,Load_Switch_NFET[PARTNUMBER],Load_Switch_NFET[VTHMAX]),"")</f>
        <v>2.1</v>
      </c>
      <c r="AA21" s="6">
        <f>IF(AND(A21&lt;&gt;0,A21&lt;&gt;""),LOOKUP(A21,Load_Switch_NFET[PARTNUMBER],Load_Switch_NFET[VTHMIN]),"")</f>
        <v>1.4</v>
      </c>
      <c r="AB21" s="6">
        <f t="shared" si="18"/>
        <v>4.5</v>
      </c>
      <c r="AC21" s="6">
        <f>IF(AND(A21&lt;&gt;0,A21&lt;&gt;""),LOOKUP(A21,Load_Switch_NFET[PARTNUMBER],Load_Switch_NFET[RGIMAX]),"")</f>
        <v>1.8</v>
      </c>
      <c r="AD21" s="6">
        <f>IF(AND($A21&lt;&gt;0,$A21&lt;&gt;""),LOOKUP($A21,Load_Switch_NFET[PARTNUMBER],Load_Switch_NFET[QGTYP]),"")</f>
        <v>6.5</v>
      </c>
      <c r="AE21" s="6">
        <f>IF(AND($A21&lt;&gt;0,$A21&lt;&gt;""),LOOKUP($A21,Load_Switch_NFET[PARTNUMBER],Load_Switch_NFET[QGS]),"")</f>
        <v>3</v>
      </c>
      <c r="AF21" s="6">
        <f>IF(AND($A21&lt;&gt;0,$A21&lt;&gt;""),LOOKUP($A21,Load_Switch_NFET[PARTNUMBER],Load_Switch_NFET[QGD]),"")</f>
        <v>1.7</v>
      </c>
      <c r="AG21" s="6">
        <f>IF(AND($A21&lt;&gt;0,$A21&lt;&gt;""),LOOKUP($A21,Load_Switch_NFET[PARTNUMBER],Load_Switch_NFET[QGTH]),"")</f>
        <v>1.5</v>
      </c>
      <c r="AH21" s="6">
        <f>IF(AND($A21&lt;&gt;0,$A21&lt;&gt;""),LOOKUP($A21,Load_Switch_NFET[PARTNUMBER],Load_Switch_NFET[VMILLER]),"")</f>
        <v>3.16</v>
      </c>
      <c r="AI21" s="6">
        <f>IF(AND($A21&lt;&gt;0,$A21&lt;&gt;""),LOOKUP($A21,Load_Switch_NFET[PARTNUMBER],Load_Switch_NFET[COSS_AT_VDSSPEC]),"")</f>
        <v>0.81</v>
      </c>
      <c r="AJ21" s="6">
        <f t="shared" si="6"/>
        <v>3.2</v>
      </c>
      <c r="AK21" s="6">
        <f t="shared" si="7"/>
        <v>1.75</v>
      </c>
      <c r="AL21" s="6">
        <f t="shared" si="8"/>
        <v>3.3753600000000002E-2</v>
      </c>
      <c r="AM21" s="49">
        <f t="shared" si="9"/>
        <v>3.4000000000000002E-2</v>
      </c>
      <c r="AN21" s="46">
        <f>IF(AND($A21&lt;&gt;0,$A21&lt;&gt;""),LOOKUP($A21,Load_Switch_NFET[PARTNUMBER],Load_Switch_NFET[1KPRICE]),"")</f>
        <v>0.31900000000000001</v>
      </c>
      <c r="AO21" s="6" t="str">
        <f>IF(AND($A21&lt;&gt;0,$A21&lt;&gt;""),LOOKUP(A21,Load_Switch_NFET[PARTNUMBER],Load_Switch_NFET[TI_EQ_PACKAGE]),"")</f>
        <v>SON5X6</v>
      </c>
      <c r="AP21" s="6" t="str">
        <f t="shared" si="19"/>
        <v>CSD16404Q5A, SON5X6, 0.034W, $0.319</v>
      </c>
    </row>
    <row r="22" spans="1:42" ht="30" x14ac:dyDescent="0.25">
      <c r="A22" s="6" t="str">
        <f>IF(CH="N",NLogic!B22,"")</f>
        <v>CSD16406Q3</v>
      </c>
      <c r="B22" s="23" t="str">
        <f>IF(OR($A22=0,$A22=""),"0",IF(LOOKUP($A22,Load_Switch_NFET[PARTNUMBER],Load_Switch_NFET[RDSON18])="(NULL)","0","1"))</f>
        <v>0</v>
      </c>
      <c r="C22" s="8" t="str">
        <f>IF(OR($A22=0,$A22=""),"0",IF(LOOKUP($A22,Load_Switch_NFET[PARTNUMBER],Load_Switch_NFET[RDSON25])="(NULL)","0","1"))</f>
        <v>0</v>
      </c>
      <c r="D22" s="9" t="str">
        <f>IF(OR($A22=0,$A22=""),"0",IF(LOOKUP($A22,Load_Switch_NFET[PARTNUMBER],Load_Switch_NFET[RDSON3])="(NULL)","0","1"))</f>
        <v>0</v>
      </c>
      <c r="E22" s="11" t="str">
        <f>IF(OR($A22=0,$A22=""),"0",IF(LOOKUP($A22,Load_Switch_NFET[PARTNUMBER],Load_Switch_NFET[RDSON45])="(NULL)","0","1"))</f>
        <v>1</v>
      </c>
      <c r="F22" s="16" t="str">
        <f>IF(OR($A22=0,$A22=""),"0",IF(LOOKUP($A22,Load_Switch_NFET[PARTNUMBER],Load_Switch_NFET[RDSON6])="(NULL)","0","1"))</f>
        <v>0</v>
      </c>
      <c r="G22" s="3" t="str">
        <f>IF(OR($A22=0,$A22=""),"0",IF(LOOKUP($A22,Load_Switch_NFET[PARTNUMBER],Load_Switch_NFET[RDSON8])="(NULL)","0","1"))</f>
        <v>1</v>
      </c>
      <c r="H22" s="14" t="str">
        <f>IF(OR($A22=0,$A22=""),"0",IF(LOOKUP($A22,Load_Switch_NFET[PARTNUMBER],Load_Switch_NFET[RDSON10])="(NULL)","0","1"))</f>
        <v>1</v>
      </c>
      <c r="I22" s="24" t="b">
        <f t="shared" si="10"/>
        <v>0</v>
      </c>
      <c r="J22" s="7" t="b">
        <f t="shared" si="11"/>
        <v>0</v>
      </c>
      <c r="K22" s="10" t="b">
        <f t="shared" si="12"/>
        <v>0</v>
      </c>
      <c r="L22" s="12" t="b">
        <f t="shared" si="13"/>
        <v>1</v>
      </c>
      <c r="M22" s="17" t="b">
        <f t="shared" si="14"/>
        <v>0</v>
      </c>
      <c r="N22" s="13" t="b">
        <f t="shared" si="15"/>
        <v>0</v>
      </c>
      <c r="O22" s="15" t="b">
        <f t="shared" si="16"/>
        <v>0</v>
      </c>
      <c r="P22" s="18" t="b">
        <f t="shared" si="17"/>
        <v>1</v>
      </c>
      <c r="Q22" s="24" t="b">
        <f t="shared" si="20"/>
        <v>0</v>
      </c>
      <c r="R22" s="7" t="b">
        <f t="shared" si="21"/>
        <v>0</v>
      </c>
      <c r="S22" s="10" t="b">
        <f t="shared" si="1"/>
        <v>0</v>
      </c>
      <c r="T22" s="12" t="b">
        <f t="shared" si="2"/>
        <v>1</v>
      </c>
      <c r="U22" s="17" t="b">
        <f t="shared" si="3"/>
        <v>0</v>
      </c>
      <c r="V22" s="13" t="b">
        <f t="shared" si="4"/>
        <v>0</v>
      </c>
      <c r="W22" s="15" t="b">
        <f t="shared" si="5"/>
        <v>0</v>
      </c>
      <c r="X22" s="6">
        <f>IF(W22,LOOKUP(A22,Load_Switch_NFET[PARTNUMBER],Load_Switch_NFET[RDSON10])*1000,IF(V22,LOOKUP(A22,Load_Switch_NFET[PARTNUMBER],Load_Switch_NFET[RDSON8])*1000,IF(U22,LOOKUP(A22,Load_Switch_NFET[PARTNUMBER],Load_Switch_NFET[RDSON6])*1000,IF(T22,LOOKUP(A22,Load_Switch_NFET[PARTNUMBER],Load_Switch_NFET[RDSON45])*1000,IF(S22,LOOKUP(A22,Load_Switch_NFET[PARTNUMBER],Load_Switch_NFET[RDSON3])*1000,IF(R22,LOOKUP(A22,Load_Switch_NFET[PARTNUMBER],Load_Switch_NFET[RDSON25])*1000,IF(Q22,LOOKUP(A22,Load_Switch_NFET[PARTNUMBER],Load_Switch_NFET[RDSON18])*1000,"")))))))</f>
        <v>7.4</v>
      </c>
      <c r="Y22" s="19">
        <f>IF(AND(A22&lt;&gt;0,A22&lt;&gt;""),X22*(1+(Tj-25)*(LOOKUP(A22,Load_Switch_NFET[PARTNUMBER],Load_Switch_NFET[RDSDELTA])/((LOOKUP(A22,Load_Switch_NFET[PARTNUMBER],Load_Switch_NFET[TJMAX])-25)))),"")</f>
        <v>8.6135999999999999</v>
      </c>
      <c r="Z22" s="6">
        <f>IF(AND(A22&lt;&gt;0,A22&lt;&gt;""),LOOKUP(A22,Load_Switch_NFET[PARTNUMBER],Load_Switch_NFET[VTHMAX]),"")</f>
        <v>2.2000000000000002</v>
      </c>
      <c r="AA22" s="6">
        <f>IF(AND(A22&lt;&gt;0,A22&lt;&gt;""),LOOKUP(A22,Load_Switch_NFET[PARTNUMBER],Load_Switch_NFET[VTHMIN]),"")</f>
        <v>1.4</v>
      </c>
      <c r="AB22" s="6">
        <f t="shared" si="18"/>
        <v>4.5</v>
      </c>
      <c r="AC22" s="6">
        <f>IF(AND(A22&lt;&gt;0,A22&lt;&gt;""),LOOKUP(A22,Load_Switch_NFET[PARTNUMBER],Load_Switch_NFET[RGIMAX]),"")</f>
        <v>2.4</v>
      </c>
      <c r="AD22" s="6">
        <f>IF(AND($A22&lt;&gt;0,$A22&lt;&gt;""),LOOKUP($A22,Load_Switch_NFET[PARTNUMBER],Load_Switch_NFET[QGTYP]),"")</f>
        <v>5.8</v>
      </c>
      <c r="AE22" s="6">
        <f>IF(AND($A22&lt;&gt;0,$A22&lt;&gt;""),LOOKUP($A22,Load_Switch_NFET[PARTNUMBER],Load_Switch_NFET[QGS]),"")</f>
        <v>2.5</v>
      </c>
      <c r="AF22" s="6">
        <f>IF(AND($A22&lt;&gt;0,$A22&lt;&gt;""),LOOKUP($A22,Load_Switch_NFET[PARTNUMBER],Load_Switch_NFET[QGD]),"")</f>
        <v>1.5</v>
      </c>
      <c r="AG22" s="6">
        <f>IF(AND($A22&lt;&gt;0,$A22&lt;&gt;""),LOOKUP($A22,Load_Switch_NFET[PARTNUMBER],Load_Switch_NFET[QGTH]),"")</f>
        <v>1.5</v>
      </c>
      <c r="AH22" s="6">
        <f>IF(AND($A22&lt;&gt;0,$A22&lt;&gt;""),LOOKUP($A22,Load_Switch_NFET[PARTNUMBER],Load_Switch_NFET[VMILLER]),"")</f>
        <v>2.996</v>
      </c>
      <c r="AI22" s="6">
        <f>IF(AND($A22&lt;&gt;0,$A22&lt;&gt;""),LOOKUP($A22,Load_Switch_NFET[PARTNUMBER],Load_Switch_NFET[COSS_AT_VDSSPEC]),"")</f>
        <v>0.7</v>
      </c>
      <c r="AJ22" s="6">
        <f t="shared" si="6"/>
        <v>2.5</v>
      </c>
      <c r="AK22" s="6">
        <f t="shared" si="7"/>
        <v>1.8</v>
      </c>
      <c r="AL22" s="6">
        <f t="shared" si="8"/>
        <v>3.4454400000000003E-2</v>
      </c>
      <c r="AM22" s="49">
        <f t="shared" si="9"/>
        <v>3.4000000000000002E-2</v>
      </c>
      <c r="AN22" s="46">
        <f>IF(AND($A22&lt;&gt;0,$A22&lt;&gt;""),LOOKUP($A22,Load_Switch_NFET[PARTNUMBER],Load_Switch_NFET[1KPRICE]),"")</f>
        <v>0.33900000000000002</v>
      </c>
      <c r="AO22" s="6" t="str">
        <f>IF(AND($A22&lt;&gt;0,$A22&lt;&gt;""),LOOKUP(A22,Load_Switch_NFET[PARTNUMBER],Load_Switch_NFET[TI_EQ_PACKAGE]),"")</f>
        <v>SON3X3</v>
      </c>
      <c r="AP22" s="6" t="str">
        <f t="shared" si="19"/>
        <v>CSD16406Q3, SON3X3, 0.034W, $0.339</v>
      </c>
    </row>
    <row r="23" spans="1:42" ht="30" x14ac:dyDescent="0.25">
      <c r="A23" s="6" t="str">
        <f>IF(CH="N",NLogic!B23,"")</f>
        <v>CSD16407Q5</v>
      </c>
      <c r="B23" s="23" t="str">
        <f>IF(OR($A23=0,$A23=""),"0",IF(LOOKUP($A23,Load_Switch_NFET[PARTNUMBER],Load_Switch_NFET[RDSON18])="(NULL)","0","1"))</f>
        <v>0</v>
      </c>
      <c r="C23" s="8" t="str">
        <f>IF(OR($A23=0,$A23=""),"0",IF(LOOKUP($A23,Load_Switch_NFET[PARTNUMBER],Load_Switch_NFET[RDSON25])="(NULL)","0","1"))</f>
        <v>0</v>
      </c>
      <c r="D23" s="9" t="str">
        <f>IF(OR($A23=0,$A23=""),"0",IF(LOOKUP($A23,Load_Switch_NFET[PARTNUMBER],Load_Switch_NFET[RDSON3])="(NULL)","0","1"))</f>
        <v>0</v>
      </c>
      <c r="E23" s="11" t="str">
        <f>IF(OR($A23=0,$A23=""),"0",IF(LOOKUP($A23,Load_Switch_NFET[PARTNUMBER],Load_Switch_NFET[RDSON45])="(NULL)","0","1"))</f>
        <v>1</v>
      </c>
      <c r="F23" s="16" t="str">
        <f>IF(OR($A23=0,$A23=""),"0",IF(LOOKUP($A23,Load_Switch_NFET[PARTNUMBER],Load_Switch_NFET[RDSON6])="(NULL)","0","1"))</f>
        <v>0</v>
      </c>
      <c r="G23" s="3" t="str">
        <f>IF(OR($A23=0,$A23=""),"0",IF(LOOKUP($A23,Load_Switch_NFET[PARTNUMBER],Load_Switch_NFET[RDSON8])="(NULL)","0","1"))</f>
        <v>0</v>
      </c>
      <c r="H23" s="14" t="str">
        <f>IF(OR($A23=0,$A23=""),"0",IF(LOOKUP($A23,Load_Switch_NFET[PARTNUMBER],Load_Switch_NFET[RDSON10])="(NULL)","0","1"))</f>
        <v>1</v>
      </c>
      <c r="I23" s="24" t="b">
        <f t="shared" si="10"/>
        <v>0</v>
      </c>
      <c r="J23" s="7" t="b">
        <f t="shared" si="11"/>
        <v>0</v>
      </c>
      <c r="K23" s="10" t="b">
        <f t="shared" si="12"/>
        <v>0</v>
      </c>
      <c r="L23" s="12" t="b">
        <f t="shared" si="13"/>
        <v>1</v>
      </c>
      <c r="M23" s="17" t="b">
        <f t="shared" si="14"/>
        <v>0</v>
      </c>
      <c r="N23" s="13" t="b">
        <f t="shared" si="15"/>
        <v>0</v>
      </c>
      <c r="O23" s="15" t="b">
        <f t="shared" si="16"/>
        <v>0</v>
      </c>
      <c r="P23" s="18" t="b">
        <f t="shared" si="17"/>
        <v>1</v>
      </c>
      <c r="Q23" s="24" t="b">
        <f t="shared" si="20"/>
        <v>0</v>
      </c>
      <c r="R23" s="7" t="b">
        <f t="shared" si="21"/>
        <v>0</v>
      </c>
      <c r="S23" s="10" t="b">
        <f t="shared" si="1"/>
        <v>0</v>
      </c>
      <c r="T23" s="12" t="b">
        <f t="shared" si="2"/>
        <v>1</v>
      </c>
      <c r="U23" s="17" t="b">
        <f t="shared" si="3"/>
        <v>0</v>
      </c>
      <c r="V23" s="13" t="b">
        <f t="shared" si="4"/>
        <v>0</v>
      </c>
      <c r="W23" s="15" t="b">
        <f t="shared" si="5"/>
        <v>0</v>
      </c>
      <c r="X23" s="6">
        <f>IF(W23,LOOKUP(A23,Load_Switch_NFET[PARTNUMBER],Load_Switch_NFET[RDSON10])*1000,IF(V23,LOOKUP(A23,Load_Switch_NFET[PARTNUMBER],Load_Switch_NFET[RDSON8])*1000,IF(U23,LOOKUP(A23,Load_Switch_NFET[PARTNUMBER],Load_Switch_NFET[RDSON6])*1000,IF(T23,LOOKUP(A23,Load_Switch_NFET[PARTNUMBER],Load_Switch_NFET[RDSON45])*1000,IF(S23,LOOKUP(A23,Load_Switch_NFET[PARTNUMBER],Load_Switch_NFET[RDSON3])*1000,IF(R23,LOOKUP(A23,Load_Switch_NFET[PARTNUMBER],Load_Switch_NFET[RDSON25])*1000,IF(Q23,LOOKUP(A23,Load_Switch_NFET[PARTNUMBER],Load_Switch_NFET[RDSON18])*1000,"")))))))</f>
        <v>3.3</v>
      </c>
      <c r="Y23" s="19">
        <f>IF(AND(A23&lt;&gt;0,A23&lt;&gt;""),X23*(1+(Tj-25)*(LOOKUP(A23,Load_Switch_NFET[PARTNUMBER],Load_Switch_NFET[RDSDELTA])/((LOOKUP(A23,Load_Switch_NFET[PARTNUMBER],Load_Switch_NFET[TJMAX])-25)))),"")</f>
        <v>3.8543999999999996</v>
      </c>
      <c r="Z23" s="6">
        <f>IF(AND(A23&lt;&gt;0,A23&lt;&gt;""),LOOKUP(A23,Load_Switch_NFET[PARTNUMBER],Load_Switch_NFET[VTHMAX]),"")</f>
        <v>1.9</v>
      </c>
      <c r="AA23" s="6">
        <f>IF(AND(A23&lt;&gt;0,A23&lt;&gt;""),LOOKUP(A23,Load_Switch_NFET[PARTNUMBER],Load_Switch_NFET[VTHMIN]),"")</f>
        <v>1.3</v>
      </c>
      <c r="AB23" s="6">
        <f t="shared" si="18"/>
        <v>4.5</v>
      </c>
      <c r="AC23" s="6">
        <f>IF(AND(A23&lt;&gt;0,A23&lt;&gt;""),LOOKUP(A23,Load_Switch_NFET[PARTNUMBER],Load_Switch_NFET[RGIMAX]),"")</f>
        <v>2.4</v>
      </c>
      <c r="AD23" s="6">
        <f>IF(AND($A23&lt;&gt;0,$A23&lt;&gt;""),LOOKUP($A23,Load_Switch_NFET[PARTNUMBER],Load_Switch_NFET[QGTYP]),"")</f>
        <v>13.3</v>
      </c>
      <c r="AE23" s="6">
        <f>IF(AND($A23&lt;&gt;0,$A23&lt;&gt;""),LOOKUP($A23,Load_Switch_NFET[PARTNUMBER],Load_Switch_NFET[QGS]),"")</f>
        <v>5.3</v>
      </c>
      <c r="AF23" s="6">
        <f>IF(AND($A23&lt;&gt;0,$A23&lt;&gt;""),LOOKUP($A23,Load_Switch_NFET[PARTNUMBER],Load_Switch_NFET[QGD]),"")</f>
        <v>3.5</v>
      </c>
      <c r="AG23" s="6">
        <f>IF(AND($A23&lt;&gt;0,$A23&lt;&gt;""),LOOKUP($A23,Load_Switch_NFET[PARTNUMBER],Load_Switch_NFET[QGTH]),"")</f>
        <v>3.1</v>
      </c>
      <c r="AH23" s="6">
        <f>IF(AND($A23&lt;&gt;0,$A23&lt;&gt;""),LOOKUP($A23,Load_Switch_NFET[PARTNUMBER],Load_Switch_NFET[VMILLER]),"")</f>
        <v>2.7970000000000002</v>
      </c>
      <c r="AI23" s="6">
        <f>IF(AND($A23&lt;&gt;0,$A23&lt;&gt;""),LOOKUP($A23,Load_Switch_NFET[PARTNUMBER],Load_Switch_NFET[COSS_AT_VDSSPEC]),"")</f>
        <v>1.6</v>
      </c>
      <c r="AJ23" s="6">
        <f t="shared" si="6"/>
        <v>5.7000000000000011</v>
      </c>
      <c r="AK23" s="6">
        <f t="shared" si="7"/>
        <v>1.6</v>
      </c>
      <c r="AL23" s="6">
        <f t="shared" si="8"/>
        <v>1.5417599999999998E-2</v>
      </c>
      <c r="AM23" s="49">
        <f t="shared" si="9"/>
        <v>1.4999999999999999E-2</v>
      </c>
      <c r="AN23" s="46">
        <f>IF(AND($A23&lt;&gt;0,$A23&lt;&gt;""),LOOKUP($A23,Load_Switch_NFET[PARTNUMBER],Load_Switch_NFET[1KPRICE]),"")</f>
        <v>0.59499999999999997</v>
      </c>
      <c r="AO23" s="6" t="str">
        <f>IF(AND($A23&lt;&gt;0,$A23&lt;&gt;""),LOOKUP(A23,Load_Switch_NFET[PARTNUMBER],Load_Switch_NFET[TI_EQ_PACKAGE]),"")</f>
        <v>SON5X6</v>
      </c>
      <c r="AP23" s="6" t="str">
        <f t="shared" si="19"/>
        <v>CSD16407Q5, SON5X6, 0.015W, $0.595</v>
      </c>
    </row>
    <row r="24" spans="1:42" ht="30" x14ac:dyDescent="0.25">
      <c r="A24" s="6" t="str">
        <f>IF(CH="N",NLogic!B24,"")</f>
        <v>CSD16408Q5</v>
      </c>
      <c r="B24" s="23" t="str">
        <f>IF(OR($A24=0,$A24=""),"0",IF(LOOKUP($A24,Load_Switch_NFET[PARTNUMBER],Load_Switch_NFET[RDSON18])="(NULL)","0","1"))</f>
        <v>0</v>
      </c>
      <c r="C24" s="8" t="str">
        <f>IF(OR($A24=0,$A24=""),"0",IF(LOOKUP($A24,Load_Switch_NFET[PARTNUMBER],Load_Switch_NFET[RDSON25])="(NULL)","0","1"))</f>
        <v>0</v>
      </c>
      <c r="D24" s="9" t="str">
        <f>IF(OR($A24=0,$A24=""),"0",IF(LOOKUP($A24,Load_Switch_NFET[PARTNUMBER],Load_Switch_NFET[RDSON3])="(NULL)","0","1"))</f>
        <v>0</v>
      </c>
      <c r="E24" s="11" t="str">
        <f>IF(OR($A24=0,$A24=""),"0",IF(LOOKUP($A24,Load_Switch_NFET[PARTNUMBER],Load_Switch_NFET[RDSON45])="(NULL)","0","1"))</f>
        <v>1</v>
      </c>
      <c r="F24" s="16" t="str">
        <f>IF(OR($A24=0,$A24=""),"0",IF(LOOKUP($A24,Load_Switch_NFET[PARTNUMBER],Load_Switch_NFET[RDSON6])="(NULL)","0","1"))</f>
        <v>0</v>
      </c>
      <c r="G24" s="3" t="str">
        <f>IF(OR($A24=0,$A24=""),"0",IF(LOOKUP($A24,Load_Switch_NFET[PARTNUMBER],Load_Switch_NFET[RDSON8])="(NULL)","0","1"))</f>
        <v>0</v>
      </c>
      <c r="H24" s="14" t="str">
        <f>IF(OR($A24=0,$A24=""),"0",IF(LOOKUP($A24,Load_Switch_NFET[PARTNUMBER],Load_Switch_NFET[RDSON10])="(NULL)","0","1"))</f>
        <v>1</v>
      </c>
      <c r="I24" s="24" t="b">
        <f t="shared" si="10"/>
        <v>0</v>
      </c>
      <c r="J24" s="7" t="b">
        <f t="shared" si="11"/>
        <v>0</v>
      </c>
      <c r="K24" s="10" t="b">
        <f t="shared" si="12"/>
        <v>0</v>
      </c>
      <c r="L24" s="12" t="b">
        <f t="shared" si="13"/>
        <v>1</v>
      </c>
      <c r="M24" s="17" t="b">
        <f t="shared" si="14"/>
        <v>0</v>
      </c>
      <c r="N24" s="13" t="b">
        <f t="shared" si="15"/>
        <v>0</v>
      </c>
      <c r="O24" s="15" t="b">
        <f t="shared" si="16"/>
        <v>0</v>
      </c>
      <c r="P24" s="18" t="b">
        <f t="shared" si="17"/>
        <v>1</v>
      </c>
      <c r="Q24" s="24" t="b">
        <f t="shared" si="20"/>
        <v>0</v>
      </c>
      <c r="R24" s="7" t="b">
        <f t="shared" si="21"/>
        <v>0</v>
      </c>
      <c r="S24" s="10" t="b">
        <f t="shared" si="1"/>
        <v>0</v>
      </c>
      <c r="T24" s="12" t="b">
        <f t="shared" si="2"/>
        <v>1</v>
      </c>
      <c r="U24" s="17" t="b">
        <f t="shared" si="3"/>
        <v>0</v>
      </c>
      <c r="V24" s="13" t="b">
        <f t="shared" si="4"/>
        <v>0</v>
      </c>
      <c r="W24" s="15" t="b">
        <f t="shared" si="5"/>
        <v>0</v>
      </c>
      <c r="X24" s="6">
        <f>IF(W24,LOOKUP(A24,Load_Switch_NFET[PARTNUMBER],Load_Switch_NFET[RDSON10])*1000,IF(V24,LOOKUP(A24,Load_Switch_NFET[PARTNUMBER],Load_Switch_NFET[RDSON8])*1000,IF(U24,LOOKUP(A24,Load_Switch_NFET[PARTNUMBER],Load_Switch_NFET[RDSON6])*1000,IF(T24,LOOKUP(A24,Load_Switch_NFET[PARTNUMBER],Load_Switch_NFET[RDSON45])*1000,IF(S24,LOOKUP(A24,Load_Switch_NFET[PARTNUMBER],Load_Switch_NFET[RDSON3])*1000,IF(R24,LOOKUP(A24,Load_Switch_NFET[PARTNUMBER],Load_Switch_NFET[RDSON25])*1000,IF(Q24,LOOKUP(A24,Load_Switch_NFET[PARTNUMBER],Load_Switch_NFET[RDSON18])*1000,"")))))))</f>
        <v>6.8</v>
      </c>
      <c r="Y24" s="19">
        <f>IF(AND(A24&lt;&gt;0,A24&lt;&gt;""),X24*(1+(Tj-25)*(LOOKUP(A24,Load_Switch_NFET[PARTNUMBER],Load_Switch_NFET[RDSDELTA])/((LOOKUP(A24,Load_Switch_NFET[PARTNUMBER],Load_Switch_NFET[TJMAX])-25)))),"")</f>
        <v>8.1327999999999996</v>
      </c>
      <c r="Z24" s="6">
        <f>IF(AND(A24&lt;&gt;0,A24&lt;&gt;""),LOOKUP(A24,Load_Switch_NFET[PARTNUMBER],Load_Switch_NFET[VTHMAX]),"")</f>
        <v>2.1</v>
      </c>
      <c r="AA24" s="6">
        <f>IF(AND(A24&lt;&gt;0,A24&lt;&gt;""),LOOKUP(A24,Load_Switch_NFET[PARTNUMBER],Load_Switch_NFET[VTHMIN]),"")</f>
        <v>1.4</v>
      </c>
      <c r="AB24" s="6">
        <f t="shared" si="18"/>
        <v>4.5</v>
      </c>
      <c r="AC24" s="6">
        <f>IF(AND(A24&lt;&gt;0,A24&lt;&gt;""),LOOKUP(A24,Load_Switch_NFET[PARTNUMBER],Load_Switch_NFET[RGIMAX]),"")</f>
        <v>1.6</v>
      </c>
      <c r="AD24" s="6">
        <f>IF(AND($A24&lt;&gt;0,$A24&lt;&gt;""),LOOKUP($A24,Load_Switch_NFET[PARTNUMBER],Load_Switch_NFET[QGTYP]),"")</f>
        <v>6.7</v>
      </c>
      <c r="AE24" s="6">
        <f>IF(AND($A24&lt;&gt;0,$A24&lt;&gt;""),LOOKUP($A24,Load_Switch_NFET[PARTNUMBER],Load_Switch_NFET[QGS]),"")</f>
        <v>3.1</v>
      </c>
      <c r="AF24" s="6">
        <f>IF(AND($A24&lt;&gt;0,$A24&lt;&gt;""),LOOKUP($A24,Load_Switch_NFET[PARTNUMBER],Load_Switch_NFET[QGD]),"")</f>
        <v>1.9</v>
      </c>
      <c r="AG24" s="6">
        <f>IF(AND($A24&lt;&gt;0,$A24&lt;&gt;""),LOOKUP($A24,Load_Switch_NFET[PARTNUMBER],Load_Switch_NFET[QGTH]),"")</f>
        <v>1.8</v>
      </c>
      <c r="AH24" s="6">
        <f>IF(AND($A24&lt;&gt;0,$A24&lt;&gt;""),LOOKUP($A24,Load_Switch_NFET[PARTNUMBER],Load_Switch_NFET[VMILLER]),"")</f>
        <v>3.2</v>
      </c>
      <c r="AI24" s="6">
        <f>IF(AND($A24&lt;&gt;0,$A24&lt;&gt;""),LOOKUP($A24,Load_Switch_NFET[PARTNUMBER],Load_Switch_NFET[COSS_AT_VDSSPEC]),"")</f>
        <v>0.76</v>
      </c>
      <c r="AJ24" s="6">
        <f t="shared" si="6"/>
        <v>3.2</v>
      </c>
      <c r="AK24" s="6">
        <f t="shared" si="7"/>
        <v>1.75</v>
      </c>
      <c r="AL24" s="6">
        <f t="shared" si="8"/>
        <v>3.2531199999999996E-2</v>
      </c>
      <c r="AM24" s="49">
        <f t="shared" si="9"/>
        <v>3.3000000000000002E-2</v>
      </c>
      <c r="AN24" s="46">
        <f>IF(AND($A24&lt;&gt;0,$A24&lt;&gt;""),LOOKUP($A24,Load_Switch_NFET[PARTNUMBER],Load_Switch_NFET[1KPRICE]),"")</f>
        <v>0.45900000000000002</v>
      </c>
      <c r="AO24" s="6" t="str">
        <f>IF(AND($A24&lt;&gt;0,$A24&lt;&gt;""),LOOKUP(A24,Load_Switch_NFET[PARTNUMBER],Load_Switch_NFET[TI_EQ_PACKAGE]),"")</f>
        <v>SON5X6</v>
      </c>
      <c r="AP24" s="6" t="str">
        <f t="shared" si="19"/>
        <v>CSD16408Q5, SON5X6, 0.033W, $0.459</v>
      </c>
    </row>
    <row r="25" spans="1:42" ht="30" x14ac:dyDescent="0.25">
      <c r="A25" s="6" t="str">
        <f>IF(CH="N",NLogic!B25,"")</f>
        <v>CSD16409Q3</v>
      </c>
      <c r="B25" s="23" t="str">
        <f>IF(OR($A25=0,$A25=""),"0",IF(LOOKUP($A25,Load_Switch_NFET[PARTNUMBER],Load_Switch_NFET[RDSON18])="(NULL)","0","1"))</f>
        <v>0</v>
      </c>
      <c r="C25" s="8" t="str">
        <f>IF(OR($A25=0,$A25=""),"0",IF(LOOKUP($A25,Load_Switch_NFET[PARTNUMBER],Load_Switch_NFET[RDSON25])="(NULL)","0","1"))</f>
        <v>0</v>
      </c>
      <c r="D25" s="9" t="str">
        <f>IF(OR($A25=0,$A25=""),"0",IF(LOOKUP($A25,Load_Switch_NFET[PARTNUMBER],Load_Switch_NFET[RDSON3])="(NULL)","0","1"))</f>
        <v>0</v>
      </c>
      <c r="E25" s="11" t="str">
        <f>IF(OR($A25=0,$A25=""),"0",IF(LOOKUP($A25,Load_Switch_NFET[PARTNUMBER],Load_Switch_NFET[RDSON45])="(NULL)","0","1"))</f>
        <v>1</v>
      </c>
      <c r="F25" s="16" t="str">
        <f>IF(OR($A25=0,$A25=""),"0",IF(LOOKUP($A25,Load_Switch_NFET[PARTNUMBER],Load_Switch_NFET[RDSON6])="(NULL)","0","1"))</f>
        <v>0</v>
      </c>
      <c r="G25" s="3" t="str">
        <f>IF(OR($A25=0,$A25=""),"0",IF(LOOKUP($A25,Load_Switch_NFET[PARTNUMBER],Load_Switch_NFET[RDSON8])="(NULL)","0","1"))</f>
        <v>1</v>
      </c>
      <c r="H25" s="14" t="str">
        <f>IF(OR($A25=0,$A25=""),"0",IF(LOOKUP($A25,Load_Switch_NFET[PARTNUMBER],Load_Switch_NFET[RDSON10])="(NULL)","0","1"))</f>
        <v>1</v>
      </c>
      <c r="I25" s="24" t="b">
        <f t="shared" si="10"/>
        <v>0</v>
      </c>
      <c r="J25" s="7" t="b">
        <f t="shared" si="11"/>
        <v>0</v>
      </c>
      <c r="K25" s="10" t="b">
        <f t="shared" si="12"/>
        <v>0</v>
      </c>
      <c r="L25" s="12" t="b">
        <f t="shared" si="13"/>
        <v>1</v>
      </c>
      <c r="M25" s="17" t="b">
        <f t="shared" si="14"/>
        <v>0</v>
      </c>
      <c r="N25" s="13" t="b">
        <f t="shared" si="15"/>
        <v>0</v>
      </c>
      <c r="O25" s="15" t="b">
        <f t="shared" si="16"/>
        <v>0</v>
      </c>
      <c r="P25" s="18" t="b">
        <f t="shared" si="17"/>
        <v>1</v>
      </c>
      <c r="Q25" s="24" t="b">
        <f t="shared" si="20"/>
        <v>0</v>
      </c>
      <c r="R25" s="7" t="b">
        <f t="shared" si="21"/>
        <v>0</v>
      </c>
      <c r="S25" s="10" t="b">
        <f t="shared" si="1"/>
        <v>0</v>
      </c>
      <c r="T25" s="12" t="b">
        <f t="shared" si="2"/>
        <v>1</v>
      </c>
      <c r="U25" s="17" t="b">
        <f t="shared" si="3"/>
        <v>0</v>
      </c>
      <c r="V25" s="13" t="b">
        <f t="shared" si="4"/>
        <v>0</v>
      </c>
      <c r="W25" s="15" t="b">
        <f t="shared" si="5"/>
        <v>0</v>
      </c>
      <c r="X25" s="6">
        <f>IF(W25,LOOKUP(A25,Load_Switch_NFET[PARTNUMBER],Load_Switch_NFET[RDSON10])*1000,IF(V25,LOOKUP(A25,Load_Switch_NFET[PARTNUMBER],Load_Switch_NFET[RDSON8])*1000,IF(U25,LOOKUP(A25,Load_Switch_NFET[PARTNUMBER],Load_Switch_NFET[RDSON6])*1000,IF(T25,LOOKUP(A25,Load_Switch_NFET[PARTNUMBER],Load_Switch_NFET[RDSON45])*1000,IF(S25,LOOKUP(A25,Load_Switch_NFET[PARTNUMBER],Load_Switch_NFET[RDSON3])*1000,IF(R25,LOOKUP(A25,Load_Switch_NFET[PARTNUMBER],Load_Switch_NFET[RDSON25])*1000,IF(Q25,LOOKUP(A25,Load_Switch_NFET[PARTNUMBER],Load_Switch_NFET[RDSON18])*1000,"")))))))</f>
        <v>12.4</v>
      </c>
      <c r="Y25" s="19">
        <f>IF(AND(A25&lt;&gt;0,A25&lt;&gt;""),X25*(1+(Tj-25)*(LOOKUP(A25,Load_Switch_NFET[PARTNUMBER],Load_Switch_NFET[RDSDELTA])/((LOOKUP(A25,Load_Switch_NFET[PARTNUMBER],Load_Switch_NFET[TJMAX])-25)))),"")</f>
        <v>14.632</v>
      </c>
      <c r="Z25" s="6">
        <f>IF(AND(A25&lt;&gt;0,A25&lt;&gt;""),LOOKUP(A25,Load_Switch_NFET[PARTNUMBER],Load_Switch_NFET[VTHMAX]),"")</f>
        <v>2.2999999999999998</v>
      </c>
      <c r="AA25" s="6">
        <f>IF(AND(A25&lt;&gt;0,A25&lt;&gt;""),LOOKUP(A25,Load_Switch_NFET[PARTNUMBER],Load_Switch_NFET[VTHMIN]),"")</f>
        <v>1.7</v>
      </c>
      <c r="AB25" s="6">
        <f t="shared" si="18"/>
        <v>4.5</v>
      </c>
      <c r="AC25" s="6">
        <f>IF(AND(A25&lt;&gt;0,A25&lt;&gt;""),LOOKUP(A25,Load_Switch_NFET[PARTNUMBER],Load_Switch_NFET[RGIMAX]),"")</f>
        <v>1.8</v>
      </c>
      <c r="AD25" s="6">
        <f>IF(AND($A25&lt;&gt;0,$A25&lt;&gt;""),LOOKUP($A25,Load_Switch_NFET[PARTNUMBER],Load_Switch_NFET[QGTYP]),"")</f>
        <v>4</v>
      </c>
      <c r="AE25" s="6">
        <f>IF(AND($A25&lt;&gt;0,$A25&lt;&gt;""),LOOKUP($A25,Load_Switch_NFET[PARTNUMBER],Load_Switch_NFET[QGS]),"")</f>
        <v>2.1</v>
      </c>
      <c r="AF25" s="6">
        <f>IF(AND($A25&lt;&gt;0,$A25&lt;&gt;""),LOOKUP($A25,Load_Switch_NFET[PARTNUMBER],Load_Switch_NFET[QGD]),"")</f>
        <v>1</v>
      </c>
      <c r="AG25" s="6">
        <f>IF(AND($A25&lt;&gt;0,$A25&lt;&gt;""),LOOKUP($A25,Load_Switch_NFET[PARTNUMBER],Load_Switch_NFET[QGTH]),"")</f>
        <v>1.1000000000000001</v>
      </c>
      <c r="AH25" s="6">
        <f>IF(AND($A25&lt;&gt;0,$A25&lt;&gt;""),LOOKUP($A25,Load_Switch_NFET[PARTNUMBER],Load_Switch_NFET[VMILLER]),"")</f>
        <v>3.47</v>
      </c>
      <c r="AI25" s="6">
        <f>IF(AND($A25&lt;&gt;0,$A25&lt;&gt;""),LOOKUP($A25,Load_Switch_NFET[PARTNUMBER],Load_Switch_NFET[COSS_AT_VDSSPEC]),"")</f>
        <v>0.48</v>
      </c>
      <c r="AJ25" s="6">
        <f t="shared" si="6"/>
        <v>2</v>
      </c>
      <c r="AK25" s="6">
        <f t="shared" si="7"/>
        <v>2</v>
      </c>
      <c r="AL25" s="6">
        <f t="shared" si="8"/>
        <v>5.8527999999999997E-2</v>
      </c>
      <c r="AM25" s="49">
        <f t="shared" si="9"/>
        <v>5.8999999999999997E-2</v>
      </c>
      <c r="AN25" s="46">
        <f>IF(AND($A25&lt;&gt;0,$A25&lt;&gt;""),LOOKUP($A25,Load_Switch_NFET[PARTNUMBER],Load_Switch_NFET[1KPRICE]),"")</f>
        <v>0.29299999999999998</v>
      </c>
      <c r="AO25" s="6" t="str">
        <f>IF(AND($A25&lt;&gt;0,$A25&lt;&gt;""),LOOKUP(A25,Load_Switch_NFET[PARTNUMBER],Load_Switch_NFET[TI_EQ_PACKAGE]),"")</f>
        <v>SON3X3</v>
      </c>
      <c r="AP25" s="6" t="str">
        <f t="shared" si="19"/>
        <v>CSD16409Q3, SON3X3, 0.059W, $0.293</v>
      </c>
    </row>
    <row r="26" spans="1:42" ht="30" x14ac:dyDescent="0.25">
      <c r="A26" s="6" t="str">
        <f>IF(CH="N",NLogic!B26,"")</f>
        <v>CSD16410Q5A</v>
      </c>
      <c r="B26" s="23" t="str">
        <f>IF(OR($A26=0,$A26=""),"0",IF(LOOKUP($A26,Load_Switch_NFET[PARTNUMBER],Load_Switch_NFET[RDSON18])="(NULL)","0","1"))</f>
        <v>0</v>
      </c>
      <c r="C26" s="8" t="str">
        <f>IF(OR($A26=0,$A26=""),"0",IF(LOOKUP($A26,Load_Switch_NFET[PARTNUMBER],Load_Switch_NFET[RDSON25])="(NULL)","0","1"))</f>
        <v>0</v>
      </c>
      <c r="D26" s="9" t="str">
        <f>IF(OR($A26=0,$A26=""),"0",IF(LOOKUP($A26,Load_Switch_NFET[PARTNUMBER],Load_Switch_NFET[RDSON3])="(NULL)","0","1"))</f>
        <v>0</v>
      </c>
      <c r="E26" s="11" t="str">
        <f>IF(OR($A26=0,$A26=""),"0",IF(LOOKUP($A26,Load_Switch_NFET[PARTNUMBER],Load_Switch_NFET[RDSON45])="(NULL)","0","1"))</f>
        <v>1</v>
      </c>
      <c r="F26" s="16" t="str">
        <f>IF(OR($A26=0,$A26=""),"0",IF(LOOKUP($A26,Load_Switch_NFET[PARTNUMBER],Load_Switch_NFET[RDSON6])="(NULL)","0","1"))</f>
        <v>0</v>
      </c>
      <c r="G26" s="3" t="str">
        <f>IF(OR($A26=0,$A26=""),"0",IF(LOOKUP($A26,Load_Switch_NFET[PARTNUMBER],Load_Switch_NFET[RDSON8])="(NULL)","0","1"))</f>
        <v>0</v>
      </c>
      <c r="H26" s="14" t="str">
        <f>IF(OR($A26=0,$A26=""),"0",IF(LOOKUP($A26,Load_Switch_NFET[PARTNUMBER],Load_Switch_NFET[RDSON10])="(NULL)","0","1"))</f>
        <v>1</v>
      </c>
      <c r="I26" s="24" t="b">
        <f t="shared" si="10"/>
        <v>0</v>
      </c>
      <c r="J26" s="7" t="b">
        <f t="shared" si="11"/>
        <v>0</v>
      </c>
      <c r="K26" s="10" t="b">
        <f t="shared" si="12"/>
        <v>0</v>
      </c>
      <c r="L26" s="12" t="b">
        <f t="shared" si="13"/>
        <v>1</v>
      </c>
      <c r="M26" s="17" t="b">
        <f t="shared" si="14"/>
        <v>0</v>
      </c>
      <c r="N26" s="13" t="b">
        <f t="shared" si="15"/>
        <v>0</v>
      </c>
      <c r="O26" s="15" t="b">
        <f t="shared" si="16"/>
        <v>0</v>
      </c>
      <c r="P26" s="18" t="b">
        <f t="shared" si="17"/>
        <v>1</v>
      </c>
      <c r="Q26" s="24" t="b">
        <f t="shared" si="20"/>
        <v>0</v>
      </c>
      <c r="R26" s="7" t="b">
        <f t="shared" si="21"/>
        <v>0</v>
      </c>
      <c r="S26" s="10" t="b">
        <f t="shared" si="1"/>
        <v>0</v>
      </c>
      <c r="T26" s="12" t="b">
        <f t="shared" si="2"/>
        <v>1</v>
      </c>
      <c r="U26" s="17" t="b">
        <f t="shared" si="3"/>
        <v>0</v>
      </c>
      <c r="V26" s="13" t="b">
        <f t="shared" si="4"/>
        <v>0</v>
      </c>
      <c r="W26" s="15" t="b">
        <f t="shared" si="5"/>
        <v>0</v>
      </c>
      <c r="X26" s="6">
        <f>IF(W26,LOOKUP(A26,Load_Switch_NFET[PARTNUMBER],Load_Switch_NFET[RDSON10])*1000,IF(V26,LOOKUP(A26,Load_Switch_NFET[PARTNUMBER],Load_Switch_NFET[RDSON8])*1000,IF(U26,LOOKUP(A26,Load_Switch_NFET[PARTNUMBER],Load_Switch_NFET[RDSON6])*1000,IF(T26,LOOKUP(A26,Load_Switch_NFET[PARTNUMBER],Load_Switch_NFET[RDSON45])*1000,IF(S26,LOOKUP(A26,Load_Switch_NFET[PARTNUMBER],Load_Switch_NFET[RDSON3])*1000,IF(R26,LOOKUP(A26,Load_Switch_NFET[PARTNUMBER],Load_Switch_NFET[RDSON25])*1000,IF(Q26,LOOKUP(A26,Load_Switch_NFET[PARTNUMBER],Load_Switch_NFET[RDSON18])*1000,"")))))))</f>
        <v>12</v>
      </c>
      <c r="Y26" s="19">
        <f>IF(AND(A26&lt;&gt;0,A26&lt;&gt;""),X26*(1+(Tj-25)*(LOOKUP(A26,Load_Switch_NFET[PARTNUMBER],Load_Switch_NFET[RDSDELTA])/((LOOKUP(A26,Load_Switch_NFET[PARTNUMBER],Load_Switch_NFET[TJMAX])-25)))),"")</f>
        <v>14.064</v>
      </c>
      <c r="Z26" s="6">
        <f>IF(AND(A26&lt;&gt;0,A26&lt;&gt;""),LOOKUP(A26,Load_Switch_NFET[PARTNUMBER],Load_Switch_NFET[VTHMAX]),"")</f>
        <v>2.2999999999999998</v>
      </c>
      <c r="AA26" s="6">
        <f>IF(AND(A26&lt;&gt;0,A26&lt;&gt;""),LOOKUP(A26,Load_Switch_NFET[PARTNUMBER],Load_Switch_NFET[VTHMIN]),"")</f>
        <v>1.6</v>
      </c>
      <c r="AB26" s="6">
        <f t="shared" si="18"/>
        <v>4.5</v>
      </c>
      <c r="AC26" s="6">
        <f>IF(AND(A26&lt;&gt;0,A26&lt;&gt;""),LOOKUP(A26,Load_Switch_NFET[PARTNUMBER],Load_Switch_NFET[RGIMAX]),"")</f>
        <v>1.4</v>
      </c>
      <c r="AD26" s="6">
        <f>IF(AND($A26&lt;&gt;0,$A26&lt;&gt;""),LOOKUP($A26,Load_Switch_NFET[PARTNUMBER],Load_Switch_NFET[QGTYP]),"")</f>
        <v>3.9</v>
      </c>
      <c r="AE26" s="6">
        <f>IF(AND($A26&lt;&gt;0,$A26&lt;&gt;""),LOOKUP($A26,Load_Switch_NFET[PARTNUMBER],Load_Switch_NFET[QGS]),"")</f>
        <v>1.8</v>
      </c>
      <c r="AF26" s="6">
        <f>IF(AND($A26&lt;&gt;0,$A26&lt;&gt;""),LOOKUP($A26,Load_Switch_NFET[PARTNUMBER],Load_Switch_NFET[QGD]),"")</f>
        <v>1.1000000000000001</v>
      </c>
      <c r="AG26" s="6">
        <f>IF(AND($A26&lt;&gt;0,$A26&lt;&gt;""),LOOKUP($A26,Load_Switch_NFET[PARTNUMBER],Load_Switch_NFET[QGTH]),"")</f>
        <v>1.1000000000000001</v>
      </c>
      <c r="AH26" s="6">
        <f>IF(AND($A26&lt;&gt;0,$A26&lt;&gt;""),LOOKUP($A26,Load_Switch_NFET[PARTNUMBER],Load_Switch_NFET[VMILLER]),"")</f>
        <v>3.23</v>
      </c>
      <c r="AI26" s="6">
        <f>IF(AND($A26&lt;&gt;0,$A26&lt;&gt;""),LOOKUP($A26,Load_Switch_NFET[PARTNUMBER],Load_Switch_NFET[COSS_AT_VDSSPEC]),"")</f>
        <v>0.46</v>
      </c>
      <c r="AJ26" s="6">
        <f t="shared" si="6"/>
        <v>1.8000000000000003</v>
      </c>
      <c r="AK26" s="6">
        <f t="shared" si="7"/>
        <v>1.95</v>
      </c>
      <c r="AL26" s="6">
        <f t="shared" si="8"/>
        <v>5.6256E-2</v>
      </c>
      <c r="AM26" s="49">
        <f t="shared" si="9"/>
        <v>5.6000000000000001E-2</v>
      </c>
      <c r="AN26" s="46">
        <f>IF(AND($A26&lt;&gt;0,$A26&lt;&gt;""),LOOKUP($A26,Load_Switch_NFET[PARTNUMBER],Load_Switch_NFET[1KPRICE]),"")</f>
        <v>0.24399999999999999</v>
      </c>
      <c r="AO26" s="6" t="str">
        <f>IF(AND($A26&lt;&gt;0,$A26&lt;&gt;""),LOOKUP(A26,Load_Switch_NFET[PARTNUMBER],Load_Switch_NFET[TI_EQ_PACKAGE]),"")</f>
        <v>SON5X6</v>
      </c>
      <c r="AP26" s="6" t="str">
        <f t="shared" si="19"/>
        <v>CSD16410Q5A, SON5X6, 0.056W, $0.244</v>
      </c>
    </row>
    <row r="27" spans="1:42" x14ac:dyDescent="0.25">
      <c r="A27" s="6" t="str">
        <f>IF(CH="N",NLogic!B27,"")</f>
        <v>CSD16411Q3</v>
      </c>
      <c r="B27" s="23" t="str">
        <f>IF(OR($A27=0,$A27=""),"0",IF(LOOKUP($A27,Load_Switch_NFET[PARTNUMBER],Load_Switch_NFET[RDSON18])="(NULL)","0","1"))</f>
        <v>0</v>
      </c>
      <c r="C27" s="8" t="str">
        <f>IF(OR($A27=0,$A27=""),"0",IF(LOOKUP($A27,Load_Switch_NFET[PARTNUMBER],Load_Switch_NFET[RDSON25])="(NULL)","0","1"))</f>
        <v>0</v>
      </c>
      <c r="D27" s="9" t="str">
        <f>IF(OR($A27=0,$A27=""),"0",IF(LOOKUP($A27,Load_Switch_NFET[PARTNUMBER],Load_Switch_NFET[RDSON3])="(NULL)","0","1"))</f>
        <v>0</v>
      </c>
      <c r="E27" s="11" t="str">
        <f>IF(OR($A27=0,$A27=""),"0",IF(LOOKUP($A27,Load_Switch_NFET[PARTNUMBER],Load_Switch_NFET[RDSON45])="(NULL)","0","1"))</f>
        <v>1</v>
      </c>
      <c r="F27" s="16" t="str">
        <f>IF(OR($A27=0,$A27=""),"0",IF(LOOKUP($A27,Load_Switch_NFET[PARTNUMBER],Load_Switch_NFET[RDSON6])="(NULL)","0","1"))</f>
        <v>0</v>
      </c>
      <c r="G27" s="3" t="str">
        <f>IF(OR($A27=0,$A27=""),"0",IF(LOOKUP($A27,Load_Switch_NFET[PARTNUMBER],Load_Switch_NFET[RDSON8])="(NULL)","0","1"))</f>
        <v>0</v>
      </c>
      <c r="H27" s="14" t="str">
        <f>IF(OR($A27=0,$A27=""),"0",IF(LOOKUP($A27,Load_Switch_NFET[PARTNUMBER],Load_Switch_NFET[RDSON10])="(NULL)","0","1"))</f>
        <v>1</v>
      </c>
      <c r="I27" s="24" t="b">
        <f t="shared" si="10"/>
        <v>0</v>
      </c>
      <c r="J27" s="7" t="b">
        <f t="shared" si="11"/>
        <v>0</v>
      </c>
      <c r="K27" s="10" t="b">
        <f t="shared" si="12"/>
        <v>0</v>
      </c>
      <c r="L27" s="12" t="b">
        <f t="shared" si="13"/>
        <v>1</v>
      </c>
      <c r="M27" s="17" t="b">
        <f t="shared" si="14"/>
        <v>0</v>
      </c>
      <c r="N27" s="13" t="b">
        <f t="shared" si="15"/>
        <v>0</v>
      </c>
      <c r="O27" s="15" t="b">
        <f t="shared" si="16"/>
        <v>0</v>
      </c>
      <c r="P27" s="18" t="b">
        <f t="shared" si="17"/>
        <v>1</v>
      </c>
      <c r="Q27" s="24" t="b">
        <f t="shared" si="20"/>
        <v>0</v>
      </c>
      <c r="R27" s="7" t="b">
        <f t="shared" si="21"/>
        <v>0</v>
      </c>
      <c r="S27" s="10" t="b">
        <f t="shared" si="1"/>
        <v>0</v>
      </c>
      <c r="T27" s="12" t="b">
        <f t="shared" si="2"/>
        <v>1</v>
      </c>
      <c r="U27" s="17" t="b">
        <f t="shared" si="3"/>
        <v>0</v>
      </c>
      <c r="V27" s="13" t="b">
        <f t="shared" si="4"/>
        <v>0</v>
      </c>
      <c r="W27" s="15" t="b">
        <f t="shared" si="5"/>
        <v>0</v>
      </c>
      <c r="X27" s="6">
        <f>IF(W27,LOOKUP(A27,Load_Switch_NFET[PARTNUMBER],Load_Switch_NFET[RDSON10])*1000,IF(V27,LOOKUP(A27,Load_Switch_NFET[PARTNUMBER],Load_Switch_NFET[RDSON8])*1000,IF(U27,LOOKUP(A27,Load_Switch_NFET[PARTNUMBER],Load_Switch_NFET[RDSON6])*1000,IF(T27,LOOKUP(A27,Load_Switch_NFET[PARTNUMBER],Load_Switch_NFET[RDSON45])*1000,IF(S27,LOOKUP(A27,Load_Switch_NFET[PARTNUMBER],Load_Switch_NFET[RDSON3])*1000,IF(R27,LOOKUP(A27,Load_Switch_NFET[PARTNUMBER],Load_Switch_NFET[RDSON25])*1000,IF(Q27,LOOKUP(A27,Load_Switch_NFET[PARTNUMBER],Load_Switch_NFET[RDSON18])*1000,"")))))))</f>
        <v>15</v>
      </c>
      <c r="Y27" s="19">
        <f>IF(AND(A27&lt;&gt;0,A27&lt;&gt;""),X27*(1+(Tj-25)*(LOOKUP(A27,Load_Switch_NFET[PARTNUMBER],Load_Switch_NFET[RDSDELTA])/((LOOKUP(A27,Load_Switch_NFET[PARTNUMBER],Load_Switch_NFET[TJMAX])-25)))),"")</f>
        <v>17.52</v>
      </c>
      <c r="Z27" s="6">
        <f>IF(AND(A27&lt;&gt;0,A27&lt;&gt;""),LOOKUP(A27,Load_Switch_NFET[PARTNUMBER],Load_Switch_NFET[VTHMAX]),"")</f>
        <v>2.2999999999999998</v>
      </c>
      <c r="AA27" s="6">
        <f>IF(AND(A27&lt;&gt;0,A27&lt;&gt;""),LOOKUP(A27,Load_Switch_NFET[PARTNUMBER],Load_Switch_NFET[VTHMIN]),"")</f>
        <v>1.7</v>
      </c>
      <c r="AB27" s="6">
        <f t="shared" si="18"/>
        <v>4.5</v>
      </c>
      <c r="AC27" s="6">
        <f>IF(AND(A27&lt;&gt;0,A27&lt;&gt;""),LOOKUP(A27,Load_Switch_NFET[PARTNUMBER],Load_Switch_NFET[RGIMAX]),"")</f>
        <v>1.6</v>
      </c>
      <c r="AD27" s="6">
        <f>IF(AND($A27&lt;&gt;0,$A27&lt;&gt;""),LOOKUP($A27,Load_Switch_NFET[PARTNUMBER],Load_Switch_NFET[QGTYP]),"")</f>
        <v>2.9</v>
      </c>
      <c r="AE27" s="6">
        <f>IF(AND($A27&lt;&gt;0,$A27&lt;&gt;""),LOOKUP($A27,Load_Switch_NFET[PARTNUMBER],Load_Switch_NFET[QGS]),"")</f>
        <v>1.5</v>
      </c>
      <c r="AF27" s="6">
        <f>IF(AND($A27&lt;&gt;0,$A27&lt;&gt;""),LOOKUP($A27,Load_Switch_NFET[PARTNUMBER],Load_Switch_NFET[QGD]),"")</f>
        <v>0.7</v>
      </c>
      <c r="AG27" s="6">
        <f>IF(AND($A27&lt;&gt;0,$A27&lt;&gt;""),LOOKUP($A27,Load_Switch_NFET[PARTNUMBER],Load_Switch_NFET[QGTH]),"")</f>
        <v>0.9</v>
      </c>
      <c r="AH27" s="6">
        <f>IF(AND($A27&lt;&gt;0,$A27&lt;&gt;""),LOOKUP($A27,Load_Switch_NFET[PARTNUMBER],Load_Switch_NFET[VMILLER]),"")</f>
        <v>3.25</v>
      </c>
      <c r="AI27" s="6">
        <f>IF(AND($A27&lt;&gt;0,$A27&lt;&gt;""),LOOKUP($A27,Load_Switch_NFET[PARTNUMBER],Load_Switch_NFET[COSS_AT_VDSSPEC]),"")</f>
        <v>0.33</v>
      </c>
      <c r="AJ27" s="6">
        <f t="shared" si="6"/>
        <v>1.3000000000000003</v>
      </c>
      <c r="AK27" s="6">
        <f t="shared" si="7"/>
        <v>2</v>
      </c>
      <c r="AL27" s="6">
        <f t="shared" si="8"/>
        <v>7.0080000000000003E-2</v>
      </c>
      <c r="AM27" s="49">
        <f t="shared" si="9"/>
        <v>7.0000000000000007E-2</v>
      </c>
      <c r="AN27" s="46">
        <f>IF(AND($A27&lt;&gt;0,$A27&lt;&gt;""),LOOKUP($A27,Load_Switch_NFET[PARTNUMBER],Load_Switch_NFET[1KPRICE]),"")</f>
        <v>0.251</v>
      </c>
      <c r="AO27" s="6" t="str">
        <f>IF(AND($A27&lt;&gt;0,$A27&lt;&gt;""),LOOKUP(A27,Load_Switch_NFET[PARTNUMBER],Load_Switch_NFET[TI_EQ_PACKAGE]),"")</f>
        <v>SON3X3</v>
      </c>
      <c r="AP27" s="6" t="str">
        <f t="shared" si="19"/>
        <v>CSD16411Q3, SON3X3, 0.07W, $0.251</v>
      </c>
    </row>
    <row r="28" spans="1:42" ht="30" x14ac:dyDescent="0.25">
      <c r="A28" s="6" t="str">
        <f>IF(CH="N",NLogic!B28,"")</f>
        <v>CSD16412Q5A</v>
      </c>
      <c r="B28" s="23" t="str">
        <f>IF(OR($A28=0,$A28=""),"0",IF(LOOKUP($A28,Load_Switch_NFET[PARTNUMBER],Load_Switch_NFET[RDSON18])="(NULL)","0","1"))</f>
        <v>0</v>
      </c>
      <c r="C28" s="8" t="str">
        <f>IF(OR($A28=0,$A28=""),"0",IF(LOOKUP($A28,Load_Switch_NFET[PARTNUMBER],Load_Switch_NFET[RDSON25])="(NULL)","0","1"))</f>
        <v>0</v>
      </c>
      <c r="D28" s="9" t="str">
        <f>IF(OR($A28=0,$A28=""),"0",IF(LOOKUP($A28,Load_Switch_NFET[PARTNUMBER],Load_Switch_NFET[RDSON3])="(NULL)","0","1"))</f>
        <v>0</v>
      </c>
      <c r="E28" s="11" t="str">
        <f>IF(OR($A28=0,$A28=""),"0",IF(LOOKUP($A28,Load_Switch_NFET[PARTNUMBER],Load_Switch_NFET[RDSON45])="(NULL)","0","1"))</f>
        <v>1</v>
      </c>
      <c r="F28" s="16" t="str">
        <f>IF(OR($A28=0,$A28=""),"0",IF(LOOKUP($A28,Load_Switch_NFET[PARTNUMBER],Load_Switch_NFET[RDSON6])="(NULL)","0","1"))</f>
        <v>0</v>
      </c>
      <c r="G28" s="3" t="str">
        <f>IF(OR($A28=0,$A28=""),"0",IF(LOOKUP($A28,Load_Switch_NFET[PARTNUMBER],Load_Switch_NFET[RDSON8])="(NULL)","0","1"))</f>
        <v>0</v>
      </c>
      <c r="H28" s="14" t="str">
        <f>IF(OR($A28=0,$A28=""),"0",IF(LOOKUP($A28,Load_Switch_NFET[PARTNUMBER],Load_Switch_NFET[RDSON10])="(NULL)","0","1"))</f>
        <v>1</v>
      </c>
      <c r="I28" s="24" t="b">
        <f t="shared" si="10"/>
        <v>0</v>
      </c>
      <c r="J28" s="7" t="b">
        <f t="shared" si="11"/>
        <v>0</v>
      </c>
      <c r="K28" s="10" t="b">
        <f t="shared" si="12"/>
        <v>0</v>
      </c>
      <c r="L28" s="12" t="b">
        <f t="shared" si="13"/>
        <v>1</v>
      </c>
      <c r="M28" s="17" t="b">
        <f t="shared" si="14"/>
        <v>0</v>
      </c>
      <c r="N28" s="13" t="b">
        <f t="shared" si="15"/>
        <v>0</v>
      </c>
      <c r="O28" s="15" t="b">
        <f t="shared" si="16"/>
        <v>0</v>
      </c>
      <c r="P28" s="18" t="b">
        <f t="shared" si="17"/>
        <v>1</v>
      </c>
      <c r="Q28" s="24" t="b">
        <f t="shared" si="20"/>
        <v>0</v>
      </c>
      <c r="R28" s="7" t="b">
        <f t="shared" si="21"/>
        <v>0</v>
      </c>
      <c r="S28" s="10" t="b">
        <f t="shared" si="1"/>
        <v>0</v>
      </c>
      <c r="T28" s="12" t="b">
        <f t="shared" si="2"/>
        <v>1</v>
      </c>
      <c r="U28" s="17" t="b">
        <f t="shared" si="3"/>
        <v>0</v>
      </c>
      <c r="V28" s="13" t="b">
        <f t="shared" si="4"/>
        <v>0</v>
      </c>
      <c r="W28" s="15" t="b">
        <f t="shared" si="5"/>
        <v>0</v>
      </c>
      <c r="X28" s="6">
        <f>IF(W28,LOOKUP(A28,Load_Switch_NFET[PARTNUMBER],Load_Switch_NFET[RDSON10])*1000,IF(V28,LOOKUP(A28,Load_Switch_NFET[PARTNUMBER],Load_Switch_NFET[RDSON8])*1000,IF(U28,LOOKUP(A28,Load_Switch_NFET[PARTNUMBER],Load_Switch_NFET[RDSON6])*1000,IF(T28,LOOKUP(A28,Load_Switch_NFET[PARTNUMBER],Load_Switch_NFET[RDSON45])*1000,IF(S28,LOOKUP(A28,Load_Switch_NFET[PARTNUMBER],Load_Switch_NFET[RDSON3])*1000,IF(R28,LOOKUP(A28,Load_Switch_NFET[PARTNUMBER],Load_Switch_NFET[RDSON25])*1000,IF(Q28,LOOKUP(A28,Load_Switch_NFET[PARTNUMBER],Load_Switch_NFET[RDSON18])*1000,"")))))))</f>
        <v>16</v>
      </c>
      <c r="Y28" s="19">
        <f>IF(AND(A28&lt;&gt;0,A28&lt;&gt;""),X28*(1+(Tj-25)*(LOOKUP(A28,Load_Switch_NFET[PARTNUMBER],Load_Switch_NFET[RDSDELTA])/((LOOKUP(A28,Load_Switch_NFET[PARTNUMBER],Load_Switch_NFET[TJMAX])-25)))),"")</f>
        <v>19.135999999999999</v>
      </c>
      <c r="Z28" s="6">
        <f>IF(AND(A28&lt;&gt;0,A28&lt;&gt;""),LOOKUP(A28,Load_Switch_NFET[PARTNUMBER],Load_Switch_NFET[VTHMAX]),"")</f>
        <v>2.2999999999999998</v>
      </c>
      <c r="AA28" s="6">
        <f>IF(AND(A28&lt;&gt;0,A28&lt;&gt;""),LOOKUP(A28,Load_Switch_NFET[PARTNUMBER],Load_Switch_NFET[VTHMIN]),"")</f>
        <v>1.7</v>
      </c>
      <c r="AB28" s="6">
        <f t="shared" si="18"/>
        <v>4.5</v>
      </c>
      <c r="AC28" s="6">
        <f>IF(AND(A28&lt;&gt;0,A28&lt;&gt;""),LOOKUP(A28,Load_Switch_NFET[PARTNUMBER],Load_Switch_NFET[RGIMAX]),"")</f>
        <v>1.4</v>
      </c>
      <c r="AD28" s="6">
        <f>IF(AND($A28&lt;&gt;0,$A28&lt;&gt;""),LOOKUP($A28,Load_Switch_NFET[PARTNUMBER],Load_Switch_NFET[QGTYP]),"")</f>
        <v>2.9</v>
      </c>
      <c r="AE28" s="6">
        <f>IF(AND($A28&lt;&gt;0,$A28&lt;&gt;""),LOOKUP($A28,Load_Switch_NFET[PARTNUMBER],Load_Switch_NFET[QGS]),"")</f>
        <v>1.4</v>
      </c>
      <c r="AF28" s="6">
        <f>IF(AND($A28&lt;&gt;0,$A28&lt;&gt;""),LOOKUP($A28,Load_Switch_NFET[PARTNUMBER],Load_Switch_NFET[QGD]),"")</f>
        <v>0.7</v>
      </c>
      <c r="AG28" s="6">
        <f>IF(AND($A28&lt;&gt;0,$A28&lt;&gt;""),LOOKUP($A28,Load_Switch_NFET[PARTNUMBER],Load_Switch_NFET[QGTH]),"")</f>
        <v>0.9</v>
      </c>
      <c r="AH28" s="6">
        <f>IF(AND($A28&lt;&gt;0,$A28&lt;&gt;""),LOOKUP($A28,Load_Switch_NFET[PARTNUMBER],Load_Switch_NFET[VMILLER]),"")</f>
        <v>3.17</v>
      </c>
      <c r="AI28" s="6">
        <f>IF(AND($A28&lt;&gt;0,$A28&lt;&gt;""),LOOKUP($A28,Load_Switch_NFET[PARTNUMBER],Load_Switch_NFET[COSS_AT_VDSSPEC]),"")</f>
        <v>0.35</v>
      </c>
      <c r="AJ28" s="6">
        <f t="shared" si="6"/>
        <v>1.1999999999999997</v>
      </c>
      <c r="AK28" s="6">
        <f t="shared" si="7"/>
        <v>2</v>
      </c>
      <c r="AL28" s="6">
        <f t="shared" si="8"/>
        <v>7.6544000000000001E-2</v>
      </c>
      <c r="AM28" s="49">
        <f t="shared" si="9"/>
        <v>7.6999999999999999E-2</v>
      </c>
      <c r="AN28" s="46">
        <f>IF(AND($A28&lt;&gt;0,$A28&lt;&gt;""),LOOKUP($A28,Load_Switch_NFET[PARTNUMBER],Load_Switch_NFET[1KPRICE]),"")</f>
        <v>0.254</v>
      </c>
      <c r="AO28" s="6" t="str">
        <f>IF(AND($A28&lt;&gt;0,$A28&lt;&gt;""),LOOKUP(A28,Load_Switch_NFET[PARTNUMBER],Load_Switch_NFET[TI_EQ_PACKAGE]),"")</f>
        <v>SON5X6</v>
      </c>
      <c r="AP28" s="6" t="str">
        <f t="shared" si="19"/>
        <v>CSD16412Q5A, SON5X6, 0.077W, $0.254</v>
      </c>
    </row>
    <row r="29" spans="1:42" ht="30" x14ac:dyDescent="0.25">
      <c r="A29" s="6" t="str">
        <f>IF(CH="N",NLogic!B29,"")</f>
        <v>CSD16413Q5A</v>
      </c>
      <c r="B29" s="23" t="str">
        <f>IF(OR($A29=0,$A29=""),"0",IF(LOOKUP($A29,Load_Switch_NFET[PARTNUMBER],Load_Switch_NFET[RDSON18])="(NULL)","0","1"))</f>
        <v>0</v>
      </c>
      <c r="C29" s="8" t="str">
        <f>IF(OR($A29=0,$A29=""),"0",IF(LOOKUP($A29,Load_Switch_NFET[PARTNUMBER],Load_Switch_NFET[RDSON25])="(NULL)","0","1"))</f>
        <v>0</v>
      </c>
      <c r="D29" s="9" t="str">
        <f>IF(OR($A29=0,$A29=""),"0",IF(LOOKUP($A29,Load_Switch_NFET[PARTNUMBER],Load_Switch_NFET[RDSON3])="(NULL)","0","1"))</f>
        <v>0</v>
      </c>
      <c r="E29" s="11" t="str">
        <f>IF(OR($A29=0,$A29=""),"0",IF(LOOKUP($A29,Load_Switch_NFET[PARTNUMBER],Load_Switch_NFET[RDSON45])="(NULL)","0","1"))</f>
        <v>1</v>
      </c>
      <c r="F29" s="16" t="str">
        <f>IF(OR($A29=0,$A29=""),"0",IF(LOOKUP($A29,Load_Switch_NFET[PARTNUMBER],Load_Switch_NFET[RDSON6])="(NULL)","0","1"))</f>
        <v>0</v>
      </c>
      <c r="G29" s="3" t="str">
        <f>IF(OR($A29=0,$A29=""),"0",IF(LOOKUP($A29,Load_Switch_NFET[PARTNUMBER],Load_Switch_NFET[RDSON8])="(NULL)","0","1"))</f>
        <v>0</v>
      </c>
      <c r="H29" s="14" t="str">
        <f>IF(OR($A29=0,$A29=""),"0",IF(LOOKUP($A29,Load_Switch_NFET[PARTNUMBER],Load_Switch_NFET[RDSON10])="(NULL)","0","1"))</f>
        <v>1</v>
      </c>
      <c r="I29" s="24" t="b">
        <f t="shared" si="10"/>
        <v>0</v>
      </c>
      <c r="J29" s="7" t="b">
        <f t="shared" si="11"/>
        <v>0</v>
      </c>
      <c r="K29" s="10" t="b">
        <f t="shared" si="12"/>
        <v>0</v>
      </c>
      <c r="L29" s="12" t="b">
        <f t="shared" si="13"/>
        <v>1</v>
      </c>
      <c r="M29" s="17" t="b">
        <f t="shared" si="14"/>
        <v>0</v>
      </c>
      <c r="N29" s="13" t="b">
        <f t="shared" si="15"/>
        <v>0</v>
      </c>
      <c r="O29" s="15" t="b">
        <f t="shared" si="16"/>
        <v>0</v>
      </c>
      <c r="P29" s="18" t="b">
        <f t="shared" si="17"/>
        <v>1</v>
      </c>
      <c r="Q29" s="24" t="b">
        <f t="shared" si="20"/>
        <v>0</v>
      </c>
      <c r="R29" s="7" t="b">
        <f t="shared" si="21"/>
        <v>0</v>
      </c>
      <c r="S29" s="10" t="b">
        <f t="shared" si="1"/>
        <v>0</v>
      </c>
      <c r="T29" s="12" t="b">
        <f t="shared" si="2"/>
        <v>1</v>
      </c>
      <c r="U29" s="17" t="b">
        <f t="shared" si="3"/>
        <v>0</v>
      </c>
      <c r="V29" s="13" t="b">
        <f t="shared" si="4"/>
        <v>0</v>
      </c>
      <c r="W29" s="15" t="b">
        <f t="shared" si="5"/>
        <v>0</v>
      </c>
      <c r="X29" s="6">
        <f>IF(W29,LOOKUP(A29,Load_Switch_NFET[PARTNUMBER],Load_Switch_NFET[RDSON10])*1000,IF(V29,LOOKUP(A29,Load_Switch_NFET[PARTNUMBER],Load_Switch_NFET[RDSON8])*1000,IF(U29,LOOKUP(A29,Load_Switch_NFET[PARTNUMBER],Load_Switch_NFET[RDSON6])*1000,IF(T29,LOOKUP(A29,Load_Switch_NFET[PARTNUMBER],Load_Switch_NFET[RDSON45])*1000,IF(S29,LOOKUP(A29,Load_Switch_NFET[PARTNUMBER],Load_Switch_NFET[RDSON3])*1000,IF(R29,LOOKUP(A29,Load_Switch_NFET[PARTNUMBER],Load_Switch_NFET[RDSON25])*1000,IF(Q29,LOOKUP(A29,Load_Switch_NFET[PARTNUMBER],Load_Switch_NFET[RDSON18])*1000,"")))))))</f>
        <v>5.6</v>
      </c>
      <c r="Y29" s="19">
        <f>IF(AND(A29&lt;&gt;0,A29&lt;&gt;""),X29*(1+(Tj-25)*(LOOKUP(A29,Load_Switch_NFET[PARTNUMBER],Load_Switch_NFET[RDSDELTA])/((LOOKUP(A29,Load_Switch_NFET[PARTNUMBER],Load_Switch_NFET[TJMAX])-25)))),"")</f>
        <v>6.4937599999999991</v>
      </c>
      <c r="Z29" s="6">
        <f>IF(AND(A29&lt;&gt;0,A29&lt;&gt;""),LOOKUP(A29,Load_Switch_NFET[PARTNUMBER],Load_Switch_NFET[VTHMAX]),"")</f>
        <v>1.9</v>
      </c>
      <c r="AA29" s="6">
        <f>IF(AND(A29&lt;&gt;0,A29&lt;&gt;""),LOOKUP(A29,Load_Switch_NFET[PARTNUMBER],Load_Switch_NFET[VTHMIN]),"")</f>
        <v>1.2</v>
      </c>
      <c r="AB29" s="6">
        <f t="shared" si="18"/>
        <v>4.5</v>
      </c>
      <c r="AC29" s="6">
        <f>IF(AND(A29&lt;&gt;0,A29&lt;&gt;""),LOOKUP(A29,Load_Switch_NFET[PARTNUMBER],Load_Switch_NFET[RGIMAX]),"")</f>
        <v>1.8</v>
      </c>
      <c r="AD29" s="6">
        <f>IF(AND($A29&lt;&gt;0,$A29&lt;&gt;""),LOOKUP($A29,Load_Switch_NFET[PARTNUMBER],Load_Switch_NFET[QGTYP]),"")</f>
        <v>9</v>
      </c>
      <c r="AE29" s="6">
        <f>IF(AND($A29&lt;&gt;0,$A29&lt;&gt;""),LOOKUP($A29,Load_Switch_NFET[PARTNUMBER],Load_Switch_NFET[QGS]),"")</f>
        <v>3.5</v>
      </c>
      <c r="AF29" s="6">
        <f>IF(AND($A29&lt;&gt;0,$A29&lt;&gt;""),LOOKUP($A29,Load_Switch_NFET[PARTNUMBER],Load_Switch_NFET[QGD]),"")</f>
        <v>2.5</v>
      </c>
      <c r="AG29" s="6">
        <f>IF(AND($A29&lt;&gt;0,$A29&lt;&gt;""),LOOKUP($A29,Load_Switch_NFET[PARTNUMBER],Load_Switch_NFET[QGTH]),"")</f>
        <v>2.2000000000000002</v>
      </c>
      <c r="AH29" s="6">
        <f>IF(AND($A29&lt;&gt;0,$A29&lt;&gt;""),LOOKUP($A29,Load_Switch_NFET[PARTNUMBER],Load_Switch_NFET[VMILLER]),"")</f>
        <v>2.84</v>
      </c>
      <c r="AI29" s="6">
        <f>IF(AND($A29&lt;&gt;0,$A29&lt;&gt;""),LOOKUP($A29,Load_Switch_NFET[PARTNUMBER],Load_Switch_NFET[COSS_AT_VDSSPEC]),"")</f>
        <v>1.06</v>
      </c>
      <c r="AJ29" s="6">
        <f t="shared" si="6"/>
        <v>3.8</v>
      </c>
      <c r="AK29" s="6">
        <f t="shared" si="7"/>
        <v>1.5499999999999998</v>
      </c>
      <c r="AL29" s="6">
        <f t="shared" si="8"/>
        <v>2.5975039999999998E-2</v>
      </c>
      <c r="AM29" s="49">
        <f t="shared" si="9"/>
        <v>2.5999999999999999E-2</v>
      </c>
      <c r="AN29" s="46">
        <f>IF(AND($A29&lt;&gt;0,$A29&lt;&gt;""),LOOKUP($A29,Load_Switch_NFET[PARTNUMBER],Load_Switch_NFET[1KPRICE]),"")</f>
        <v>0.42499999999999999</v>
      </c>
      <c r="AO29" s="6" t="str">
        <f>IF(AND($A29&lt;&gt;0,$A29&lt;&gt;""),LOOKUP(A29,Load_Switch_NFET[PARTNUMBER],Load_Switch_NFET[TI_EQ_PACKAGE]),"")</f>
        <v>SON5X6</v>
      </c>
      <c r="AP29" s="6" t="str">
        <f t="shared" si="19"/>
        <v>CSD16413Q5A, SON5X6, 0.026W, $0.425</v>
      </c>
    </row>
    <row r="30" spans="1:42" ht="30" x14ac:dyDescent="0.25">
      <c r="A30" s="6" t="str">
        <f>IF(CH="N",NLogic!B30,"")</f>
        <v>CSD16414Q5</v>
      </c>
      <c r="B30" s="23" t="str">
        <f>IF(OR($A30=0,$A30=""),"0",IF(LOOKUP($A30,Load_Switch_NFET[PARTNUMBER],Load_Switch_NFET[RDSON18])="(NULL)","0","1"))</f>
        <v>0</v>
      </c>
      <c r="C30" s="8" t="str">
        <f>IF(OR($A30=0,$A30=""),"0",IF(LOOKUP($A30,Load_Switch_NFET[PARTNUMBER],Load_Switch_NFET[RDSON25])="(NULL)","0","1"))</f>
        <v>0</v>
      </c>
      <c r="D30" s="9" t="str">
        <f>IF(OR($A30=0,$A30=""),"0",IF(LOOKUP($A30,Load_Switch_NFET[PARTNUMBER],Load_Switch_NFET[RDSON3])="(NULL)","0","1"))</f>
        <v>0</v>
      </c>
      <c r="E30" s="11" t="str">
        <f>IF(OR($A30=0,$A30=""),"0",IF(LOOKUP($A30,Load_Switch_NFET[PARTNUMBER],Load_Switch_NFET[RDSON45])="(NULL)","0","1"))</f>
        <v>1</v>
      </c>
      <c r="F30" s="16" t="str">
        <f>IF(OR($A30=0,$A30=""),"0",IF(LOOKUP($A30,Load_Switch_NFET[PARTNUMBER],Load_Switch_NFET[RDSON6])="(NULL)","0","1"))</f>
        <v>0</v>
      </c>
      <c r="G30" s="3" t="str">
        <f>IF(OR($A30=0,$A30=""),"0",IF(LOOKUP($A30,Load_Switch_NFET[PARTNUMBER],Load_Switch_NFET[RDSON8])="(NULL)","0","1"))</f>
        <v>0</v>
      </c>
      <c r="H30" s="14" t="str">
        <f>IF(OR($A30=0,$A30=""),"0",IF(LOOKUP($A30,Load_Switch_NFET[PARTNUMBER],Load_Switch_NFET[RDSON10])="(NULL)","0","1"))</f>
        <v>1</v>
      </c>
      <c r="I30" s="24" t="b">
        <f t="shared" si="10"/>
        <v>0</v>
      </c>
      <c r="J30" s="7" t="b">
        <f t="shared" si="11"/>
        <v>0</v>
      </c>
      <c r="K30" s="10" t="b">
        <f t="shared" si="12"/>
        <v>0</v>
      </c>
      <c r="L30" s="12" t="b">
        <f t="shared" si="13"/>
        <v>1</v>
      </c>
      <c r="M30" s="17" t="b">
        <f t="shared" si="14"/>
        <v>0</v>
      </c>
      <c r="N30" s="13" t="b">
        <f t="shared" si="15"/>
        <v>0</v>
      </c>
      <c r="O30" s="15" t="b">
        <f t="shared" si="16"/>
        <v>0</v>
      </c>
      <c r="P30" s="18" t="b">
        <f t="shared" si="17"/>
        <v>1</v>
      </c>
      <c r="Q30" s="24" t="b">
        <f t="shared" si="20"/>
        <v>0</v>
      </c>
      <c r="R30" s="7" t="b">
        <f t="shared" si="21"/>
        <v>0</v>
      </c>
      <c r="S30" s="10" t="b">
        <f t="shared" si="1"/>
        <v>0</v>
      </c>
      <c r="T30" s="12" t="b">
        <f t="shared" si="2"/>
        <v>1</v>
      </c>
      <c r="U30" s="17" t="b">
        <f t="shared" si="3"/>
        <v>0</v>
      </c>
      <c r="V30" s="13" t="b">
        <f t="shared" si="4"/>
        <v>0</v>
      </c>
      <c r="W30" s="15" t="b">
        <f t="shared" si="5"/>
        <v>0</v>
      </c>
      <c r="X30" s="6">
        <f>IF(W30,LOOKUP(A30,Load_Switch_NFET[PARTNUMBER],Load_Switch_NFET[RDSON10])*1000,IF(V30,LOOKUP(A30,Load_Switch_NFET[PARTNUMBER],Load_Switch_NFET[RDSON8])*1000,IF(U30,LOOKUP(A30,Load_Switch_NFET[PARTNUMBER],Load_Switch_NFET[RDSON6])*1000,IF(T30,LOOKUP(A30,Load_Switch_NFET[PARTNUMBER],Load_Switch_NFET[RDSON45])*1000,IF(S30,LOOKUP(A30,Load_Switch_NFET[PARTNUMBER],Load_Switch_NFET[RDSON3])*1000,IF(R30,LOOKUP(A30,Load_Switch_NFET[PARTNUMBER],Load_Switch_NFET[RDSON25])*1000,IF(Q30,LOOKUP(A30,Load_Switch_NFET[PARTNUMBER],Load_Switch_NFET[RDSON18])*1000,"")))))))</f>
        <v>2.6</v>
      </c>
      <c r="Y30" s="19">
        <f>IF(AND(A30&lt;&gt;0,A30&lt;&gt;""),X30*(1+(Tj-25)*(LOOKUP(A30,Load_Switch_NFET[PARTNUMBER],Load_Switch_NFET[RDSDELTA])/((LOOKUP(A30,Load_Switch_NFET[PARTNUMBER],Load_Switch_NFET[TJMAX])-25)))),"")</f>
        <v>3.0783999999999998</v>
      </c>
      <c r="Z30" s="6">
        <f>IF(AND(A30&lt;&gt;0,A30&lt;&gt;""),LOOKUP(A30,Load_Switch_NFET[PARTNUMBER],Load_Switch_NFET[VTHMAX]),"")</f>
        <v>2</v>
      </c>
      <c r="AA30" s="6">
        <f>IF(AND(A30&lt;&gt;0,A30&lt;&gt;""),LOOKUP(A30,Load_Switch_NFET[PARTNUMBER],Load_Switch_NFET[VTHMIN]),"")</f>
        <v>1.3</v>
      </c>
      <c r="AB30" s="6">
        <f t="shared" si="18"/>
        <v>4.5</v>
      </c>
      <c r="AC30" s="6">
        <f>IF(AND(A30&lt;&gt;0,A30&lt;&gt;""),LOOKUP(A30,Load_Switch_NFET[PARTNUMBER],Load_Switch_NFET[RGIMAX]),"")</f>
        <v>2.8</v>
      </c>
      <c r="AD30" s="6">
        <f>IF(AND($A30&lt;&gt;0,$A30&lt;&gt;""),LOOKUP($A30,Load_Switch_NFET[PARTNUMBER],Load_Switch_NFET[QGTYP]),"")</f>
        <v>16.600000000000001</v>
      </c>
      <c r="AE30" s="6">
        <f>IF(AND($A30&lt;&gt;0,$A30&lt;&gt;""),LOOKUP($A30,Load_Switch_NFET[PARTNUMBER],Load_Switch_NFET[QGS]),"")</f>
        <v>7.3</v>
      </c>
      <c r="AF30" s="6">
        <f>IF(AND($A30&lt;&gt;0,$A30&lt;&gt;""),LOOKUP($A30,Load_Switch_NFET[PARTNUMBER],Load_Switch_NFET[QGD]),"")</f>
        <v>4.4000000000000004</v>
      </c>
      <c r="AG30" s="6">
        <f>IF(AND($A30&lt;&gt;0,$A30&lt;&gt;""),LOOKUP($A30,Load_Switch_NFET[PARTNUMBER],Load_Switch_NFET[QGTH]),"")</f>
        <v>4.5</v>
      </c>
      <c r="AH30" s="6">
        <f>IF(AND($A30&lt;&gt;0,$A30&lt;&gt;""),LOOKUP($A30,Load_Switch_NFET[PARTNUMBER],Load_Switch_NFET[VMILLER]),"")</f>
        <v>3.02</v>
      </c>
      <c r="AI30" s="6">
        <f>IF(AND($A30&lt;&gt;0,$A30&lt;&gt;""),LOOKUP($A30,Load_Switch_NFET[PARTNUMBER],Load_Switch_NFET[COSS_AT_VDSSPEC]),"")</f>
        <v>2.04</v>
      </c>
      <c r="AJ30" s="6">
        <f t="shared" si="6"/>
        <v>7.1999999999999993</v>
      </c>
      <c r="AK30" s="6">
        <f t="shared" si="7"/>
        <v>1.65</v>
      </c>
      <c r="AL30" s="6">
        <f t="shared" si="8"/>
        <v>1.2313599999999999E-2</v>
      </c>
      <c r="AM30" s="49">
        <f t="shared" si="9"/>
        <v>1.2E-2</v>
      </c>
      <c r="AN30" s="46">
        <f>IF(AND($A30&lt;&gt;0,$A30&lt;&gt;""),LOOKUP($A30,Load_Switch_NFET[PARTNUMBER],Load_Switch_NFET[1KPRICE]),"")</f>
        <v>0.67600000000000005</v>
      </c>
      <c r="AO30" s="6" t="str">
        <f>IF(AND($A30&lt;&gt;0,$A30&lt;&gt;""),LOOKUP(A30,Load_Switch_NFET[PARTNUMBER],Load_Switch_NFET[TI_EQ_PACKAGE]),"")</f>
        <v>SON5X6</v>
      </c>
      <c r="AP30" s="6" t="str">
        <f t="shared" si="19"/>
        <v>CSD16414Q5, SON5X6, 0.012W, $0.676</v>
      </c>
    </row>
    <row r="31" spans="1:42" ht="30" x14ac:dyDescent="0.25">
      <c r="A31" s="6" t="str">
        <f>IF(CH="N",NLogic!B31,"")</f>
        <v>CSD16415Q5</v>
      </c>
      <c r="B31" s="23" t="str">
        <f>IF(OR($A31=0,$A31=""),"0",IF(LOOKUP($A31,Load_Switch_NFET[PARTNUMBER],Load_Switch_NFET[RDSON18])="(NULL)","0","1"))</f>
        <v>0</v>
      </c>
      <c r="C31" s="8" t="str">
        <f>IF(OR($A31=0,$A31=""),"0",IF(LOOKUP($A31,Load_Switch_NFET[PARTNUMBER],Load_Switch_NFET[RDSON25])="(NULL)","0","1"))</f>
        <v>0</v>
      </c>
      <c r="D31" s="9" t="str">
        <f>IF(OR($A31=0,$A31=""),"0",IF(LOOKUP($A31,Load_Switch_NFET[PARTNUMBER],Load_Switch_NFET[RDSON3])="(NULL)","0","1"))</f>
        <v>0</v>
      </c>
      <c r="E31" s="11" t="str">
        <f>IF(OR($A31=0,$A31=""),"0",IF(LOOKUP($A31,Load_Switch_NFET[PARTNUMBER],Load_Switch_NFET[RDSON45])="(NULL)","0","1"))</f>
        <v>1</v>
      </c>
      <c r="F31" s="16" t="str">
        <f>IF(OR($A31=0,$A31=""),"0",IF(LOOKUP($A31,Load_Switch_NFET[PARTNUMBER],Load_Switch_NFET[RDSON6])="(NULL)","0","1"))</f>
        <v>0</v>
      </c>
      <c r="G31" s="3" t="str">
        <f>IF(OR($A31=0,$A31=""),"0",IF(LOOKUP($A31,Load_Switch_NFET[PARTNUMBER],Load_Switch_NFET[RDSON8])="(NULL)","0","1"))</f>
        <v>0</v>
      </c>
      <c r="H31" s="14" t="str">
        <f>IF(OR($A31=0,$A31=""),"0",IF(LOOKUP($A31,Load_Switch_NFET[PARTNUMBER],Load_Switch_NFET[RDSON10])="(NULL)","0","1"))</f>
        <v>1</v>
      </c>
      <c r="I31" s="24" t="b">
        <f t="shared" si="10"/>
        <v>0</v>
      </c>
      <c r="J31" s="7" t="b">
        <f t="shared" si="11"/>
        <v>0</v>
      </c>
      <c r="K31" s="10" t="b">
        <f t="shared" si="12"/>
        <v>0</v>
      </c>
      <c r="L31" s="12" t="b">
        <f t="shared" si="13"/>
        <v>1</v>
      </c>
      <c r="M31" s="17" t="b">
        <f t="shared" si="14"/>
        <v>0</v>
      </c>
      <c r="N31" s="13" t="b">
        <f t="shared" si="15"/>
        <v>0</v>
      </c>
      <c r="O31" s="15" t="b">
        <f t="shared" si="16"/>
        <v>0</v>
      </c>
      <c r="P31" s="18" t="b">
        <f t="shared" si="17"/>
        <v>1</v>
      </c>
      <c r="Q31" s="24" t="b">
        <f t="shared" si="20"/>
        <v>0</v>
      </c>
      <c r="R31" s="7" t="b">
        <f t="shared" si="21"/>
        <v>0</v>
      </c>
      <c r="S31" s="10" t="b">
        <f t="shared" si="1"/>
        <v>0</v>
      </c>
      <c r="T31" s="12" t="b">
        <f t="shared" si="2"/>
        <v>1</v>
      </c>
      <c r="U31" s="17" t="b">
        <f t="shared" si="3"/>
        <v>0</v>
      </c>
      <c r="V31" s="13" t="b">
        <f t="shared" si="4"/>
        <v>0</v>
      </c>
      <c r="W31" s="15" t="b">
        <f t="shared" si="5"/>
        <v>0</v>
      </c>
      <c r="X31" s="6">
        <f>IF(W31,LOOKUP(A31,Load_Switch_NFET[PARTNUMBER],Load_Switch_NFET[RDSON10])*1000,IF(V31,LOOKUP(A31,Load_Switch_NFET[PARTNUMBER],Load_Switch_NFET[RDSON8])*1000,IF(U31,LOOKUP(A31,Load_Switch_NFET[PARTNUMBER],Load_Switch_NFET[RDSON6])*1000,IF(T31,LOOKUP(A31,Load_Switch_NFET[PARTNUMBER],Load_Switch_NFET[RDSON45])*1000,IF(S31,LOOKUP(A31,Load_Switch_NFET[PARTNUMBER],Load_Switch_NFET[RDSON3])*1000,IF(R31,LOOKUP(A31,Load_Switch_NFET[PARTNUMBER],Load_Switch_NFET[RDSON25])*1000,IF(Q31,LOOKUP(A31,Load_Switch_NFET[PARTNUMBER],Load_Switch_NFET[RDSON18])*1000,"")))))))</f>
        <v>1.8</v>
      </c>
      <c r="Y31" s="19">
        <f>IF(AND(A31&lt;&gt;0,A31&lt;&gt;""),X31*(1+(Tj-25)*(LOOKUP(A31,Load_Switch_NFET[PARTNUMBER],Load_Switch_NFET[RDSDELTA])/((LOOKUP(A31,Load_Switch_NFET[PARTNUMBER],Load_Switch_NFET[TJMAX])-25)))),"")</f>
        <v>2.1383999999999999</v>
      </c>
      <c r="Z31" s="6">
        <f>IF(AND(A31&lt;&gt;0,A31&lt;&gt;""),LOOKUP(A31,Load_Switch_NFET[PARTNUMBER],Load_Switch_NFET[VTHMAX]),"")</f>
        <v>1.9</v>
      </c>
      <c r="AA31" s="6">
        <f>IF(AND(A31&lt;&gt;0,A31&lt;&gt;""),LOOKUP(A31,Load_Switch_NFET[PARTNUMBER],Load_Switch_NFET[VTHMIN]),"")</f>
        <v>1.2</v>
      </c>
      <c r="AB31" s="6">
        <f t="shared" si="18"/>
        <v>4.5</v>
      </c>
      <c r="AC31" s="6">
        <f>IF(AND(A31&lt;&gt;0,A31&lt;&gt;""),LOOKUP(A31,Load_Switch_NFET[PARTNUMBER],Load_Switch_NFET[RGIMAX]),"")</f>
        <v>2.4</v>
      </c>
      <c r="AD31" s="6">
        <f>IF(AND($A31&lt;&gt;0,$A31&lt;&gt;""),LOOKUP($A31,Load_Switch_NFET[PARTNUMBER],Load_Switch_NFET[QGTYP]),"")</f>
        <v>21</v>
      </c>
      <c r="AE31" s="6">
        <f>IF(AND($A31&lt;&gt;0,$A31&lt;&gt;""),LOOKUP($A31,Load_Switch_NFET[PARTNUMBER],Load_Switch_NFET[QGS]),"")</f>
        <v>8.3000000000000007</v>
      </c>
      <c r="AF31" s="6">
        <f>IF(AND($A31&lt;&gt;0,$A31&lt;&gt;""),LOOKUP($A31,Load_Switch_NFET[PARTNUMBER],Load_Switch_NFET[QGD]),"")</f>
        <v>5.2</v>
      </c>
      <c r="AG31" s="6">
        <f>IF(AND($A31&lt;&gt;0,$A31&lt;&gt;""),LOOKUP($A31,Load_Switch_NFET[PARTNUMBER],Load_Switch_NFET[QGTH]),"")</f>
        <v>4.8</v>
      </c>
      <c r="AH31" s="6">
        <f>IF(AND($A31&lt;&gt;0,$A31&lt;&gt;""),LOOKUP($A31,Load_Switch_NFET[PARTNUMBER],Load_Switch_NFET[VMILLER]),"")</f>
        <v>2.92</v>
      </c>
      <c r="AI31" s="6">
        <f>IF(AND($A31&lt;&gt;0,$A31&lt;&gt;""),LOOKUP($A31,Load_Switch_NFET[PARTNUMBER],Load_Switch_NFET[COSS_AT_VDSSPEC]),"")</f>
        <v>2.5299999999999998</v>
      </c>
      <c r="AJ31" s="6">
        <f t="shared" si="6"/>
        <v>8.6999999999999993</v>
      </c>
      <c r="AK31" s="6">
        <f t="shared" si="7"/>
        <v>1.5499999999999998</v>
      </c>
      <c r="AL31" s="6">
        <f t="shared" si="8"/>
        <v>8.5535999999999997E-3</v>
      </c>
      <c r="AM31" s="49">
        <f t="shared" si="9"/>
        <v>8.9999999999999993E-3</v>
      </c>
      <c r="AN31" s="46">
        <f>IF(AND($A31&lt;&gt;0,$A31&lt;&gt;""),LOOKUP($A31,Load_Switch_NFET[PARTNUMBER],Load_Switch_NFET[1KPRICE]),"")</f>
        <v>0.84299999999999997</v>
      </c>
      <c r="AO31" s="6" t="str">
        <f>IF(AND($A31&lt;&gt;0,$A31&lt;&gt;""),LOOKUP(A31,Load_Switch_NFET[PARTNUMBER],Load_Switch_NFET[TI_EQ_PACKAGE]),"")</f>
        <v>SON5X6</v>
      </c>
      <c r="AP31" s="6" t="str">
        <f t="shared" si="19"/>
        <v>CSD16415Q5, SON5X6, 0.009W, $0.843</v>
      </c>
    </row>
    <row r="32" spans="1:42" ht="30" x14ac:dyDescent="0.25">
      <c r="A32" s="6" t="str">
        <f>IF(CH="N",NLogic!B32,"")</f>
        <v>CSD16556Q5B</v>
      </c>
      <c r="B32" s="23" t="str">
        <f>IF(OR($A32=0,$A32=""),"0",IF(LOOKUP($A32,Load_Switch_NFET[PARTNUMBER],Load_Switch_NFET[RDSON18])="(NULL)","0","1"))</f>
        <v>0</v>
      </c>
      <c r="C32" s="8" t="str">
        <f>IF(OR($A32=0,$A32=""),"0",IF(LOOKUP($A32,Load_Switch_NFET[PARTNUMBER],Load_Switch_NFET[RDSON25])="(NULL)","0","1"))</f>
        <v>0</v>
      </c>
      <c r="D32" s="9" t="str">
        <f>IF(OR($A32=0,$A32=""),"0",IF(LOOKUP($A32,Load_Switch_NFET[PARTNUMBER],Load_Switch_NFET[RDSON3])="(NULL)","0","1"))</f>
        <v>0</v>
      </c>
      <c r="E32" s="11" t="str">
        <f>IF(OR($A32=0,$A32=""),"0",IF(LOOKUP($A32,Load_Switch_NFET[PARTNUMBER],Load_Switch_NFET[RDSON45])="(NULL)","0","1"))</f>
        <v>1</v>
      </c>
      <c r="F32" s="16" t="str">
        <f>IF(OR($A32=0,$A32=""),"0",IF(LOOKUP($A32,Load_Switch_NFET[PARTNUMBER],Load_Switch_NFET[RDSON6])="(NULL)","0","1"))</f>
        <v>0</v>
      </c>
      <c r="G32" s="3" t="str">
        <f>IF(OR($A32=0,$A32=""),"0",IF(LOOKUP($A32,Load_Switch_NFET[PARTNUMBER],Load_Switch_NFET[RDSON8])="(NULL)","0","1"))</f>
        <v>0</v>
      </c>
      <c r="H32" s="14" t="str">
        <f>IF(OR($A32=0,$A32=""),"0",IF(LOOKUP($A32,Load_Switch_NFET[PARTNUMBER],Load_Switch_NFET[RDSON10])="(NULL)","0","1"))</f>
        <v>1</v>
      </c>
      <c r="I32" s="24" t="b">
        <f t="shared" si="10"/>
        <v>0</v>
      </c>
      <c r="J32" s="7" t="b">
        <f t="shared" si="11"/>
        <v>0</v>
      </c>
      <c r="K32" s="10" t="b">
        <f t="shared" si="12"/>
        <v>0</v>
      </c>
      <c r="L32" s="12" t="b">
        <f t="shared" si="13"/>
        <v>1</v>
      </c>
      <c r="M32" s="17" t="b">
        <f t="shared" si="14"/>
        <v>0</v>
      </c>
      <c r="N32" s="13" t="b">
        <f t="shared" si="15"/>
        <v>0</v>
      </c>
      <c r="O32" s="15" t="b">
        <f t="shared" si="16"/>
        <v>0</v>
      </c>
      <c r="P32" s="18" t="b">
        <f t="shared" si="17"/>
        <v>1</v>
      </c>
      <c r="Q32" s="24" t="b">
        <f t="shared" si="20"/>
        <v>0</v>
      </c>
      <c r="R32" s="7" t="b">
        <f t="shared" si="21"/>
        <v>0</v>
      </c>
      <c r="S32" s="10" t="b">
        <f t="shared" si="1"/>
        <v>0</v>
      </c>
      <c r="T32" s="12" t="b">
        <f t="shared" si="2"/>
        <v>1</v>
      </c>
      <c r="U32" s="17" t="b">
        <f t="shared" si="3"/>
        <v>0</v>
      </c>
      <c r="V32" s="13" t="b">
        <f t="shared" si="4"/>
        <v>0</v>
      </c>
      <c r="W32" s="15" t="b">
        <f t="shared" si="5"/>
        <v>0</v>
      </c>
      <c r="X32" s="6">
        <f>IF(W32,LOOKUP(A32,Load_Switch_NFET[PARTNUMBER],Load_Switch_NFET[RDSON10])*1000,IF(V32,LOOKUP(A32,Load_Switch_NFET[PARTNUMBER],Load_Switch_NFET[RDSON8])*1000,IF(U32,LOOKUP(A32,Load_Switch_NFET[PARTNUMBER],Load_Switch_NFET[RDSON6])*1000,IF(T32,LOOKUP(A32,Load_Switch_NFET[PARTNUMBER],Load_Switch_NFET[RDSON45])*1000,IF(S32,LOOKUP(A32,Load_Switch_NFET[PARTNUMBER],Load_Switch_NFET[RDSON3])*1000,IF(R32,LOOKUP(A32,Load_Switch_NFET[PARTNUMBER],Load_Switch_NFET[RDSON25])*1000,IF(Q32,LOOKUP(A32,Load_Switch_NFET[PARTNUMBER],Load_Switch_NFET[RDSON18])*1000,"")))))))</f>
        <v>1.5</v>
      </c>
      <c r="Y32" s="19">
        <f>IF(AND(A32&lt;&gt;0,A32&lt;&gt;""),X32*(1+(Tj-25)*(LOOKUP(A32,Load_Switch_NFET[PARTNUMBER],Load_Switch_NFET[RDSDELTA])/((LOOKUP(A32,Load_Switch_NFET[PARTNUMBER],Load_Switch_NFET[TJMAX])-25)))),"")</f>
        <v>1.8900000000000001</v>
      </c>
      <c r="Z32" s="6">
        <f>IF(AND(A32&lt;&gt;0,A32&lt;&gt;""),LOOKUP(A32,Load_Switch_NFET[PARTNUMBER],Load_Switch_NFET[VTHMAX]),"")</f>
        <v>1.7</v>
      </c>
      <c r="AA32" s="6">
        <f>IF(AND(A32&lt;&gt;0,A32&lt;&gt;""),LOOKUP(A32,Load_Switch_NFET[PARTNUMBER],Load_Switch_NFET[VTHMIN]),"")</f>
        <v>1.2</v>
      </c>
      <c r="AB32" s="6">
        <f t="shared" si="18"/>
        <v>4.5</v>
      </c>
      <c r="AC32" s="6">
        <f>IF(AND(A32&lt;&gt;0,A32&lt;&gt;""),LOOKUP(A32,Load_Switch_NFET[PARTNUMBER],Load_Switch_NFET[RGIMAX]),"")</f>
        <v>1.4</v>
      </c>
      <c r="AD32" s="6">
        <f>IF(AND($A32&lt;&gt;0,$A32&lt;&gt;""),LOOKUP($A32,Load_Switch_NFET[PARTNUMBER],Load_Switch_NFET[QGTYP]),"")</f>
        <v>36</v>
      </c>
      <c r="AE32" s="6">
        <f>IF(AND($A32&lt;&gt;0,$A32&lt;&gt;""),LOOKUP($A32,Load_Switch_NFET[PARTNUMBER],Load_Switch_NFET[QGS]),"")</f>
        <v>11</v>
      </c>
      <c r="AF32" s="6">
        <f>IF(AND($A32&lt;&gt;0,$A32&lt;&gt;""),LOOKUP($A32,Load_Switch_NFET[PARTNUMBER],Load_Switch_NFET[QGD]),"")</f>
        <v>12</v>
      </c>
      <c r="AG32" s="6">
        <f>IF(AND($A32&lt;&gt;0,$A32&lt;&gt;""),LOOKUP($A32,Load_Switch_NFET[PARTNUMBER],Load_Switch_NFET[QGTH]),"")</f>
        <v>7</v>
      </c>
      <c r="AH32" s="6">
        <f>IF(AND($A32&lt;&gt;0,$A32&lt;&gt;""),LOOKUP($A32,Load_Switch_NFET[PARTNUMBER],Load_Switch_NFET[VMILLER]),"")</f>
        <v>2.5</v>
      </c>
      <c r="AI32" s="6">
        <f>IF(AND($A32&lt;&gt;0,$A32&lt;&gt;""),LOOKUP($A32,Load_Switch_NFET[PARTNUMBER],Load_Switch_NFET[COSS_AT_VDSSPEC]),"")</f>
        <v>2.27</v>
      </c>
      <c r="AJ32" s="6">
        <f t="shared" si="6"/>
        <v>16</v>
      </c>
      <c r="AK32" s="6">
        <f t="shared" si="7"/>
        <v>1.45</v>
      </c>
      <c r="AL32" s="6">
        <f t="shared" si="8"/>
        <v>7.5600000000000007E-3</v>
      </c>
      <c r="AM32" s="49">
        <f t="shared" si="9"/>
        <v>8.0000000000000002E-3</v>
      </c>
      <c r="AN32" s="46">
        <f>IF(AND($A32&lt;&gt;0,$A32&lt;&gt;""),LOOKUP($A32,Load_Switch_NFET[PARTNUMBER],Load_Switch_NFET[1KPRICE]),"")</f>
        <v>0.78800000000000003</v>
      </c>
      <c r="AO32" s="6" t="str">
        <f>IF(AND($A32&lt;&gt;0,$A32&lt;&gt;""),LOOKUP(A32,Load_Switch_NFET[PARTNUMBER],Load_Switch_NFET[TI_EQ_PACKAGE]),"")</f>
        <v>SON5X6</v>
      </c>
      <c r="AP32" s="6" t="str">
        <f t="shared" si="19"/>
        <v>CSD16556Q5B, SON5X6, 0.008W, $0.788</v>
      </c>
    </row>
    <row r="33" spans="1:42" ht="30" x14ac:dyDescent="0.25">
      <c r="A33" s="6" t="str">
        <f>IF(CH="N",NLogic!B33,"")</f>
        <v>CSD16570Q5B</v>
      </c>
      <c r="B33" s="23" t="str">
        <f>IF(OR($A33=0,$A33=""),"0",IF(LOOKUP($A33,Load_Switch_NFET[PARTNUMBER],Load_Switch_NFET[RDSON18])="(NULL)","0","1"))</f>
        <v>0</v>
      </c>
      <c r="C33" s="8" t="str">
        <f>IF(OR($A33=0,$A33=""),"0",IF(LOOKUP($A33,Load_Switch_NFET[PARTNUMBER],Load_Switch_NFET[RDSON25])="(NULL)","0","1"))</f>
        <v>0</v>
      </c>
      <c r="D33" s="9" t="str">
        <f>IF(OR($A33=0,$A33=""),"0",IF(LOOKUP($A33,Load_Switch_NFET[PARTNUMBER],Load_Switch_NFET[RDSON3])="(NULL)","0","1"))</f>
        <v>0</v>
      </c>
      <c r="E33" s="11" t="str">
        <f>IF(OR($A33=0,$A33=""),"0",IF(LOOKUP($A33,Load_Switch_NFET[PARTNUMBER],Load_Switch_NFET[RDSON45])="(NULL)","0","1"))</f>
        <v>1</v>
      </c>
      <c r="F33" s="16" t="str">
        <f>IF(OR($A33=0,$A33=""),"0",IF(LOOKUP($A33,Load_Switch_NFET[PARTNUMBER],Load_Switch_NFET[RDSON6])="(NULL)","0","1"))</f>
        <v>0</v>
      </c>
      <c r="G33" s="3" t="str">
        <f>IF(OR($A33=0,$A33=""),"0",IF(LOOKUP($A33,Load_Switch_NFET[PARTNUMBER],Load_Switch_NFET[RDSON8])="(NULL)","0","1"))</f>
        <v>0</v>
      </c>
      <c r="H33" s="14" t="str">
        <f>IF(OR($A33=0,$A33=""),"0",IF(LOOKUP($A33,Load_Switch_NFET[PARTNUMBER],Load_Switch_NFET[RDSON10])="(NULL)","0","1"))</f>
        <v>1</v>
      </c>
      <c r="I33" s="24" t="b">
        <f t="shared" si="10"/>
        <v>0</v>
      </c>
      <c r="J33" s="7" t="b">
        <f t="shared" si="11"/>
        <v>0</v>
      </c>
      <c r="K33" s="10" t="b">
        <f t="shared" si="12"/>
        <v>0</v>
      </c>
      <c r="L33" s="12" t="b">
        <f t="shared" si="13"/>
        <v>1</v>
      </c>
      <c r="M33" s="17" t="b">
        <f t="shared" si="14"/>
        <v>0</v>
      </c>
      <c r="N33" s="13" t="b">
        <f t="shared" si="15"/>
        <v>0</v>
      </c>
      <c r="O33" s="15" t="b">
        <f t="shared" si="16"/>
        <v>0</v>
      </c>
      <c r="P33" s="18" t="b">
        <f t="shared" si="17"/>
        <v>1</v>
      </c>
      <c r="Q33" s="24" t="b">
        <f t="shared" si="20"/>
        <v>0</v>
      </c>
      <c r="R33" s="7" t="b">
        <f t="shared" si="21"/>
        <v>0</v>
      </c>
      <c r="S33" s="10" t="b">
        <f t="shared" si="1"/>
        <v>0</v>
      </c>
      <c r="T33" s="12" t="b">
        <f t="shared" si="2"/>
        <v>1</v>
      </c>
      <c r="U33" s="17" t="b">
        <f t="shared" si="3"/>
        <v>0</v>
      </c>
      <c r="V33" s="13" t="b">
        <f t="shared" si="4"/>
        <v>0</v>
      </c>
      <c r="W33" s="15" t="b">
        <f t="shared" si="5"/>
        <v>0</v>
      </c>
      <c r="X33" s="6">
        <f>IF(W33,LOOKUP(A33,Load_Switch_NFET[PARTNUMBER],Load_Switch_NFET[RDSON10])*1000,IF(V33,LOOKUP(A33,Load_Switch_NFET[PARTNUMBER],Load_Switch_NFET[RDSON8])*1000,IF(U33,LOOKUP(A33,Load_Switch_NFET[PARTNUMBER],Load_Switch_NFET[RDSON6])*1000,IF(T33,LOOKUP(A33,Load_Switch_NFET[PARTNUMBER],Load_Switch_NFET[RDSON45])*1000,IF(S33,LOOKUP(A33,Load_Switch_NFET[PARTNUMBER],Load_Switch_NFET[RDSON3])*1000,IF(R33,LOOKUP(A33,Load_Switch_NFET[PARTNUMBER],Load_Switch_NFET[RDSON25])*1000,IF(Q33,LOOKUP(A33,Load_Switch_NFET[PARTNUMBER],Load_Switch_NFET[RDSON18])*1000,"")))))))</f>
        <v>0.8</v>
      </c>
      <c r="Y33" s="19">
        <f>IF(AND(A33&lt;&gt;0,A33&lt;&gt;""),X33*(1+(Tj-25)*(LOOKUP(A33,Load_Switch_NFET[PARTNUMBER],Load_Switch_NFET[RDSDELTA])/((LOOKUP(A33,Load_Switch_NFET[PARTNUMBER],Load_Switch_NFET[TJMAX])-25)))),"")</f>
        <v>0.98880000000000001</v>
      </c>
      <c r="Z33" s="6">
        <f>IF(AND(A33&lt;&gt;0,A33&lt;&gt;""),LOOKUP(A33,Load_Switch_NFET[PARTNUMBER],Load_Switch_NFET[VTHMAX]),"")</f>
        <v>1.9</v>
      </c>
      <c r="AA33" s="6">
        <f>IF(AND(A33&lt;&gt;0,A33&lt;&gt;""),LOOKUP(A33,Load_Switch_NFET[PARTNUMBER],Load_Switch_NFET[VTHMIN]),"")</f>
        <v>1.1000000000000001</v>
      </c>
      <c r="AB33" s="6">
        <f t="shared" si="18"/>
        <v>4.5</v>
      </c>
      <c r="AC33" s="6">
        <f>IF(AND(A33&lt;&gt;0,A33&lt;&gt;""),LOOKUP(A33,Load_Switch_NFET[PARTNUMBER],Load_Switch_NFET[RGIMAX]),"")</f>
        <v>3.6</v>
      </c>
      <c r="AD33" s="6">
        <f>IF(AND($A33&lt;&gt;0,$A33&lt;&gt;""),LOOKUP($A33,Load_Switch_NFET[PARTNUMBER],Load_Switch_NFET[QGTYP]),"")</f>
        <v>192</v>
      </c>
      <c r="AE33" s="6">
        <f>IF(AND($A33&lt;&gt;0,$A33&lt;&gt;""),LOOKUP($A33,Load_Switch_NFET[PARTNUMBER],Load_Switch_NFET[QGS]),"")</f>
        <v>29</v>
      </c>
      <c r="AF33" s="6">
        <f>IF(AND($A33&lt;&gt;0,$A33&lt;&gt;""),LOOKUP($A33,Load_Switch_NFET[PARTNUMBER],Load_Switch_NFET[QGD]),"")</f>
        <v>31</v>
      </c>
      <c r="AG33" s="6">
        <f>IF(AND($A33&lt;&gt;0,$A33&lt;&gt;""),LOOKUP($A33,Load_Switch_NFET[PARTNUMBER],Load_Switch_NFET[QGTH]),"")</f>
        <v>15</v>
      </c>
      <c r="AH33" s="6">
        <f>IF(AND($A33&lt;&gt;0,$A33&lt;&gt;""),LOOKUP($A33,Load_Switch_NFET[PARTNUMBER],Load_Switch_NFET[VMILLER]),"")</f>
        <v>2.5</v>
      </c>
      <c r="AI33" s="6">
        <f>IF(AND($A33&lt;&gt;0,$A33&lt;&gt;""),LOOKUP($A33,Load_Switch_NFET[PARTNUMBER],Load_Switch_NFET[COSS_AT_VDSSPEC]),"")</f>
        <v>1.66</v>
      </c>
      <c r="AJ33" s="6">
        <f t="shared" si="6"/>
        <v>45</v>
      </c>
      <c r="AK33" s="6">
        <f t="shared" si="7"/>
        <v>1.5</v>
      </c>
      <c r="AL33" s="6">
        <f t="shared" si="8"/>
        <v>3.9551999999999999E-3</v>
      </c>
      <c r="AM33" s="49">
        <f t="shared" si="9"/>
        <v>4.0000000000000001E-3</v>
      </c>
      <c r="AN33" s="46">
        <f>IF(AND($A33&lt;&gt;0,$A33&lt;&gt;""),LOOKUP($A33,Load_Switch_NFET[PARTNUMBER],Load_Switch_NFET[1KPRICE]),"")</f>
        <v>0.753</v>
      </c>
      <c r="AO33" s="6" t="str">
        <f>IF(AND($A33&lt;&gt;0,$A33&lt;&gt;""),LOOKUP(A33,Load_Switch_NFET[PARTNUMBER],Load_Switch_NFET[TI_EQ_PACKAGE]),"")</f>
        <v>SON5X6</v>
      </c>
      <c r="AP33" s="6" t="str">
        <f t="shared" si="19"/>
        <v>CSD16570Q5B, SON5X6, 0.004W, $0.753</v>
      </c>
    </row>
    <row r="34" spans="1:42" ht="30" x14ac:dyDescent="0.25">
      <c r="A34" s="6" t="str">
        <f>IF(CH="N",NLogic!B34,"")</f>
        <v>CSD17301Q5A</v>
      </c>
      <c r="B34" s="23" t="str">
        <f>IF(OR($A34=0,$A34=""),"0",IF(LOOKUP($A34,Load_Switch_NFET[PARTNUMBER],Load_Switch_NFET[RDSON18])="(NULL)","0","1"))</f>
        <v>0</v>
      </c>
      <c r="C34" s="8" t="str">
        <f>IF(OR($A34=0,$A34=""),"0",IF(LOOKUP($A34,Load_Switch_NFET[PARTNUMBER],Load_Switch_NFET[RDSON25])="(NULL)","0","1"))</f>
        <v>0</v>
      </c>
      <c r="D34" s="9" t="str">
        <f>IF(OR($A34=0,$A34=""),"0",IF(LOOKUP($A34,Load_Switch_NFET[PARTNUMBER],Load_Switch_NFET[RDSON3])="(NULL)","0","1"))</f>
        <v>1</v>
      </c>
      <c r="E34" s="11" t="str">
        <f>IF(OR($A34=0,$A34=""),"0",IF(LOOKUP($A34,Load_Switch_NFET[PARTNUMBER],Load_Switch_NFET[RDSON45])="(NULL)","0","1"))</f>
        <v>1</v>
      </c>
      <c r="F34" s="16" t="str">
        <f>IF(OR($A34=0,$A34=""),"0",IF(LOOKUP($A34,Load_Switch_NFET[PARTNUMBER],Load_Switch_NFET[RDSON6])="(NULL)","0","1"))</f>
        <v>0</v>
      </c>
      <c r="G34" s="3" t="str">
        <f>IF(OR($A34=0,$A34=""),"0",IF(LOOKUP($A34,Load_Switch_NFET[PARTNUMBER],Load_Switch_NFET[RDSON8])="(NULL)","0","1"))</f>
        <v>1</v>
      </c>
      <c r="H34" s="14" t="str">
        <f>IF(OR($A34=0,$A34=""),"0",IF(LOOKUP($A34,Load_Switch_NFET[PARTNUMBER],Load_Switch_NFET[RDSON10])="(NULL)","0","1"))</f>
        <v>0</v>
      </c>
      <c r="I34" s="24" t="b">
        <f t="shared" si="10"/>
        <v>0</v>
      </c>
      <c r="J34" s="7" t="b">
        <f t="shared" si="11"/>
        <v>0</v>
      </c>
      <c r="K34" s="10" t="b">
        <f t="shared" si="12"/>
        <v>1</v>
      </c>
      <c r="L34" s="12" t="b">
        <f t="shared" si="13"/>
        <v>1</v>
      </c>
      <c r="M34" s="17" t="b">
        <f t="shared" si="14"/>
        <v>0</v>
      </c>
      <c r="N34" s="13" t="b">
        <f t="shared" si="15"/>
        <v>0</v>
      </c>
      <c r="O34" s="15" t="b">
        <f t="shared" si="16"/>
        <v>0</v>
      </c>
      <c r="P34" s="18" t="b">
        <f t="shared" si="17"/>
        <v>1</v>
      </c>
      <c r="Q34" s="24" t="b">
        <f t="shared" si="20"/>
        <v>0</v>
      </c>
      <c r="R34" s="7" t="b">
        <f t="shared" si="21"/>
        <v>0</v>
      </c>
      <c r="S34" s="10" t="b">
        <f t="shared" ref="S34:S65" si="22">IF($P34,K34,IF((D34="1"),OR(AR$2,AR$9,AV$2,L34)))</f>
        <v>1</v>
      </c>
      <c r="T34" s="12" t="b">
        <f t="shared" ref="T34:T65" si="23">IF($P34,L34,IF((E34="1"),OR(AU$2,K34,AW$2,M34)))</f>
        <v>1</v>
      </c>
      <c r="U34" s="17" t="b">
        <f t="shared" ref="U34:U65" si="24">IF($P34,M34,IF((F34="1"),OR(AV$2,L34,AX$2,N34)))</f>
        <v>0</v>
      </c>
      <c r="V34" s="13" t="b">
        <f t="shared" ref="V34:V65" si="25">IF($P34,N34,IF((G34="1"),OR(AW$2,M34,AY$2,O34)))</f>
        <v>0</v>
      </c>
      <c r="W34" s="15" t="b">
        <f t="shared" ref="W34:W65" si="26">IF($P34,O34,IF((H34="1"),OR(AX$2,N34)))</f>
        <v>0</v>
      </c>
      <c r="X34" s="6">
        <f>IF(W34,LOOKUP(A34,Load_Switch_NFET[PARTNUMBER],Load_Switch_NFET[RDSON10])*1000,IF(V34,LOOKUP(A34,Load_Switch_NFET[PARTNUMBER],Load_Switch_NFET[RDSON8])*1000,IF(U34,LOOKUP(A34,Load_Switch_NFET[PARTNUMBER],Load_Switch_NFET[RDSON6])*1000,IF(T34,LOOKUP(A34,Load_Switch_NFET[PARTNUMBER],Load_Switch_NFET[RDSON45])*1000,IF(S34,LOOKUP(A34,Load_Switch_NFET[PARTNUMBER],Load_Switch_NFET[RDSON3])*1000,IF(R34,LOOKUP(A34,Load_Switch_NFET[PARTNUMBER],Load_Switch_NFET[RDSON25])*1000,IF(Q34,LOOKUP(A34,Load_Switch_NFET[PARTNUMBER],Load_Switch_NFET[RDSON18])*1000,"")))))))</f>
        <v>3</v>
      </c>
      <c r="Y34" s="19">
        <f>IF(AND(A34&lt;&gt;0,A34&lt;&gt;""),X34*(1+(Tj-25)*(LOOKUP(A34,Load_Switch_NFET[PARTNUMBER],Load_Switch_NFET[RDSDELTA])/((LOOKUP(A34,Load_Switch_NFET[PARTNUMBER],Load_Switch_NFET[TJMAX])-25)))),"")</f>
        <v>3.7320000000000002</v>
      </c>
      <c r="Z34" s="6">
        <f>IF(AND(A34&lt;&gt;0,A34&lt;&gt;""),LOOKUP(A34,Load_Switch_NFET[PARTNUMBER],Load_Switch_NFET[VTHMAX]),"")</f>
        <v>1.55</v>
      </c>
      <c r="AA34" s="6">
        <f>IF(AND(A34&lt;&gt;0,A34&lt;&gt;""),LOOKUP(A34,Load_Switch_NFET[PARTNUMBER],Load_Switch_NFET[VTHMIN]),"")</f>
        <v>0.9</v>
      </c>
      <c r="AB34" s="6">
        <f t="shared" ref="AB34:AB65" si="27">IF(AND(A34&lt;&gt;0,A34&lt;&gt;""),IF(B34="1",1.8,IF(C34="1",2.5,IF(D34="1",3,IF(E34="1",4.5,IF(F34="1",6,IF(G34="1",8,IF(H34="1",10))))))),"#N/A")</f>
        <v>3</v>
      </c>
      <c r="AC34" s="6">
        <f>IF(AND(A34&lt;&gt;0,A34&lt;&gt;""),LOOKUP(A34,Load_Switch_NFET[PARTNUMBER],Load_Switch_NFET[RGIMAX]),"")</f>
        <v>2.6</v>
      </c>
      <c r="AD34" s="6">
        <f>IF(AND($A34&lt;&gt;0,$A34&lt;&gt;""),LOOKUP($A34,Load_Switch_NFET[PARTNUMBER],Load_Switch_NFET[QGTYP]),"")</f>
        <v>19</v>
      </c>
      <c r="AE34" s="6">
        <f>IF(AND($A34&lt;&gt;0,$A34&lt;&gt;""),LOOKUP($A34,Load_Switch_NFET[PARTNUMBER],Load_Switch_NFET[QGS]),"")</f>
        <v>5.7</v>
      </c>
      <c r="AF34" s="6">
        <f>IF(AND($A34&lt;&gt;0,$A34&lt;&gt;""),LOOKUP($A34,Load_Switch_NFET[PARTNUMBER],Load_Switch_NFET[QGD]),"")</f>
        <v>4.3</v>
      </c>
      <c r="AG34" s="6">
        <f>IF(AND($A34&lt;&gt;0,$A34&lt;&gt;""),LOOKUP($A34,Load_Switch_NFET[PARTNUMBER],Load_Switch_NFET[QGTH]),"")</f>
        <v>2.9</v>
      </c>
      <c r="AH34" s="6">
        <f>IF(AND($A34&lt;&gt;0,$A34&lt;&gt;""),LOOKUP($A34,Load_Switch_NFET[PARTNUMBER],Load_Switch_NFET[VMILLER]),"")</f>
        <v>2.2599999999999998</v>
      </c>
      <c r="AI34" s="6">
        <f>IF(AND($A34&lt;&gt;0,$A34&lt;&gt;""),LOOKUP($A34,Load_Switch_NFET[PARTNUMBER],Load_Switch_NFET[COSS_AT_VDSSPEC]),"")</f>
        <v>1.42</v>
      </c>
      <c r="AJ34" s="6">
        <f t="shared" ref="AJ34:AJ65" si="28">IF(AND(A34&lt;&gt;0,A34&lt;&gt;""),AE34+AF34-AG34,"")</f>
        <v>7.1</v>
      </c>
      <c r="AK34" s="6">
        <f t="shared" ref="AK34:AK65" si="29">IF(AND(A34&lt;&gt;0,A34&lt;&gt;""),(Z34+AA34)/2,"")</f>
        <v>1.2250000000000001</v>
      </c>
      <c r="AL34" s="6">
        <f t="shared" ref="AL34:AL65" si="30">IF(AND($A34&lt;&gt;0,$A34&lt;&gt;""),Io^2*Y34*m,"")</f>
        <v>1.4928E-2</v>
      </c>
      <c r="AM34" s="49">
        <f t="shared" ref="AM34:AM65" si="31">IF(AND($A34&lt;&gt;0,$A34&lt;&gt;""),ROUND(SUM(AL34:AL34),3),"")</f>
        <v>1.4999999999999999E-2</v>
      </c>
      <c r="AN34" s="46">
        <f>IF(AND($A34&lt;&gt;0,$A34&lt;&gt;""),LOOKUP($A34,Load_Switch_NFET[PARTNUMBER],Load_Switch_NFET[1KPRICE]),"")</f>
        <v>0.53100000000000003</v>
      </c>
      <c r="AO34" s="6" t="str">
        <f>IF(AND($A34&lt;&gt;0,$A34&lt;&gt;""),LOOKUP(A34,Load_Switch_NFET[PARTNUMBER],Load_Switch_NFET[TI_EQ_PACKAGE]),"")</f>
        <v>SON5X6</v>
      </c>
      <c r="AP34" s="6" t="str">
        <f t="shared" ref="AP34:AP65" si="32">IF(AND($A34&lt;&gt;0,$A34&lt;&gt;""),CONCATENATE(A34,", ",AO34,", ",AM34,"W, $",AN34),"Invalid Part")</f>
        <v>CSD17301Q5A, SON5X6, 0.015W, $0.531</v>
      </c>
    </row>
    <row r="35" spans="1:42" ht="30" x14ac:dyDescent="0.25">
      <c r="A35" s="6" t="str">
        <f>IF(CH="N",NLogic!B35,"")</f>
        <v>CSD17302Q5A</v>
      </c>
      <c r="B35" s="23" t="str">
        <f>IF(OR($A35=0,$A35=""),"0",IF(LOOKUP($A35,Load_Switch_NFET[PARTNUMBER],Load_Switch_NFET[RDSON18])="(NULL)","0","1"))</f>
        <v>0</v>
      </c>
      <c r="C35" s="8" t="str">
        <f>IF(OR($A35=0,$A35=""),"0",IF(LOOKUP($A35,Load_Switch_NFET[PARTNUMBER],Load_Switch_NFET[RDSON25])="(NULL)","0","1"))</f>
        <v>0</v>
      </c>
      <c r="D35" s="9" t="str">
        <f>IF(OR($A35=0,$A35=""),"0",IF(LOOKUP($A35,Load_Switch_NFET[PARTNUMBER],Load_Switch_NFET[RDSON3])="(NULL)","0","1"))</f>
        <v>1</v>
      </c>
      <c r="E35" s="11" t="str">
        <f>IF(OR($A35=0,$A35=""),"0",IF(LOOKUP($A35,Load_Switch_NFET[PARTNUMBER],Load_Switch_NFET[RDSON45])="(NULL)","0","1"))</f>
        <v>1</v>
      </c>
      <c r="F35" s="16" t="str">
        <f>IF(OR($A35=0,$A35=""),"0",IF(LOOKUP($A35,Load_Switch_NFET[PARTNUMBER],Load_Switch_NFET[RDSON6])="(NULL)","0","1"))</f>
        <v>0</v>
      </c>
      <c r="G35" s="3" t="str">
        <f>IF(OR($A35=0,$A35=""),"0",IF(LOOKUP($A35,Load_Switch_NFET[PARTNUMBER],Load_Switch_NFET[RDSON8])="(NULL)","0","1"))</f>
        <v>1</v>
      </c>
      <c r="H35" s="14" t="str">
        <f>IF(OR($A35=0,$A35=""),"0",IF(LOOKUP($A35,Load_Switch_NFET[PARTNUMBER],Load_Switch_NFET[RDSON10])="(NULL)","0","1"))</f>
        <v>0</v>
      </c>
      <c r="I35" s="24" t="b">
        <f t="shared" si="10"/>
        <v>0</v>
      </c>
      <c r="J35" s="7" t="b">
        <f t="shared" ref="J35:J66" si="33">AND(AT$2,C35="1")</f>
        <v>0</v>
      </c>
      <c r="K35" s="10" t="b">
        <f t="shared" ref="K35:K66" si="34">AND(AU$2,D35="1")</f>
        <v>1</v>
      </c>
      <c r="L35" s="12" t="b">
        <f t="shared" ref="L35:L66" si="35">AND(AV$2,E35="1")</f>
        <v>1</v>
      </c>
      <c r="M35" s="17" t="b">
        <f t="shared" ref="M35:M66" si="36">AND(AW$2,F35="1")</f>
        <v>0</v>
      </c>
      <c r="N35" s="13" t="b">
        <f t="shared" ref="N35:N66" si="37">AND(AX$2,G35="1")</f>
        <v>0</v>
      </c>
      <c r="O35" s="15" t="b">
        <f t="shared" ref="O35:O66" si="38">AND(AY$2,H35="1")</f>
        <v>0</v>
      </c>
      <c r="P35" s="18" t="b">
        <f t="shared" si="17"/>
        <v>1</v>
      </c>
      <c r="Q35" s="24" t="b">
        <f t="shared" si="20"/>
        <v>0</v>
      </c>
      <c r="R35" s="7" t="b">
        <f t="shared" si="21"/>
        <v>0</v>
      </c>
      <c r="S35" s="10" t="b">
        <f t="shared" si="22"/>
        <v>1</v>
      </c>
      <c r="T35" s="12" t="b">
        <f t="shared" si="23"/>
        <v>1</v>
      </c>
      <c r="U35" s="17" t="b">
        <f t="shared" si="24"/>
        <v>0</v>
      </c>
      <c r="V35" s="13" t="b">
        <f t="shared" si="25"/>
        <v>0</v>
      </c>
      <c r="W35" s="15" t="b">
        <f t="shared" si="26"/>
        <v>0</v>
      </c>
      <c r="X35" s="6">
        <f>IF(W35,LOOKUP(A35,Load_Switch_NFET[PARTNUMBER],Load_Switch_NFET[RDSON10])*1000,IF(V35,LOOKUP(A35,Load_Switch_NFET[PARTNUMBER],Load_Switch_NFET[RDSON8])*1000,IF(U35,LOOKUP(A35,Load_Switch_NFET[PARTNUMBER],Load_Switch_NFET[RDSON6])*1000,IF(T35,LOOKUP(A35,Load_Switch_NFET[PARTNUMBER],Load_Switch_NFET[RDSON45])*1000,IF(S35,LOOKUP(A35,Load_Switch_NFET[PARTNUMBER],Load_Switch_NFET[RDSON3])*1000,IF(R35,LOOKUP(A35,Load_Switch_NFET[PARTNUMBER],Load_Switch_NFET[RDSON25])*1000,IF(Q35,LOOKUP(A35,Load_Switch_NFET[PARTNUMBER],Load_Switch_NFET[RDSON18])*1000,"")))))))</f>
        <v>9</v>
      </c>
      <c r="Y35" s="19">
        <f>IF(AND(A35&lt;&gt;0,A35&lt;&gt;""),X35*(1+(Tj-25)*(LOOKUP(A35,Load_Switch_NFET[PARTNUMBER],Load_Switch_NFET[RDSDELTA])/((LOOKUP(A35,Load_Switch_NFET[PARTNUMBER],Load_Switch_NFET[TJMAX])-25)))),"")</f>
        <v>11.016</v>
      </c>
      <c r="Z35" s="6">
        <f>IF(AND(A35&lt;&gt;0,A35&lt;&gt;""),LOOKUP(A35,Load_Switch_NFET[PARTNUMBER],Load_Switch_NFET[VTHMAX]),"")</f>
        <v>1.7</v>
      </c>
      <c r="AA35" s="6">
        <f>IF(AND(A35&lt;&gt;0,A35&lt;&gt;""),LOOKUP(A35,Load_Switch_NFET[PARTNUMBER],Load_Switch_NFET[VTHMIN]),"")</f>
        <v>0.9</v>
      </c>
      <c r="AB35" s="6">
        <f t="shared" si="27"/>
        <v>3</v>
      </c>
      <c r="AC35" s="6">
        <f>IF(AND(A35&lt;&gt;0,A35&lt;&gt;""),LOOKUP(A35,Load_Switch_NFET[PARTNUMBER],Load_Switch_NFET[RGIMAX]),"")</f>
        <v>1.6</v>
      </c>
      <c r="AD35" s="6">
        <f>IF(AND($A35&lt;&gt;0,$A35&lt;&gt;""),LOOKUP($A35,Load_Switch_NFET[PARTNUMBER],Load_Switch_NFET[QGTYP]),"")</f>
        <v>5.4</v>
      </c>
      <c r="AE35" s="6">
        <f>IF(AND($A35&lt;&gt;0,$A35&lt;&gt;""),LOOKUP($A35,Load_Switch_NFET[PARTNUMBER],Load_Switch_NFET[QGS]),"")</f>
        <v>1.7</v>
      </c>
      <c r="AF35" s="6">
        <f>IF(AND($A35&lt;&gt;0,$A35&lt;&gt;""),LOOKUP($A35,Load_Switch_NFET[PARTNUMBER],Load_Switch_NFET[QGD]),"")</f>
        <v>1.2</v>
      </c>
      <c r="AG35" s="6">
        <f>IF(AND($A35&lt;&gt;0,$A35&lt;&gt;""),LOOKUP($A35,Load_Switch_NFET[PARTNUMBER],Load_Switch_NFET[QGTH]),"")</f>
        <v>0.9</v>
      </c>
      <c r="AH35" s="6">
        <f>IF(AND($A35&lt;&gt;0,$A35&lt;&gt;""),LOOKUP($A35,Load_Switch_NFET[PARTNUMBER],Load_Switch_NFET[VMILLER]),"")</f>
        <v>2.2799999999999998</v>
      </c>
      <c r="AI35" s="6">
        <f>IF(AND($A35&lt;&gt;0,$A35&lt;&gt;""),LOOKUP($A35,Load_Switch_NFET[PARTNUMBER],Load_Switch_NFET[COSS_AT_VDSSPEC]),"")</f>
        <v>0.39</v>
      </c>
      <c r="AJ35" s="6">
        <f t="shared" si="28"/>
        <v>2</v>
      </c>
      <c r="AK35" s="6">
        <f t="shared" si="29"/>
        <v>1.3</v>
      </c>
      <c r="AL35" s="6">
        <f t="shared" si="30"/>
        <v>4.4063999999999999E-2</v>
      </c>
      <c r="AM35" s="49">
        <f t="shared" si="31"/>
        <v>4.3999999999999997E-2</v>
      </c>
      <c r="AN35" s="46">
        <f>IF(AND($A35&lt;&gt;0,$A35&lt;&gt;""),LOOKUP($A35,Load_Switch_NFET[PARTNUMBER],Load_Switch_NFET[1KPRICE]),"")</f>
        <v>0.308</v>
      </c>
      <c r="AO35" s="6" t="str">
        <f>IF(AND($A35&lt;&gt;0,$A35&lt;&gt;""),LOOKUP(A35,Load_Switch_NFET[PARTNUMBER],Load_Switch_NFET[TI_EQ_PACKAGE]),"")</f>
        <v>SON5X6</v>
      </c>
      <c r="AP35" s="6" t="str">
        <f t="shared" si="32"/>
        <v>CSD17302Q5A, SON5X6, 0.044W, $0.308</v>
      </c>
    </row>
    <row r="36" spans="1:42" ht="30" x14ac:dyDescent="0.25">
      <c r="A36" s="6" t="str">
        <f>IF(CH="N",NLogic!B36,"")</f>
        <v>CSD17303Q5</v>
      </c>
      <c r="B36" s="23" t="str">
        <f>IF(OR($A36=0,$A36=""),"0",IF(LOOKUP($A36,Load_Switch_NFET[PARTNUMBER],Load_Switch_NFET[RDSON18])="(NULL)","0","1"))</f>
        <v>0</v>
      </c>
      <c r="C36" s="8" t="str">
        <f>IF(OR($A36=0,$A36=""),"0",IF(LOOKUP($A36,Load_Switch_NFET[PARTNUMBER],Load_Switch_NFET[RDSON25])="(NULL)","0","1"))</f>
        <v>0</v>
      </c>
      <c r="D36" s="9" t="str">
        <f>IF(OR($A36=0,$A36=""),"0",IF(LOOKUP($A36,Load_Switch_NFET[PARTNUMBER],Load_Switch_NFET[RDSON3])="(NULL)","0","1"))</f>
        <v>1</v>
      </c>
      <c r="E36" s="11" t="str">
        <f>IF(OR($A36=0,$A36=""),"0",IF(LOOKUP($A36,Load_Switch_NFET[PARTNUMBER],Load_Switch_NFET[RDSON45])="(NULL)","0","1"))</f>
        <v>1</v>
      </c>
      <c r="F36" s="16" t="str">
        <f>IF(OR($A36=0,$A36=""),"0",IF(LOOKUP($A36,Load_Switch_NFET[PARTNUMBER],Load_Switch_NFET[RDSON6])="(NULL)","0","1"))</f>
        <v>0</v>
      </c>
      <c r="G36" s="3" t="str">
        <f>IF(OR($A36=0,$A36=""),"0",IF(LOOKUP($A36,Load_Switch_NFET[PARTNUMBER],Load_Switch_NFET[RDSON8])="(NULL)","0","1"))</f>
        <v>1</v>
      </c>
      <c r="H36" s="14" t="str">
        <f>IF(OR($A36=0,$A36=""),"0",IF(LOOKUP($A36,Load_Switch_NFET[PARTNUMBER],Load_Switch_NFET[RDSON10])="(NULL)","0","1"))</f>
        <v>0</v>
      </c>
      <c r="I36" s="24" t="b">
        <f t="shared" si="10"/>
        <v>0</v>
      </c>
      <c r="J36" s="7" t="b">
        <f t="shared" si="33"/>
        <v>0</v>
      </c>
      <c r="K36" s="10" t="b">
        <f t="shared" si="34"/>
        <v>1</v>
      </c>
      <c r="L36" s="12" t="b">
        <f t="shared" si="35"/>
        <v>1</v>
      </c>
      <c r="M36" s="17" t="b">
        <f t="shared" si="36"/>
        <v>0</v>
      </c>
      <c r="N36" s="13" t="b">
        <f t="shared" si="37"/>
        <v>0</v>
      </c>
      <c r="O36" s="15" t="b">
        <f t="shared" si="38"/>
        <v>0</v>
      </c>
      <c r="P36" s="18" t="b">
        <f t="shared" si="17"/>
        <v>1</v>
      </c>
      <c r="Q36" s="24" t="b">
        <f t="shared" si="20"/>
        <v>0</v>
      </c>
      <c r="R36" s="7" t="b">
        <f t="shared" ref="R36:R67" si="39">IF($P36,J36,IF((C36="1"),OR($AR$2,$AR$9)))</f>
        <v>0</v>
      </c>
      <c r="S36" s="10" t="b">
        <f t="shared" si="22"/>
        <v>1</v>
      </c>
      <c r="T36" s="12" t="b">
        <f t="shared" si="23"/>
        <v>1</v>
      </c>
      <c r="U36" s="17" t="b">
        <f t="shared" si="24"/>
        <v>0</v>
      </c>
      <c r="V36" s="13" t="b">
        <f t="shared" si="25"/>
        <v>0</v>
      </c>
      <c r="W36" s="15" t="b">
        <f t="shared" si="26"/>
        <v>0</v>
      </c>
      <c r="X36" s="6">
        <f>IF(W36,LOOKUP(A36,Load_Switch_NFET[PARTNUMBER],Load_Switch_NFET[RDSON10])*1000,IF(V36,LOOKUP(A36,Load_Switch_NFET[PARTNUMBER],Load_Switch_NFET[RDSON8])*1000,IF(U36,LOOKUP(A36,Load_Switch_NFET[PARTNUMBER],Load_Switch_NFET[RDSON6])*1000,IF(T36,LOOKUP(A36,Load_Switch_NFET[PARTNUMBER],Load_Switch_NFET[RDSON45])*1000,IF(S36,LOOKUP(A36,Load_Switch_NFET[PARTNUMBER],Load_Switch_NFET[RDSON3])*1000,IF(R36,LOOKUP(A36,Load_Switch_NFET[PARTNUMBER],Load_Switch_NFET[RDSON25])*1000,IF(Q36,LOOKUP(A36,Load_Switch_NFET[PARTNUMBER],Load_Switch_NFET[RDSON18])*1000,"")))))))</f>
        <v>2.6</v>
      </c>
      <c r="Y36" s="19">
        <f>IF(AND(A36&lt;&gt;0,A36&lt;&gt;""),X36*(1+(Tj-25)*(LOOKUP(A36,Load_Switch_NFET[PARTNUMBER],Load_Switch_NFET[RDSDELTA])/((LOOKUP(A36,Load_Switch_NFET[PARTNUMBER],Load_Switch_NFET[TJMAX])-25)))),"")</f>
        <v>3.0472000000000001</v>
      </c>
      <c r="Z36" s="6">
        <f>IF(AND(A36&lt;&gt;0,A36&lt;&gt;""),LOOKUP(A36,Load_Switch_NFET[PARTNUMBER],Load_Switch_NFET[VTHMAX]),"")</f>
        <v>1.6</v>
      </c>
      <c r="AA36" s="6">
        <f>IF(AND(A36&lt;&gt;0,A36&lt;&gt;""),LOOKUP(A36,Load_Switch_NFET[PARTNUMBER],Load_Switch_NFET[VTHMIN]),"")</f>
        <v>0.9</v>
      </c>
      <c r="AB36" s="6">
        <f t="shared" si="27"/>
        <v>3</v>
      </c>
      <c r="AC36" s="6">
        <f>IF(AND(A36&lt;&gt;0,A36&lt;&gt;""),LOOKUP(A36,Load_Switch_NFET[PARTNUMBER],Load_Switch_NFET[RGIMAX]),"")</f>
        <v>2.8</v>
      </c>
      <c r="AD36" s="6">
        <f>IF(AND($A36&lt;&gt;0,$A36&lt;&gt;""),LOOKUP($A36,Load_Switch_NFET[PARTNUMBER],Load_Switch_NFET[QGTYP]),"")</f>
        <v>18</v>
      </c>
      <c r="AE36" s="6">
        <f>IF(AND($A36&lt;&gt;0,$A36&lt;&gt;""),LOOKUP($A36,Load_Switch_NFET[PARTNUMBER],Load_Switch_NFET[QGS]),"")</f>
        <v>5.6</v>
      </c>
      <c r="AF36" s="6">
        <f>IF(AND($A36&lt;&gt;0,$A36&lt;&gt;""),LOOKUP($A36,Load_Switch_NFET[PARTNUMBER],Load_Switch_NFET[QGD]),"")</f>
        <v>4</v>
      </c>
      <c r="AG36" s="6">
        <f>IF(AND($A36&lt;&gt;0,$A36&lt;&gt;""),LOOKUP($A36,Load_Switch_NFET[PARTNUMBER],Load_Switch_NFET[QGTH]),"")</f>
        <v>3</v>
      </c>
      <c r="AH36" s="6">
        <f>IF(AND($A36&lt;&gt;0,$A36&lt;&gt;""),LOOKUP($A36,Load_Switch_NFET[PARTNUMBER],Load_Switch_NFET[VMILLER]),"")</f>
        <v>2.29</v>
      </c>
      <c r="AI36" s="6">
        <f>IF(AND($A36&lt;&gt;0,$A36&lt;&gt;""),LOOKUP($A36,Load_Switch_NFET[PARTNUMBER],Load_Switch_NFET[COSS_AT_VDSSPEC]),"")</f>
        <v>1.44</v>
      </c>
      <c r="AJ36" s="6">
        <f t="shared" si="28"/>
        <v>6.6</v>
      </c>
      <c r="AK36" s="6">
        <f t="shared" si="29"/>
        <v>1.25</v>
      </c>
      <c r="AL36" s="6">
        <f t="shared" si="30"/>
        <v>1.2188800000000001E-2</v>
      </c>
      <c r="AM36" s="49">
        <f t="shared" si="31"/>
        <v>1.2E-2</v>
      </c>
      <c r="AN36" s="46">
        <f>IF(AND($A36&lt;&gt;0,$A36&lt;&gt;""),LOOKUP($A36,Load_Switch_NFET[PARTNUMBER],Load_Switch_NFET[1KPRICE]),"")</f>
        <v>0.59199999999999997</v>
      </c>
      <c r="AO36" s="6" t="str">
        <f>IF(AND($A36&lt;&gt;0,$A36&lt;&gt;""),LOOKUP(A36,Load_Switch_NFET[PARTNUMBER],Load_Switch_NFET[TI_EQ_PACKAGE]),"")</f>
        <v>SON5X6</v>
      </c>
      <c r="AP36" s="6" t="str">
        <f t="shared" si="32"/>
        <v>CSD17303Q5, SON5X6, 0.012W, $0.592</v>
      </c>
    </row>
    <row r="37" spans="1:42" ht="30" x14ac:dyDescent="0.25">
      <c r="A37" s="6" t="str">
        <f>IF(CH="N",NLogic!B37,"")</f>
        <v>CSD17304Q3</v>
      </c>
      <c r="B37" s="23" t="str">
        <f>IF(OR($A37=0,$A37=""),"0",IF(LOOKUP($A37,Load_Switch_NFET[PARTNUMBER],Load_Switch_NFET[RDSON18])="(NULL)","0","1"))</f>
        <v>0</v>
      </c>
      <c r="C37" s="8" t="str">
        <f>IF(OR($A37=0,$A37=""),"0",IF(LOOKUP($A37,Load_Switch_NFET[PARTNUMBER],Load_Switch_NFET[RDSON25])="(NULL)","0","1"))</f>
        <v>0</v>
      </c>
      <c r="D37" s="9" t="str">
        <f>IF(OR($A37=0,$A37=""),"0",IF(LOOKUP($A37,Load_Switch_NFET[PARTNUMBER],Load_Switch_NFET[RDSON3])="(NULL)","0","1"))</f>
        <v>1</v>
      </c>
      <c r="E37" s="11" t="str">
        <f>IF(OR($A37=0,$A37=""),"0",IF(LOOKUP($A37,Load_Switch_NFET[PARTNUMBER],Load_Switch_NFET[RDSON45])="(NULL)","0","1"))</f>
        <v>1</v>
      </c>
      <c r="F37" s="16" t="str">
        <f>IF(OR($A37=0,$A37=""),"0",IF(LOOKUP($A37,Load_Switch_NFET[PARTNUMBER],Load_Switch_NFET[RDSON6])="(NULL)","0","1"))</f>
        <v>0</v>
      </c>
      <c r="G37" s="3" t="str">
        <f>IF(OR($A37=0,$A37=""),"0",IF(LOOKUP($A37,Load_Switch_NFET[PARTNUMBER],Load_Switch_NFET[RDSON8])="(NULL)","0","1"))</f>
        <v>1</v>
      </c>
      <c r="H37" s="14" t="str">
        <f>IF(OR($A37=0,$A37=""),"0",IF(LOOKUP($A37,Load_Switch_NFET[PARTNUMBER],Load_Switch_NFET[RDSON10])="(NULL)","0","1"))</f>
        <v>0</v>
      </c>
      <c r="I37" s="24" t="b">
        <f t="shared" si="10"/>
        <v>0</v>
      </c>
      <c r="J37" s="7" t="b">
        <f t="shared" si="33"/>
        <v>0</v>
      </c>
      <c r="K37" s="10" t="b">
        <f t="shared" si="34"/>
        <v>1</v>
      </c>
      <c r="L37" s="12" t="b">
        <f t="shared" si="35"/>
        <v>1</v>
      </c>
      <c r="M37" s="17" t="b">
        <f t="shared" si="36"/>
        <v>0</v>
      </c>
      <c r="N37" s="13" t="b">
        <f t="shared" si="37"/>
        <v>0</v>
      </c>
      <c r="O37" s="15" t="b">
        <f t="shared" si="38"/>
        <v>0</v>
      </c>
      <c r="P37" s="18" t="b">
        <f t="shared" si="17"/>
        <v>1</v>
      </c>
      <c r="Q37" s="24" t="b">
        <f t="shared" si="20"/>
        <v>0</v>
      </c>
      <c r="R37" s="7" t="b">
        <f t="shared" si="39"/>
        <v>0</v>
      </c>
      <c r="S37" s="10" t="b">
        <f t="shared" si="22"/>
        <v>1</v>
      </c>
      <c r="T37" s="12" t="b">
        <f t="shared" si="23"/>
        <v>1</v>
      </c>
      <c r="U37" s="17" t="b">
        <f t="shared" si="24"/>
        <v>0</v>
      </c>
      <c r="V37" s="13" t="b">
        <f t="shared" si="25"/>
        <v>0</v>
      </c>
      <c r="W37" s="15" t="b">
        <f t="shared" si="26"/>
        <v>0</v>
      </c>
      <c r="X37" s="6">
        <f>IF(W37,LOOKUP(A37,Load_Switch_NFET[PARTNUMBER],Load_Switch_NFET[RDSON10])*1000,IF(V37,LOOKUP(A37,Load_Switch_NFET[PARTNUMBER],Load_Switch_NFET[RDSON8])*1000,IF(U37,LOOKUP(A37,Load_Switch_NFET[PARTNUMBER],Load_Switch_NFET[RDSON6])*1000,IF(T37,LOOKUP(A37,Load_Switch_NFET[PARTNUMBER],Load_Switch_NFET[RDSON45])*1000,IF(S37,LOOKUP(A37,Load_Switch_NFET[PARTNUMBER],Load_Switch_NFET[RDSON3])*1000,IF(R37,LOOKUP(A37,Load_Switch_NFET[PARTNUMBER],Load_Switch_NFET[RDSON25])*1000,IF(Q37,LOOKUP(A37,Load_Switch_NFET[PARTNUMBER],Load_Switch_NFET[RDSON18])*1000,"")))))))</f>
        <v>8.8000000000000007</v>
      </c>
      <c r="Y37" s="19">
        <f>IF(AND(A37&lt;&gt;0,A37&lt;&gt;""),X37*(1+(Tj-25)*(LOOKUP(A37,Load_Switch_NFET[PARTNUMBER],Load_Switch_NFET[RDSDELTA])/((LOOKUP(A37,Load_Switch_NFET[PARTNUMBER],Load_Switch_NFET[TJMAX])-25)))),"")</f>
        <v>10.5952</v>
      </c>
      <c r="Z37" s="6">
        <f>IF(AND(A37&lt;&gt;0,A37&lt;&gt;""),LOOKUP(A37,Load_Switch_NFET[PARTNUMBER],Load_Switch_NFET[VTHMAX]),"")</f>
        <v>1.8</v>
      </c>
      <c r="AA37" s="6">
        <f>IF(AND(A37&lt;&gt;0,A37&lt;&gt;""),LOOKUP(A37,Load_Switch_NFET[PARTNUMBER],Load_Switch_NFET[VTHMIN]),"")</f>
        <v>0.9</v>
      </c>
      <c r="AB37" s="6">
        <f t="shared" si="27"/>
        <v>3</v>
      </c>
      <c r="AC37" s="6">
        <f>IF(AND(A37&lt;&gt;0,A37&lt;&gt;""),LOOKUP(A37,Load_Switch_NFET[PARTNUMBER],Load_Switch_NFET[RGIMAX]),"")</f>
        <v>2.2000000000000002</v>
      </c>
      <c r="AD37" s="6">
        <f>IF(AND($A37&lt;&gt;0,$A37&lt;&gt;""),LOOKUP($A37,Load_Switch_NFET[PARTNUMBER],Load_Switch_NFET[QGTYP]),"")</f>
        <v>5.0999999999999996</v>
      </c>
      <c r="AE37" s="6">
        <f>IF(AND($A37&lt;&gt;0,$A37&lt;&gt;""),LOOKUP($A37,Load_Switch_NFET[PARTNUMBER],Load_Switch_NFET[QGS]),"")</f>
        <v>1.8</v>
      </c>
      <c r="AF37" s="6">
        <f>IF(AND($A37&lt;&gt;0,$A37&lt;&gt;""),LOOKUP($A37,Load_Switch_NFET[PARTNUMBER],Load_Switch_NFET[QGD]),"")</f>
        <v>1.1000000000000001</v>
      </c>
      <c r="AG37" s="6">
        <f>IF(AND($A37&lt;&gt;0,$A37&lt;&gt;""),LOOKUP($A37,Load_Switch_NFET[PARTNUMBER],Load_Switch_NFET[QGTH]),"")</f>
        <v>0.9</v>
      </c>
      <c r="AH37" s="6">
        <f>IF(AND($A37&lt;&gt;0,$A37&lt;&gt;""),LOOKUP($A37,Load_Switch_NFET[PARTNUMBER],Load_Switch_NFET[VMILLER]),"")</f>
        <v>2.5099999999999998</v>
      </c>
      <c r="AI37" s="6">
        <f>IF(AND($A37&lt;&gt;0,$A37&lt;&gt;""),LOOKUP($A37,Load_Switch_NFET[PARTNUMBER],Load_Switch_NFET[COSS_AT_VDSSPEC]),"")</f>
        <v>0.39</v>
      </c>
      <c r="AJ37" s="6">
        <f t="shared" si="28"/>
        <v>2.0000000000000004</v>
      </c>
      <c r="AK37" s="6">
        <f t="shared" si="29"/>
        <v>1.35</v>
      </c>
      <c r="AL37" s="6">
        <f t="shared" si="30"/>
        <v>4.2380800000000003E-2</v>
      </c>
      <c r="AM37" s="49">
        <f t="shared" si="31"/>
        <v>4.2000000000000003E-2</v>
      </c>
      <c r="AN37" s="46">
        <f>IF(AND($A37&lt;&gt;0,$A37&lt;&gt;""),LOOKUP($A37,Load_Switch_NFET[PARTNUMBER],Load_Switch_NFET[1KPRICE]),"")</f>
        <v>0.26600000000000001</v>
      </c>
      <c r="AO37" s="6" t="str">
        <f>IF(AND($A37&lt;&gt;0,$A37&lt;&gt;""),LOOKUP(A37,Load_Switch_NFET[PARTNUMBER],Load_Switch_NFET[TI_EQ_PACKAGE]),"")</f>
        <v>SON3X3</v>
      </c>
      <c r="AP37" s="6" t="str">
        <f t="shared" si="32"/>
        <v>CSD17304Q3, SON3X3, 0.042W, $0.266</v>
      </c>
    </row>
    <row r="38" spans="1:42" ht="30" x14ac:dyDescent="0.25">
      <c r="A38" s="6" t="str">
        <f>IF(CH="N",NLogic!B38,"")</f>
        <v>CSD17305Q5A</v>
      </c>
      <c r="B38" s="23" t="str">
        <f>IF(OR($A38=0,$A38=""),"0",IF(LOOKUP($A38,Load_Switch_NFET[PARTNUMBER],Load_Switch_NFET[RDSON18])="(NULL)","0","1"))</f>
        <v>0</v>
      </c>
      <c r="C38" s="8" t="str">
        <f>IF(OR($A38=0,$A38=""),"0",IF(LOOKUP($A38,Load_Switch_NFET[PARTNUMBER],Load_Switch_NFET[RDSON25])="(NULL)","0","1"))</f>
        <v>0</v>
      </c>
      <c r="D38" s="9" t="str">
        <f>IF(OR($A38=0,$A38=""),"0",IF(LOOKUP($A38,Load_Switch_NFET[PARTNUMBER],Load_Switch_NFET[RDSON3])="(NULL)","0","1"))</f>
        <v>1</v>
      </c>
      <c r="E38" s="11" t="str">
        <f>IF(OR($A38=0,$A38=""),"0",IF(LOOKUP($A38,Load_Switch_NFET[PARTNUMBER],Load_Switch_NFET[RDSON45])="(NULL)","0","1"))</f>
        <v>1</v>
      </c>
      <c r="F38" s="16" t="str">
        <f>IF(OR($A38=0,$A38=""),"0",IF(LOOKUP($A38,Load_Switch_NFET[PARTNUMBER],Load_Switch_NFET[RDSON6])="(NULL)","0","1"))</f>
        <v>0</v>
      </c>
      <c r="G38" s="3" t="str">
        <f>IF(OR($A38=0,$A38=""),"0",IF(LOOKUP($A38,Load_Switch_NFET[PARTNUMBER],Load_Switch_NFET[RDSON8])="(NULL)","0","1"))</f>
        <v>1</v>
      </c>
      <c r="H38" s="14" t="str">
        <f>IF(OR($A38=0,$A38=""),"0",IF(LOOKUP($A38,Load_Switch_NFET[PARTNUMBER],Load_Switch_NFET[RDSON10])="(NULL)","0","1"))</f>
        <v>0</v>
      </c>
      <c r="I38" s="24" t="b">
        <f t="shared" si="10"/>
        <v>0</v>
      </c>
      <c r="J38" s="7" t="b">
        <f t="shared" si="33"/>
        <v>0</v>
      </c>
      <c r="K38" s="10" t="b">
        <f t="shared" si="34"/>
        <v>1</v>
      </c>
      <c r="L38" s="12" t="b">
        <f t="shared" si="35"/>
        <v>1</v>
      </c>
      <c r="M38" s="17" t="b">
        <f t="shared" si="36"/>
        <v>0</v>
      </c>
      <c r="N38" s="13" t="b">
        <f t="shared" si="37"/>
        <v>0</v>
      </c>
      <c r="O38" s="15" t="b">
        <f t="shared" si="38"/>
        <v>0</v>
      </c>
      <c r="P38" s="18" t="b">
        <f t="shared" si="17"/>
        <v>1</v>
      </c>
      <c r="Q38" s="24" t="b">
        <f t="shared" si="20"/>
        <v>0</v>
      </c>
      <c r="R38" s="7" t="b">
        <f t="shared" si="39"/>
        <v>0</v>
      </c>
      <c r="S38" s="10" t="b">
        <f t="shared" si="22"/>
        <v>1</v>
      </c>
      <c r="T38" s="12" t="b">
        <f t="shared" si="23"/>
        <v>1</v>
      </c>
      <c r="U38" s="17" t="b">
        <f t="shared" si="24"/>
        <v>0</v>
      </c>
      <c r="V38" s="13" t="b">
        <f t="shared" si="25"/>
        <v>0</v>
      </c>
      <c r="W38" s="15" t="b">
        <f t="shared" si="26"/>
        <v>0</v>
      </c>
      <c r="X38" s="6">
        <f>IF(W38,LOOKUP(A38,Load_Switch_NFET[PARTNUMBER],Load_Switch_NFET[RDSON10])*1000,IF(V38,LOOKUP(A38,Load_Switch_NFET[PARTNUMBER],Load_Switch_NFET[RDSON8])*1000,IF(U38,LOOKUP(A38,Load_Switch_NFET[PARTNUMBER],Load_Switch_NFET[RDSON6])*1000,IF(T38,LOOKUP(A38,Load_Switch_NFET[PARTNUMBER],Load_Switch_NFET[RDSON45])*1000,IF(S38,LOOKUP(A38,Load_Switch_NFET[PARTNUMBER],Load_Switch_NFET[RDSON3])*1000,IF(R38,LOOKUP(A38,Load_Switch_NFET[PARTNUMBER],Load_Switch_NFET[RDSON25])*1000,IF(Q38,LOOKUP(A38,Load_Switch_NFET[PARTNUMBER],Load_Switch_NFET[RDSON18])*1000,"")))))))</f>
        <v>3.6</v>
      </c>
      <c r="Y38" s="19">
        <f>IF(AND(A38&lt;&gt;0,A38&lt;&gt;""),X38*(1+(Tj-25)*(LOOKUP(A38,Load_Switch_NFET[PARTNUMBER],Load_Switch_NFET[RDSDELTA])/((LOOKUP(A38,Load_Switch_NFET[PARTNUMBER],Load_Switch_NFET[TJMAX])-25)))),"")</f>
        <v>4.4063999999999997</v>
      </c>
      <c r="Z38" s="6">
        <f>IF(AND(A38&lt;&gt;0,A38&lt;&gt;""),LOOKUP(A38,Load_Switch_NFET[PARTNUMBER],Load_Switch_NFET[VTHMAX]),"")</f>
        <v>1.6</v>
      </c>
      <c r="AA38" s="6">
        <f>IF(AND(A38&lt;&gt;0,A38&lt;&gt;""),LOOKUP(A38,Load_Switch_NFET[PARTNUMBER],Load_Switch_NFET[VTHMIN]),"")</f>
        <v>0.9</v>
      </c>
      <c r="AB38" s="6">
        <f t="shared" si="27"/>
        <v>3</v>
      </c>
      <c r="AC38" s="6">
        <f>IF(AND(A38&lt;&gt;0,A38&lt;&gt;""),LOOKUP(A38,Load_Switch_NFET[PARTNUMBER],Load_Switch_NFET[RGIMAX]),"")</f>
        <v>2</v>
      </c>
      <c r="AD38" s="6">
        <f>IF(AND($A38&lt;&gt;0,$A38&lt;&gt;""),LOOKUP($A38,Load_Switch_NFET[PARTNUMBER],Load_Switch_NFET[QGTYP]),"")</f>
        <v>14.1</v>
      </c>
      <c r="AE38" s="6">
        <f>IF(AND($A38&lt;&gt;0,$A38&lt;&gt;""),LOOKUP($A38,Load_Switch_NFET[PARTNUMBER],Load_Switch_NFET[QGS]),"")</f>
        <v>4.5</v>
      </c>
      <c r="AF38" s="6">
        <f>IF(AND($A38&lt;&gt;0,$A38&lt;&gt;""),LOOKUP($A38,Load_Switch_NFET[PARTNUMBER],Load_Switch_NFET[QGD]),"")</f>
        <v>3</v>
      </c>
      <c r="AG38" s="6">
        <f>IF(AND($A38&lt;&gt;0,$A38&lt;&gt;""),LOOKUP($A38,Load_Switch_NFET[PARTNUMBER],Load_Switch_NFET[QGTH]),"")</f>
        <v>2.2000000000000002</v>
      </c>
      <c r="AH38" s="6">
        <f>IF(AND($A38&lt;&gt;0,$A38&lt;&gt;""),LOOKUP($A38,Load_Switch_NFET[PARTNUMBER],Load_Switch_NFET[VMILLER]),"")</f>
        <v>2.34</v>
      </c>
      <c r="AI38" s="6">
        <f>IF(AND($A38&lt;&gt;0,$A38&lt;&gt;""),LOOKUP($A38,Load_Switch_NFET[PARTNUMBER],Load_Switch_NFET[COSS_AT_VDSSPEC]),"")</f>
        <v>1.1000000000000001</v>
      </c>
      <c r="AJ38" s="6">
        <f t="shared" si="28"/>
        <v>5.3</v>
      </c>
      <c r="AK38" s="6">
        <f t="shared" si="29"/>
        <v>1.25</v>
      </c>
      <c r="AL38" s="6">
        <f t="shared" si="30"/>
        <v>1.7625599999999998E-2</v>
      </c>
      <c r="AM38" s="49">
        <f t="shared" si="31"/>
        <v>1.7999999999999999E-2</v>
      </c>
      <c r="AN38" s="46">
        <f>IF(AND($A38&lt;&gt;0,$A38&lt;&gt;""),LOOKUP($A38,Load_Switch_NFET[PARTNUMBER],Load_Switch_NFET[1KPRICE]),"")</f>
        <v>0.47099999999999997</v>
      </c>
      <c r="AO38" s="6" t="str">
        <f>IF(AND($A38&lt;&gt;0,$A38&lt;&gt;""),LOOKUP(A38,Load_Switch_NFET[PARTNUMBER],Load_Switch_NFET[TI_EQ_PACKAGE]),"")</f>
        <v>SON5X6</v>
      </c>
      <c r="AP38" s="6" t="str">
        <f t="shared" si="32"/>
        <v>CSD17305Q5A, SON5X6, 0.018W, $0.471</v>
      </c>
    </row>
    <row r="39" spans="1:42" ht="30" x14ac:dyDescent="0.25">
      <c r="A39" s="6" t="str">
        <f>IF(CH="N",NLogic!B39,"")</f>
        <v>CSD17306Q5A</v>
      </c>
      <c r="B39" s="23" t="str">
        <f>IF(OR($A39=0,$A39=""),"0",IF(LOOKUP($A39,Load_Switch_NFET[PARTNUMBER],Load_Switch_NFET[RDSON18])="(NULL)","0","1"))</f>
        <v>0</v>
      </c>
      <c r="C39" s="8" t="str">
        <f>IF(OR($A39=0,$A39=""),"0",IF(LOOKUP($A39,Load_Switch_NFET[PARTNUMBER],Load_Switch_NFET[RDSON25])="(NULL)","0","1"))</f>
        <v>0</v>
      </c>
      <c r="D39" s="9" t="str">
        <f>IF(OR($A39=0,$A39=""),"0",IF(LOOKUP($A39,Load_Switch_NFET[PARTNUMBER],Load_Switch_NFET[RDSON3])="(NULL)","0","1"))</f>
        <v>1</v>
      </c>
      <c r="E39" s="11" t="str">
        <f>IF(OR($A39=0,$A39=""),"0",IF(LOOKUP($A39,Load_Switch_NFET[PARTNUMBER],Load_Switch_NFET[RDSON45])="(NULL)","0","1"))</f>
        <v>1</v>
      </c>
      <c r="F39" s="16" t="str">
        <f>IF(OR($A39=0,$A39=""),"0",IF(LOOKUP($A39,Load_Switch_NFET[PARTNUMBER],Load_Switch_NFET[RDSON6])="(NULL)","0","1"))</f>
        <v>0</v>
      </c>
      <c r="G39" s="3" t="str">
        <f>IF(OR($A39=0,$A39=""),"0",IF(LOOKUP($A39,Load_Switch_NFET[PARTNUMBER],Load_Switch_NFET[RDSON8])="(NULL)","0","1"))</f>
        <v>1</v>
      </c>
      <c r="H39" s="14" t="str">
        <f>IF(OR($A39=0,$A39=""),"0",IF(LOOKUP($A39,Load_Switch_NFET[PARTNUMBER],Load_Switch_NFET[RDSON10])="(NULL)","0","1"))</f>
        <v>0</v>
      </c>
      <c r="I39" s="24" t="b">
        <f t="shared" si="10"/>
        <v>0</v>
      </c>
      <c r="J39" s="7" t="b">
        <f t="shared" si="33"/>
        <v>0</v>
      </c>
      <c r="K39" s="10" t="b">
        <f t="shared" si="34"/>
        <v>1</v>
      </c>
      <c r="L39" s="12" t="b">
        <f t="shared" si="35"/>
        <v>1</v>
      </c>
      <c r="M39" s="17" t="b">
        <f t="shared" si="36"/>
        <v>0</v>
      </c>
      <c r="N39" s="13" t="b">
        <f t="shared" si="37"/>
        <v>0</v>
      </c>
      <c r="O39" s="15" t="b">
        <f t="shared" si="38"/>
        <v>0</v>
      </c>
      <c r="P39" s="18" t="b">
        <f t="shared" si="17"/>
        <v>1</v>
      </c>
      <c r="Q39" s="24" t="b">
        <f t="shared" si="20"/>
        <v>0</v>
      </c>
      <c r="R39" s="7" t="b">
        <f t="shared" si="39"/>
        <v>0</v>
      </c>
      <c r="S39" s="10" t="b">
        <f t="shared" si="22"/>
        <v>1</v>
      </c>
      <c r="T39" s="12" t="b">
        <f t="shared" si="23"/>
        <v>1</v>
      </c>
      <c r="U39" s="17" t="b">
        <f t="shared" si="24"/>
        <v>0</v>
      </c>
      <c r="V39" s="13" t="b">
        <f t="shared" si="25"/>
        <v>0</v>
      </c>
      <c r="W39" s="15" t="b">
        <f t="shared" si="26"/>
        <v>0</v>
      </c>
      <c r="X39" s="6">
        <f>IF(W39,LOOKUP(A39,Load_Switch_NFET[PARTNUMBER],Load_Switch_NFET[RDSON10])*1000,IF(V39,LOOKUP(A39,Load_Switch_NFET[PARTNUMBER],Load_Switch_NFET[RDSON8])*1000,IF(U39,LOOKUP(A39,Load_Switch_NFET[PARTNUMBER],Load_Switch_NFET[RDSON6])*1000,IF(T39,LOOKUP(A39,Load_Switch_NFET[PARTNUMBER],Load_Switch_NFET[RDSON45])*1000,IF(S39,LOOKUP(A39,Load_Switch_NFET[PARTNUMBER],Load_Switch_NFET[RDSON3])*1000,IF(R39,LOOKUP(A39,Load_Switch_NFET[PARTNUMBER],Load_Switch_NFET[RDSON25])*1000,IF(Q39,LOOKUP(A39,Load_Switch_NFET[PARTNUMBER],Load_Switch_NFET[RDSON18])*1000,"")))))))</f>
        <v>4.2</v>
      </c>
      <c r="Y39" s="19">
        <f>IF(AND(A39&lt;&gt;0,A39&lt;&gt;""),X39*(1+(Tj-25)*(LOOKUP(A39,Load_Switch_NFET[PARTNUMBER],Load_Switch_NFET[RDSDELTA])/((LOOKUP(A39,Load_Switch_NFET[PARTNUMBER],Load_Switch_NFET[TJMAX])-25)))),"")</f>
        <v>5.0903999999999998</v>
      </c>
      <c r="Z39" s="6">
        <f>IF(AND(A39&lt;&gt;0,A39&lt;&gt;""),LOOKUP(A39,Load_Switch_NFET[PARTNUMBER],Load_Switch_NFET[VTHMAX]),"")</f>
        <v>1.6</v>
      </c>
      <c r="AA39" s="6">
        <f>IF(AND(A39&lt;&gt;0,A39&lt;&gt;""),LOOKUP(A39,Load_Switch_NFET[PARTNUMBER],Load_Switch_NFET[VTHMIN]),"")</f>
        <v>0.9</v>
      </c>
      <c r="AB39" s="6">
        <f t="shared" si="27"/>
        <v>3</v>
      </c>
      <c r="AC39" s="6">
        <f>IF(AND(A39&lt;&gt;0,A39&lt;&gt;""),LOOKUP(A39,Load_Switch_NFET[PARTNUMBER],Load_Switch_NFET[RGIMAX]),"")</f>
        <v>2</v>
      </c>
      <c r="AD39" s="6">
        <f>IF(AND($A39&lt;&gt;0,$A39&lt;&gt;""),LOOKUP($A39,Load_Switch_NFET[PARTNUMBER],Load_Switch_NFET[QGTYP]),"")</f>
        <v>11.8</v>
      </c>
      <c r="AE39" s="6">
        <f>IF(AND($A39&lt;&gt;0,$A39&lt;&gt;""),LOOKUP($A39,Load_Switch_NFET[PARTNUMBER],Load_Switch_NFET[QGS]),"")</f>
        <v>3.5</v>
      </c>
      <c r="AF39" s="6">
        <f>IF(AND($A39&lt;&gt;0,$A39&lt;&gt;""),LOOKUP($A39,Load_Switch_NFET[PARTNUMBER],Load_Switch_NFET[QGD]),"")</f>
        <v>2.4</v>
      </c>
      <c r="AG39" s="6">
        <f>IF(AND($A39&lt;&gt;0,$A39&lt;&gt;""),LOOKUP($A39,Load_Switch_NFET[PARTNUMBER],Load_Switch_NFET[QGTH]),"")</f>
        <v>1.8</v>
      </c>
      <c r="AH39" s="6">
        <f>IF(AND($A39&lt;&gt;0,$A39&lt;&gt;""),LOOKUP($A39,Load_Switch_NFET[PARTNUMBER],Load_Switch_NFET[VMILLER]),"")</f>
        <v>2.14</v>
      </c>
      <c r="AI39" s="6">
        <f>IF(AND($A39&lt;&gt;0,$A39&lt;&gt;""),LOOKUP($A39,Load_Switch_NFET[PARTNUMBER],Load_Switch_NFET[COSS_AT_VDSSPEC]),"")</f>
        <v>0.89</v>
      </c>
      <c r="AJ39" s="6">
        <f t="shared" si="28"/>
        <v>4.1000000000000005</v>
      </c>
      <c r="AK39" s="6">
        <f t="shared" si="29"/>
        <v>1.25</v>
      </c>
      <c r="AL39" s="6">
        <f t="shared" si="30"/>
        <v>2.0361600000000001E-2</v>
      </c>
      <c r="AM39" s="49">
        <f t="shared" si="31"/>
        <v>0.02</v>
      </c>
      <c r="AN39" s="46">
        <f>IF(AND($A39&lt;&gt;0,$A39&lt;&gt;""),LOOKUP($A39,Load_Switch_NFET[PARTNUMBER],Load_Switch_NFET[1KPRICE]),"")</f>
        <v>0.40400000000000003</v>
      </c>
      <c r="AO39" s="6" t="str">
        <f>IF(AND($A39&lt;&gt;0,$A39&lt;&gt;""),LOOKUP(A39,Load_Switch_NFET[PARTNUMBER],Load_Switch_NFET[TI_EQ_PACKAGE]),"")</f>
        <v>SON5X6</v>
      </c>
      <c r="AP39" s="6" t="str">
        <f t="shared" si="32"/>
        <v>CSD17306Q5A, SON5X6, 0.02W, $0.404</v>
      </c>
    </row>
    <row r="40" spans="1:42" ht="30" x14ac:dyDescent="0.25">
      <c r="A40" s="6" t="str">
        <f>IF(CH="N",NLogic!B40,"")</f>
        <v>CSD17307Q5A</v>
      </c>
      <c r="B40" s="23" t="str">
        <f>IF(OR($A40=0,$A40=""),"0",IF(LOOKUP($A40,Load_Switch_NFET[PARTNUMBER],Load_Switch_NFET[RDSON18])="(NULL)","0","1"))</f>
        <v>0</v>
      </c>
      <c r="C40" s="8" t="str">
        <f>IF(OR($A40=0,$A40=""),"0",IF(LOOKUP($A40,Load_Switch_NFET[PARTNUMBER],Load_Switch_NFET[RDSON25])="(NULL)","0","1"))</f>
        <v>0</v>
      </c>
      <c r="D40" s="9" t="str">
        <f>IF(OR($A40=0,$A40=""),"0",IF(LOOKUP($A40,Load_Switch_NFET[PARTNUMBER],Load_Switch_NFET[RDSON3])="(NULL)","0","1"))</f>
        <v>1</v>
      </c>
      <c r="E40" s="11" t="str">
        <f>IF(OR($A40=0,$A40=""),"0",IF(LOOKUP($A40,Load_Switch_NFET[PARTNUMBER],Load_Switch_NFET[RDSON45])="(NULL)","0","1"))</f>
        <v>1</v>
      </c>
      <c r="F40" s="16" t="str">
        <f>IF(OR($A40=0,$A40=""),"0",IF(LOOKUP($A40,Load_Switch_NFET[PARTNUMBER],Load_Switch_NFET[RDSON6])="(NULL)","0","1"))</f>
        <v>0</v>
      </c>
      <c r="G40" s="3" t="str">
        <f>IF(OR($A40=0,$A40=""),"0",IF(LOOKUP($A40,Load_Switch_NFET[PARTNUMBER],Load_Switch_NFET[RDSON8])="(NULL)","0","1"))</f>
        <v>1</v>
      </c>
      <c r="H40" s="14" t="str">
        <f>IF(OR($A40=0,$A40=""),"0",IF(LOOKUP($A40,Load_Switch_NFET[PARTNUMBER],Load_Switch_NFET[RDSON10])="(NULL)","0","1"))</f>
        <v>0</v>
      </c>
      <c r="I40" s="24" t="b">
        <f t="shared" si="10"/>
        <v>0</v>
      </c>
      <c r="J40" s="7" t="b">
        <f t="shared" si="33"/>
        <v>0</v>
      </c>
      <c r="K40" s="10" t="b">
        <f t="shared" si="34"/>
        <v>1</v>
      </c>
      <c r="L40" s="12" t="b">
        <f t="shared" si="35"/>
        <v>1</v>
      </c>
      <c r="M40" s="17" t="b">
        <f t="shared" si="36"/>
        <v>0</v>
      </c>
      <c r="N40" s="13" t="b">
        <f t="shared" si="37"/>
        <v>0</v>
      </c>
      <c r="O40" s="15" t="b">
        <f t="shared" si="38"/>
        <v>0</v>
      </c>
      <c r="P40" s="18" t="b">
        <f t="shared" si="17"/>
        <v>1</v>
      </c>
      <c r="Q40" s="24" t="b">
        <f t="shared" si="20"/>
        <v>0</v>
      </c>
      <c r="R40" s="7" t="b">
        <f t="shared" si="39"/>
        <v>0</v>
      </c>
      <c r="S40" s="10" t="b">
        <f t="shared" si="22"/>
        <v>1</v>
      </c>
      <c r="T40" s="12" t="b">
        <f t="shared" si="23"/>
        <v>1</v>
      </c>
      <c r="U40" s="17" t="b">
        <f t="shared" si="24"/>
        <v>0</v>
      </c>
      <c r="V40" s="13" t="b">
        <f t="shared" si="25"/>
        <v>0</v>
      </c>
      <c r="W40" s="15" t="b">
        <f t="shared" si="26"/>
        <v>0</v>
      </c>
      <c r="X40" s="6">
        <f>IF(W40,LOOKUP(A40,Load_Switch_NFET[PARTNUMBER],Load_Switch_NFET[RDSON10])*1000,IF(V40,LOOKUP(A40,Load_Switch_NFET[PARTNUMBER],Load_Switch_NFET[RDSON8])*1000,IF(U40,LOOKUP(A40,Load_Switch_NFET[PARTNUMBER],Load_Switch_NFET[RDSON6])*1000,IF(T40,LOOKUP(A40,Load_Switch_NFET[PARTNUMBER],Load_Switch_NFET[RDSON45])*1000,IF(S40,LOOKUP(A40,Load_Switch_NFET[PARTNUMBER],Load_Switch_NFET[RDSON3])*1000,IF(R40,LOOKUP(A40,Load_Switch_NFET[PARTNUMBER],Load_Switch_NFET[RDSON25])*1000,IF(Q40,LOOKUP(A40,Load_Switch_NFET[PARTNUMBER],Load_Switch_NFET[RDSON18])*1000,"")))))))</f>
        <v>12.1</v>
      </c>
      <c r="Y40" s="19">
        <f>IF(AND(A40&lt;&gt;0,A40&lt;&gt;""),X40*(1+(Tj-25)*(LOOKUP(A40,Load_Switch_NFET[PARTNUMBER],Load_Switch_NFET[RDSDELTA])/((LOOKUP(A40,Load_Switch_NFET[PARTNUMBER],Load_Switch_NFET[TJMAX])-25)))),"")</f>
        <v>14.858799999999999</v>
      </c>
      <c r="Z40" s="6">
        <f>IF(AND(A40&lt;&gt;0,A40&lt;&gt;""),LOOKUP(A40,Load_Switch_NFET[PARTNUMBER],Load_Switch_NFET[VTHMAX]),"")</f>
        <v>1.8</v>
      </c>
      <c r="AA40" s="6">
        <f>IF(AND(A40&lt;&gt;0,A40&lt;&gt;""),LOOKUP(A40,Load_Switch_NFET[PARTNUMBER],Load_Switch_NFET[VTHMIN]),"")</f>
        <v>0.9</v>
      </c>
      <c r="AB40" s="6">
        <f t="shared" si="27"/>
        <v>3</v>
      </c>
      <c r="AC40" s="6">
        <f>IF(AND(A40&lt;&gt;0,A40&lt;&gt;""),LOOKUP(A40,Load_Switch_NFET[PARTNUMBER],Load_Switch_NFET[RGIMAX]),"")</f>
        <v>1.8</v>
      </c>
      <c r="AD40" s="6">
        <f>IF(AND($A40&lt;&gt;0,$A40&lt;&gt;""),LOOKUP($A40,Load_Switch_NFET[PARTNUMBER],Load_Switch_NFET[QGTYP]),"")</f>
        <v>4</v>
      </c>
      <c r="AE40" s="6">
        <f>IF(AND($A40&lt;&gt;0,$A40&lt;&gt;""),LOOKUP($A40,Load_Switch_NFET[PARTNUMBER],Load_Switch_NFET[QGS]),"")</f>
        <v>1.3</v>
      </c>
      <c r="AF40" s="6">
        <f>IF(AND($A40&lt;&gt;0,$A40&lt;&gt;""),LOOKUP($A40,Load_Switch_NFET[PARTNUMBER],Load_Switch_NFET[QGD]),"")</f>
        <v>1</v>
      </c>
      <c r="AG40" s="6">
        <f>IF(AND($A40&lt;&gt;0,$A40&lt;&gt;""),LOOKUP($A40,Load_Switch_NFET[PARTNUMBER],Load_Switch_NFET[QGTH]),"")</f>
        <v>0.65</v>
      </c>
      <c r="AH40" s="6">
        <f>IF(AND($A40&lt;&gt;0,$A40&lt;&gt;""),LOOKUP($A40,Load_Switch_NFET[PARTNUMBER],Load_Switch_NFET[VMILLER]),"")</f>
        <v>2.34</v>
      </c>
      <c r="AI40" s="6">
        <f>IF(AND($A40&lt;&gt;0,$A40&lt;&gt;""),LOOKUP($A40,Load_Switch_NFET[PARTNUMBER],Load_Switch_NFET[COSS_AT_VDSSPEC]),"")</f>
        <v>0.28999999999999998</v>
      </c>
      <c r="AJ40" s="6">
        <f t="shared" si="28"/>
        <v>1.65</v>
      </c>
      <c r="AK40" s="6">
        <f t="shared" si="29"/>
        <v>1.35</v>
      </c>
      <c r="AL40" s="6">
        <f t="shared" si="30"/>
        <v>5.9435199999999994E-2</v>
      </c>
      <c r="AM40" s="49">
        <f t="shared" si="31"/>
        <v>5.8999999999999997E-2</v>
      </c>
      <c r="AN40" s="46">
        <f>IF(AND($A40&lt;&gt;0,$A40&lt;&gt;""),LOOKUP($A40,Load_Switch_NFET[PARTNUMBER],Load_Switch_NFET[1KPRICE]),"")</f>
        <v>0.20799999999999999</v>
      </c>
      <c r="AO40" s="6" t="str">
        <f>IF(AND($A40&lt;&gt;0,$A40&lt;&gt;""),LOOKUP(A40,Load_Switch_NFET[PARTNUMBER],Load_Switch_NFET[TI_EQ_PACKAGE]),"")</f>
        <v>SON5X6</v>
      </c>
      <c r="AP40" s="6" t="str">
        <f t="shared" si="32"/>
        <v>CSD17307Q5A, SON5X6, 0.059W, $0.208</v>
      </c>
    </row>
    <row r="41" spans="1:42" ht="30" x14ac:dyDescent="0.25">
      <c r="A41" s="6" t="str">
        <f>IF(CH="N",NLogic!B41,"")</f>
        <v>CSD17308Q3</v>
      </c>
      <c r="B41" s="23" t="str">
        <f>IF(OR($A41=0,$A41=""),"0",IF(LOOKUP($A41,Load_Switch_NFET[PARTNUMBER],Load_Switch_NFET[RDSON18])="(NULL)","0","1"))</f>
        <v>0</v>
      </c>
      <c r="C41" s="8" t="str">
        <f>IF(OR($A41=0,$A41=""),"0",IF(LOOKUP($A41,Load_Switch_NFET[PARTNUMBER],Load_Switch_NFET[RDSON25])="(NULL)","0","1"))</f>
        <v>0</v>
      </c>
      <c r="D41" s="9" t="str">
        <f>IF(OR($A41=0,$A41=""),"0",IF(LOOKUP($A41,Load_Switch_NFET[PARTNUMBER],Load_Switch_NFET[RDSON3])="(NULL)","0","1"))</f>
        <v>1</v>
      </c>
      <c r="E41" s="11" t="str">
        <f>IF(OR($A41=0,$A41=""),"0",IF(LOOKUP($A41,Load_Switch_NFET[PARTNUMBER],Load_Switch_NFET[RDSON45])="(NULL)","0","1"))</f>
        <v>1</v>
      </c>
      <c r="F41" s="16" t="str">
        <f>IF(OR($A41=0,$A41=""),"0",IF(LOOKUP($A41,Load_Switch_NFET[PARTNUMBER],Load_Switch_NFET[RDSON6])="(NULL)","0","1"))</f>
        <v>0</v>
      </c>
      <c r="G41" s="3" t="str">
        <f>IF(OR($A41=0,$A41=""),"0",IF(LOOKUP($A41,Load_Switch_NFET[PARTNUMBER],Load_Switch_NFET[RDSON8])="(NULL)","0","1"))</f>
        <v>1</v>
      </c>
      <c r="H41" s="14" t="str">
        <f>IF(OR($A41=0,$A41=""),"0",IF(LOOKUP($A41,Load_Switch_NFET[PARTNUMBER],Load_Switch_NFET[RDSON10])="(NULL)","0","1"))</f>
        <v>0</v>
      </c>
      <c r="I41" s="24" t="b">
        <f t="shared" si="10"/>
        <v>0</v>
      </c>
      <c r="J41" s="7" t="b">
        <f t="shared" si="33"/>
        <v>0</v>
      </c>
      <c r="K41" s="10" t="b">
        <f t="shared" si="34"/>
        <v>1</v>
      </c>
      <c r="L41" s="12" t="b">
        <f t="shared" si="35"/>
        <v>1</v>
      </c>
      <c r="M41" s="17" t="b">
        <f t="shared" si="36"/>
        <v>0</v>
      </c>
      <c r="N41" s="13" t="b">
        <f t="shared" si="37"/>
        <v>0</v>
      </c>
      <c r="O41" s="15" t="b">
        <f t="shared" si="38"/>
        <v>0</v>
      </c>
      <c r="P41" s="18" t="b">
        <f t="shared" si="17"/>
        <v>1</v>
      </c>
      <c r="Q41" s="24" t="b">
        <f t="shared" si="20"/>
        <v>0</v>
      </c>
      <c r="R41" s="7" t="b">
        <f t="shared" si="39"/>
        <v>0</v>
      </c>
      <c r="S41" s="10" t="b">
        <f t="shared" si="22"/>
        <v>1</v>
      </c>
      <c r="T41" s="12" t="b">
        <f t="shared" si="23"/>
        <v>1</v>
      </c>
      <c r="U41" s="17" t="b">
        <f t="shared" si="24"/>
        <v>0</v>
      </c>
      <c r="V41" s="13" t="b">
        <f t="shared" si="25"/>
        <v>0</v>
      </c>
      <c r="W41" s="15" t="b">
        <f t="shared" si="26"/>
        <v>0</v>
      </c>
      <c r="X41" s="6">
        <f>IF(W41,LOOKUP(A41,Load_Switch_NFET[PARTNUMBER],Load_Switch_NFET[RDSON10])*1000,IF(V41,LOOKUP(A41,Load_Switch_NFET[PARTNUMBER],Load_Switch_NFET[RDSON8])*1000,IF(U41,LOOKUP(A41,Load_Switch_NFET[PARTNUMBER],Load_Switch_NFET[RDSON6])*1000,IF(T41,LOOKUP(A41,Load_Switch_NFET[PARTNUMBER],Load_Switch_NFET[RDSON45])*1000,IF(S41,LOOKUP(A41,Load_Switch_NFET[PARTNUMBER],Load_Switch_NFET[RDSON3])*1000,IF(R41,LOOKUP(A41,Load_Switch_NFET[PARTNUMBER],Load_Switch_NFET[RDSON25])*1000,IF(Q41,LOOKUP(A41,Load_Switch_NFET[PARTNUMBER],Load_Switch_NFET[RDSON18])*1000,"")))))))</f>
        <v>11.799999999999999</v>
      </c>
      <c r="Y41" s="19">
        <f>IF(AND(A41&lt;&gt;0,A41&lt;&gt;""),X41*(1+(Tj-25)*(LOOKUP(A41,Load_Switch_NFET[PARTNUMBER],Load_Switch_NFET[RDSDELTA])/((LOOKUP(A41,Load_Switch_NFET[PARTNUMBER],Load_Switch_NFET[TJMAX])-25)))),"")</f>
        <v>13.735199999999997</v>
      </c>
      <c r="Z41" s="6">
        <f>IF(AND(A41&lt;&gt;0,A41&lt;&gt;""),LOOKUP(A41,Load_Switch_NFET[PARTNUMBER],Load_Switch_NFET[VTHMAX]),"")</f>
        <v>1.8</v>
      </c>
      <c r="AA41" s="6">
        <f>IF(AND(A41&lt;&gt;0,A41&lt;&gt;""),LOOKUP(A41,Load_Switch_NFET[PARTNUMBER],Load_Switch_NFET[VTHMIN]),"")</f>
        <v>0.9</v>
      </c>
      <c r="AB41" s="6">
        <f t="shared" si="27"/>
        <v>3</v>
      </c>
      <c r="AC41" s="6">
        <f>IF(AND(A41&lt;&gt;0,A41&lt;&gt;""),LOOKUP(A41,Load_Switch_NFET[PARTNUMBER],Load_Switch_NFET[RGIMAX]),"")</f>
        <v>1.8</v>
      </c>
      <c r="AD41" s="6">
        <f>IF(AND($A41&lt;&gt;0,$A41&lt;&gt;""),LOOKUP($A41,Load_Switch_NFET[PARTNUMBER],Load_Switch_NFET[QGTYP]),"")</f>
        <v>3.9</v>
      </c>
      <c r="AE41" s="6">
        <f>IF(AND($A41&lt;&gt;0,$A41&lt;&gt;""),LOOKUP($A41,Load_Switch_NFET[PARTNUMBER],Load_Switch_NFET[QGS]),"")</f>
        <v>1.3</v>
      </c>
      <c r="AF41" s="6">
        <f>IF(AND($A41&lt;&gt;0,$A41&lt;&gt;""),LOOKUP($A41,Load_Switch_NFET[PARTNUMBER],Load_Switch_NFET[QGD]),"")</f>
        <v>0.8</v>
      </c>
      <c r="AG41" s="6">
        <f>IF(AND($A41&lt;&gt;0,$A41&lt;&gt;""),LOOKUP($A41,Load_Switch_NFET[PARTNUMBER],Load_Switch_NFET[QGTH]),"")</f>
        <v>0.7</v>
      </c>
      <c r="AH41" s="6">
        <f>IF(AND($A41&lt;&gt;0,$A41&lt;&gt;""),LOOKUP($A41,Load_Switch_NFET[PARTNUMBER],Load_Switch_NFET[VMILLER]),"")</f>
        <v>2.35</v>
      </c>
      <c r="AI41" s="6">
        <f>IF(AND($A41&lt;&gt;0,$A41&lt;&gt;""),LOOKUP($A41,Load_Switch_NFET[PARTNUMBER],Load_Switch_NFET[COSS_AT_VDSSPEC]),"")</f>
        <v>0.28000000000000003</v>
      </c>
      <c r="AJ41" s="6">
        <f t="shared" si="28"/>
        <v>1.4000000000000001</v>
      </c>
      <c r="AK41" s="6">
        <f t="shared" si="29"/>
        <v>1.35</v>
      </c>
      <c r="AL41" s="6">
        <f t="shared" si="30"/>
        <v>5.4940799999999991E-2</v>
      </c>
      <c r="AM41" s="49">
        <f t="shared" si="31"/>
        <v>5.5E-2</v>
      </c>
      <c r="AN41" s="46">
        <f>IF(AND($A41&lt;&gt;0,$A41&lt;&gt;""),LOOKUP($A41,Load_Switch_NFET[PARTNUMBER],Load_Switch_NFET[1KPRICE]),"")</f>
        <v>0.22900000000000001</v>
      </c>
      <c r="AO41" s="6" t="str">
        <f>IF(AND($A41&lt;&gt;0,$A41&lt;&gt;""),LOOKUP(A41,Load_Switch_NFET[PARTNUMBER],Load_Switch_NFET[TI_EQ_PACKAGE]),"")</f>
        <v>SON3X3</v>
      </c>
      <c r="AP41" s="6" t="str">
        <f t="shared" si="32"/>
        <v>CSD17308Q3, SON3X3, 0.055W, $0.229</v>
      </c>
    </row>
    <row r="42" spans="1:42" ht="30" x14ac:dyDescent="0.25">
      <c r="A42" s="6" t="str">
        <f>IF(CH="N",NLogic!B42,"")</f>
        <v>CSD17309Q3</v>
      </c>
      <c r="B42" s="23" t="str">
        <f>IF(OR($A42=0,$A42=""),"0",IF(LOOKUP($A42,Load_Switch_NFET[PARTNUMBER],Load_Switch_NFET[RDSON18])="(NULL)","0","1"))</f>
        <v>0</v>
      </c>
      <c r="C42" s="8" t="str">
        <f>IF(OR($A42=0,$A42=""),"0",IF(LOOKUP($A42,Load_Switch_NFET[PARTNUMBER],Load_Switch_NFET[RDSON25])="(NULL)","0","1"))</f>
        <v>0</v>
      </c>
      <c r="D42" s="9" t="str">
        <f>IF(OR($A42=0,$A42=""),"0",IF(LOOKUP($A42,Load_Switch_NFET[PARTNUMBER],Load_Switch_NFET[RDSON3])="(NULL)","0","1"))</f>
        <v>1</v>
      </c>
      <c r="E42" s="11" t="str">
        <f>IF(OR($A42=0,$A42=""),"0",IF(LOOKUP($A42,Load_Switch_NFET[PARTNUMBER],Load_Switch_NFET[RDSON45])="(NULL)","0","1"))</f>
        <v>1</v>
      </c>
      <c r="F42" s="16" t="str">
        <f>IF(OR($A42=0,$A42=""),"0",IF(LOOKUP($A42,Load_Switch_NFET[PARTNUMBER],Load_Switch_NFET[RDSON6])="(NULL)","0","1"))</f>
        <v>0</v>
      </c>
      <c r="G42" s="3" t="str">
        <f>IF(OR($A42=0,$A42=""),"0",IF(LOOKUP($A42,Load_Switch_NFET[PARTNUMBER],Load_Switch_NFET[RDSON8])="(NULL)","0","1"))</f>
        <v>1</v>
      </c>
      <c r="H42" s="14" t="str">
        <f>IF(OR($A42=0,$A42=""),"0",IF(LOOKUP($A42,Load_Switch_NFET[PARTNUMBER],Load_Switch_NFET[RDSON10])="(NULL)","0","1"))</f>
        <v>0</v>
      </c>
      <c r="I42" s="24" t="b">
        <f t="shared" si="10"/>
        <v>0</v>
      </c>
      <c r="J42" s="7" t="b">
        <f t="shared" si="33"/>
        <v>0</v>
      </c>
      <c r="K42" s="10" t="b">
        <f t="shared" si="34"/>
        <v>1</v>
      </c>
      <c r="L42" s="12" t="b">
        <f t="shared" si="35"/>
        <v>1</v>
      </c>
      <c r="M42" s="17" t="b">
        <f t="shared" si="36"/>
        <v>0</v>
      </c>
      <c r="N42" s="13" t="b">
        <f t="shared" si="37"/>
        <v>0</v>
      </c>
      <c r="O42" s="15" t="b">
        <f t="shared" si="38"/>
        <v>0</v>
      </c>
      <c r="P42" s="18" t="b">
        <f t="shared" si="17"/>
        <v>1</v>
      </c>
      <c r="Q42" s="24" t="b">
        <f t="shared" si="20"/>
        <v>0</v>
      </c>
      <c r="R42" s="7" t="b">
        <f t="shared" si="39"/>
        <v>0</v>
      </c>
      <c r="S42" s="10" t="b">
        <f t="shared" si="22"/>
        <v>1</v>
      </c>
      <c r="T42" s="12" t="b">
        <f t="shared" si="23"/>
        <v>1</v>
      </c>
      <c r="U42" s="17" t="b">
        <f t="shared" si="24"/>
        <v>0</v>
      </c>
      <c r="V42" s="13" t="b">
        <f t="shared" si="25"/>
        <v>0</v>
      </c>
      <c r="W42" s="15" t="b">
        <f t="shared" si="26"/>
        <v>0</v>
      </c>
      <c r="X42" s="6">
        <f>IF(W42,LOOKUP(A42,Load_Switch_NFET[PARTNUMBER],Load_Switch_NFET[RDSON10])*1000,IF(V42,LOOKUP(A42,Load_Switch_NFET[PARTNUMBER],Load_Switch_NFET[RDSON8])*1000,IF(U42,LOOKUP(A42,Load_Switch_NFET[PARTNUMBER],Load_Switch_NFET[RDSON6])*1000,IF(T42,LOOKUP(A42,Load_Switch_NFET[PARTNUMBER],Load_Switch_NFET[RDSON45])*1000,IF(S42,LOOKUP(A42,Load_Switch_NFET[PARTNUMBER],Load_Switch_NFET[RDSON3])*1000,IF(R42,LOOKUP(A42,Load_Switch_NFET[PARTNUMBER],Load_Switch_NFET[RDSON25])*1000,IF(Q42,LOOKUP(A42,Load_Switch_NFET[PARTNUMBER],Load_Switch_NFET[RDSON18])*1000,"")))))))</f>
        <v>6.3</v>
      </c>
      <c r="Y42" s="19">
        <f>IF(AND(A42&lt;&gt;0,A42&lt;&gt;""),X42*(1+(Tj-25)*(LOOKUP(A42,Load_Switch_NFET[PARTNUMBER],Load_Switch_NFET[RDSDELTA])/((LOOKUP(A42,Load_Switch_NFET[PARTNUMBER],Load_Switch_NFET[TJMAX])-25)))),"")</f>
        <v>7.2827999999999991</v>
      </c>
      <c r="Z42" s="6">
        <f>IF(AND(A42&lt;&gt;0,A42&lt;&gt;""),LOOKUP(A42,Load_Switch_NFET[PARTNUMBER],Load_Switch_NFET[VTHMAX]),"")</f>
        <v>1.7</v>
      </c>
      <c r="AA42" s="6">
        <f>IF(AND(A42&lt;&gt;0,A42&lt;&gt;""),LOOKUP(A42,Load_Switch_NFET[PARTNUMBER],Load_Switch_NFET[VTHMIN]),"")</f>
        <v>0.9</v>
      </c>
      <c r="AB42" s="6">
        <f t="shared" si="27"/>
        <v>3</v>
      </c>
      <c r="AC42" s="6">
        <f>IF(AND(A42&lt;&gt;0,A42&lt;&gt;""),LOOKUP(A42,Load_Switch_NFET[PARTNUMBER],Load_Switch_NFET[RGIMAX]),"")</f>
        <v>2.4</v>
      </c>
      <c r="AD42" s="6">
        <f>IF(AND($A42&lt;&gt;0,$A42&lt;&gt;""),LOOKUP($A42,Load_Switch_NFET[PARTNUMBER],Load_Switch_NFET[QGTYP]),"")</f>
        <v>7.5</v>
      </c>
      <c r="AE42" s="6">
        <f>IF(AND($A42&lt;&gt;0,$A42&lt;&gt;""),LOOKUP($A42,Load_Switch_NFET[PARTNUMBER],Load_Switch_NFET[QGS]),"")</f>
        <v>2.5</v>
      </c>
      <c r="AF42" s="6">
        <f>IF(AND($A42&lt;&gt;0,$A42&lt;&gt;""),LOOKUP($A42,Load_Switch_NFET[PARTNUMBER],Load_Switch_NFET[QGD]),"")</f>
        <v>1.7</v>
      </c>
      <c r="AG42" s="6">
        <f>IF(AND($A42&lt;&gt;0,$A42&lt;&gt;""),LOOKUP($A42,Load_Switch_NFET[PARTNUMBER],Load_Switch_NFET[QGTH]),"")</f>
        <v>1.3</v>
      </c>
      <c r="AH42" s="6">
        <f>IF(AND($A42&lt;&gt;0,$A42&lt;&gt;""),LOOKUP($A42,Load_Switch_NFET[PARTNUMBER],Load_Switch_NFET[VMILLER]),"")</f>
        <v>2.4700000000000002</v>
      </c>
      <c r="AI42" s="6">
        <f>IF(AND($A42&lt;&gt;0,$A42&lt;&gt;""),LOOKUP($A42,Load_Switch_NFET[PARTNUMBER],Load_Switch_NFET[COSS_AT_VDSSPEC]),"")</f>
        <v>0.57999999999999996</v>
      </c>
      <c r="AJ42" s="6">
        <f t="shared" si="28"/>
        <v>2.9000000000000004</v>
      </c>
      <c r="AK42" s="6">
        <f t="shared" si="29"/>
        <v>1.3</v>
      </c>
      <c r="AL42" s="6">
        <f t="shared" si="30"/>
        <v>2.9131199999999996E-2</v>
      </c>
      <c r="AM42" s="49">
        <f t="shared" si="31"/>
        <v>2.9000000000000001E-2</v>
      </c>
      <c r="AN42" s="46">
        <f>IF(AND($A42&lt;&gt;0,$A42&lt;&gt;""),LOOKUP($A42,Load_Switch_NFET[PARTNUMBER],Load_Switch_NFET[1KPRICE]),"")</f>
        <v>0.34200000000000003</v>
      </c>
      <c r="AO42" s="6" t="str">
        <f>IF(AND($A42&lt;&gt;0,$A42&lt;&gt;""),LOOKUP(A42,Load_Switch_NFET[PARTNUMBER],Load_Switch_NFET[TI_EQ_PACKAGE]),"")</f>
        <v>SON3X3</v>
      </c>
      <c r="AP42" s="6" t="str">
        <f t="shared" si="32"/>
        <v>CSD17309Q3, SON3X3, 0.029W, $0.342</v>
      </c>
    </row>
    <row r="43" spans="1:42" ht="30" x14ac:dyDescent="0.25">
      <c r="A43" s="6" t="str">
        <f>IF(CH="N",NLogic!B43,"")</f>
        <v>CSD17310Q5A</v>
      </c>
      <c r="B43" s="23" t="str">
        <f>IF(OR($A43=0,$A43=""),"0",IF(LOOKUP($A43,Load_Switch_NFET[PARTNUMBER],Load_Switch_NFET[RDSON18])="(NULL)","0","1"))</f>
        <v>0</v>
      </c>
      <c r="C43" s="8" t="str">
        <f>IF(OR($A43=0,$A43=""),"0",IF(LOOKUP($A43,Load_Switch_NFET[PARTNUMBER],Load_Switch_NFET[RDSON25])="(NULL)","0","1"))</f>
        <v>0</v>
      </c>
      <c r="D43" s="9" t="str">
        <f>IF(OR($A43=0,$A43=""),"0",IF(LOOKUP($A43,Load_Switch_NFET[PARTNUMBER],Load_Switch_NFET[RDSON3])="(NULL)","0","1"))</f>
        <v>1</v>
      </c>
      <c r="E43" s="11" t="str">
        <f>IF(OR($A43=0,$A43=""),"0",IF(LOOKUP($A43,Load_Switch_NFET[PARTNUMBER],Load_Switch_NFET[RDSON45])="(NULL)","0","1"))</f>
        <v>1</v>
      </c>
      <c r="F43" s="16" t="str">
        <f>IF(OR($A43=0,$A43=""),"0",IF(LOOKUP($A43,Load_Switch_NFET[PARTNUMBER],Load_Switch_NFET[RDSON6])="(NULL)","0","1"))</f>
        <v>0</v>
      </c>
      <c r="G43" s="3" t="str">
        <f>IF(OR($A43=0,$A43=""),"0",IF(LOOKUP($A43,Load_Switch_NFET[PARTNUMBER],Load_Switch_NFET[RDSON8])="(NULL)","0","1"))</f>
        <v>1</v>
      </c>
      <c r="H43" s="14" t="str">
        <f>IF(OR($A43=0,$A43=""),"0",IF(LOOKUP($A43,Load_Switch_NFET[PARTNUMBER],Load_Switch_NFET[RDSON10])="(NULL)","0","1"))</f>
        <v>0</v>
      </c>
      <c r="I43" s="24" t="b">
        <f t="shared" si="10"/>
        <v>0</v>
      </c>
      <c r="J43" s="7" t="b">
        <f t="shared" si="33"/>
        <v>0</v>
      </c>
      <c r="K43" s="10" t="b">
        <f t="shared" si="34"/>
        <v>1</v>
      </c>
      <c r="L43" s="12" t="b">
        <f t="shared" si="35"/>
        <v>1</v>
      </c>
      <c r="M43" s="17" t="b">
        <f t="shared" si="36"/>
        <v>0</v>
      </c>
      <c r="N43" s="13" t="b">
        <f t="shared" si="37"/>
        <v>0</v>
      </c>
      <c r="O43" s="15" t="b">
        <f t="shared" si="38"/>
        <v>0</v>
      </c>
      <c r="P43" s="18" t="b">
        <f t="shared" si="17"/>
        <v>1</v>
      </c>
      <c r="Q43" s="24" t="b">
        <f t="shared" si="20"/>
        <v>0</v>
      </c>
      <c r="R43" s="7" t="b">
        <f t="shared" si="39"/>
        <v>0</v>
      </c>
      <c r="S43" s="10" t="b">
        <f t="shared" si="22"/>
        <v>1</v>
      </c>
      <c r="T43" s="12" t="b">
        <f t="shared" si="23"/>
        <v>1</v>
      </c>
      <c r="U43" s="17" t="b">
        <f t="shared" si="24"/>
        <v>0</v>
      </c>
      <c r="V43" s="13" t="b">
        <f t="shared" si="25"/>
        <v>0</v>
      </c>
      <c r="W43" s="15" t="b">
        <f t="shared" si="26"/>
        <v>0</v>
      </c>
      <c r="X43" s="6">
        <f>IF(W43,LOOKUP(A43,Load_Switch_NFET[PARTNUMBER],Load_Switch_NFET[RDSON10])*1000,IF(V43,LOOKUP(A43,Load_Switch_NFET[PARTNUMBER],Load_Switch_NFET[RDSON8])*1000,IF(U43,LOOKUP(A43,Load_Switch_NFET[PARTNUMBER],Load_Switch_NFET[RDSON6])*1000,IF(T43,LOOKUP(A43,Load_Switch_NFET[PARTNUMBER],Load_Switch_NFET[RDSON45])*1000,IF(S43,LOOKUP(A43,Load_Switch_NFET[PARTNUMBER],Load_Switch_NFET[RDSON3])*1000,IF(R43,LOOKUP(A43,Load_Switch_NFET[PARTNUMBER],Load_Switch_NFET[RDSON25])*1000,IF(Q43,LOOKUP(A43,Load_Switch_NFET[PARTNUMBER],Load_Switch_NFET[RDSON18])*1000,"")))))))</f>
        <v>5.8999999999999995</v>
      </c>
      <c r="Y43" s="19">
        <f>IF(AND(A43&lt;&gt;0,A43&lt;&gt;""),X43*(1+(Tj-25)*(LOOKUP(A43,Load_Switch_NFET[PARTNUMBER],Load_Switch_NFET[RDSDELTA])/((LOOKUP(A43,Load_Switch_NFET[PARTNUMBER],Load_Switch_NFET[TJMAX])-25)))),"")</f>
        <v>6.8439999999999985</v>
      </c>
      <c r="Z43" s="6">
        <f>IF(AND(A43&lt;&gt;0,A43&lt;&gt;""),LOOKUP(A43,Load_Switch_NFET[PARTNUMBER],Load_Switch_NFET[VTHMAX]),"")</f>
        <v>1.8</v>
      </c>
      <c r="AA43" s="6">
        <f>IF(AND(A43&lt;&gt;0,A43&lt;&gt;""),LOOKUP(A43,Load_Switch_NFET[PARTNUMBER],Load_Switch_NFET[VTHMIN]),"")</f>
        <v>0.9</v>
      </c>
      <c r="AB43" s="6">
        <f t="shared" si="27"/>
        <v>3</v>
      </c>
      <c r="AC43" s="6">
        <f>IF(AND(A43&lt;&gt;0,A43&lt;&gt;""),LOOKUP(A43,Load_Switch_NFET[PARTNUMBER],Load_Switch_NFET[RGIMAX]),"")</f>
        <v>1.8</v>
      </c>
      <c r="AD43" s="6">
        <f>IF(AND($A43&lt;&gt;0,$A43&lt;&gt;""),LOOKUP($A43,Load_Switch_NFET[PARTNUMBER],Load_Switch_NFET[QGTYP]),"")</f>
        <v>8.9</v>
      </c>
      <c r="AE43" s="6">
        <f>IF(AND($A43&lt;&gt;0,$A43&lt;&gt;""),LOOKUP($A43,Load_Switch_NFET[PARTNUMBER],Load_Switch_NFET[QGS]),"")</f>
        <v>2.7</v>
      </c>
      <c r="AF43" s="6">
        <f>IF(AND($A43&lt;&gt;0,$A43&lt;&gt;""),LOOKUP($A43,Load_Switch_NFET[PARTNUMBER],Load_Switch_NFET[QGD]),"")</f>
        <v>2.1</v>
      </c>
      <c r="AG43" s="6">
        <f>IF(AND($A43&lt;&gt;0,$A43&lt;&gt;""),LOOKUP($A43,Load_Switch_NFET[PARTNUMBER],Load_Switch_NFET[QGTH]),"")</f>
        <v>1.4</v>
      </c>
      <c r="AH43" s="6">
        <f>IF(AND($A43&lt;&gt;0,$A43&lt;&gt;""),LOOKUP($A43,Load_Switch_NFET[PARTNUMBER],Load_Switch_NFET[VMILLER]),"")</f>
        <v>2.23</v>
      </c>
      <c r="AI43" s="6">
        <f>IF(AND($A43&lt;&gt;0,$A43&lt;&gt;""),LOOKUP($A43,Load_Switch_NFET[PARTNUMBER],Load_Switch_NFET[COSS_AT_VDSSPEC]),"")</f>
        <v>0.63</v>
      </c>
      <c r="AJ43" s="6">
        <f t="shared" si="28"/>
        <v>3.4000000000000008</v>
      </c>
      <c r="AK43" s="6">
        <f t="shared" si="29"/>
        <v>1.35</v>
      </c>
      <c r="AL43" s="6">
        <f t="shared" si="30"/>
        <v>2.7375999999999994E-2</v>
      </c>
      <c r="AM43" s="49">
        <f t="shared" si="31"/>
        <v>2.7E-2</v>
      </c>
      <c r="AN43" s="46">
        <f>IF(AND($A43&lt;&gt;0,$A43&lt;&gt;""),LOOKUP($A43,Load_Switch_NFET[PARTNUMBER],Load_Switch_NFET[1KPRICE]),"")</f>
        <v>0.28899999999999998</v>
      </c>
      <c r="AO43" s="6" t="str">
        <f>IF(AND($A43&lt;&gt;0,$A43&lt;&gt;""),LOOKUP(A43,Load_Switch_NFET[PARTNUMBER],Load_Switch_NFET[TI_EQ_PACKAGE]),"")</f>
        <v>SON5X6</v>
      </c>
      <c r="AP43" s="6" t="str">
        <f t="shared" si="32"/>
        <v>CSD17310Q5A, SON5X6, 0.027W, $0.289</v>
      </c>
    </row>
    <row r="44" spans="1:42" ht="30" x14ac:dyDescent="0.25">
      <c r="A44" s="6" t="str">
        <f>IF(CH="N",NLogic!B44,"")</f>
        <v>CSD17311Q5</v>
      </c>
      <c r="B44" s="23" t="str">
        <f>IF(OR($A44=0,$A44=""),"0",IF(LOOKUP($A44,Load_Switch_NFET[PARTNUMBER],Load_Switch_NFET[RDSON18])="(NULL)","0","1"))</f>
        <v>0</v>
      </c>
      <c r="C44" s="8" t="str">
        <f>IF(OR($A44=0,$A44=""),"0",IF(LOOKUP($A44,Load_Switch_NFET[PARTNUMBER],Load_Switch_NFET[RDSON25])="(NULL)","0","1"))</f>
        <v>0</v>
      </c>
      <c r="D44" s="9" t="str">
        <f>IF(OR($A44=0,$A44=""),"0",IF(LOOKUP($A44,Load_Switch_NFET[PARTNUMBER],Load_Switch_NFET[RDSON3])="(NULL)","0","1"))</f>
        <v>1</v>
      </c>
      <c r="E44" s="11" t="str">
        <f>IF(OR($A44=0,$A44=""),"0",IF(LOOKUP($A44,Load_Switch_NFET[PARTNUMBER],Load_Switch_NFET[RDSON45])="(NULL)","0","1"))</f>
        <v>1</v>
      </c>
      <c r="F44" s="16" t="str">
        <f>IF(OR($A44=0,$A44=""),"0",IF(LOOKUP($A44,Load_Switch_NFET[PARTNUMBER],Load_Switch_NFET[RDSON6])="(NULL)","0","1"))</f>
        <v>0</v>
      </c>
      <c r="G44" s="3" t="str">
        <f>IF(OR($A44=0,$A44=""),"0",IF(LOOKUP($A44,Load_Switch_NFET[PARTNUMBER],Load_Switch_NFET[RDSON8])="(NULL)","0","1"))</f>
        <v>1</v>
      </c>
      <c r="H44" s="14" t="str">
        <f>IF(OR($A44=0,$A44=""),"0",IF(LOOKUP($A44,Load_Switch_NFET[PARTNUMBER],Load_Switch_NFET[RDSON10])="(NULL)","0","1"))</f>
        <v>0</v>
      </c>
      <c r="I44" s="24" t="b">
        <f t="shared" si="10"/>
        <v>0</v>
      </c>
      <c r="J44" s="7" t="b">
        <f t="shared" si="33"/>
        <v>0</v>
      </c>
      <c r="K44" s="10" t="b">
        <f t="shared" si="34"/>
        <v>1</v>
      </c>
      <c r="L44" s="12" t="b">
        <f t="shared" si="35"/>
        <v>1</v>
      </c>
      <c r="M44" s="17" t="b">
        <f t="shared" si="36"/>
        <v>0</v>
      </c>
      <c r="N44" s="13" t="b">
        <f t="shared" si="37"/>
        <v>0</v>
      </c>
      <c r="O44" s="15" t="b">
        <f t="shared" si="38"/>
        <v>0</v>
      </c>
      <c r="P44" s="18" t="b">
        <f t="shared" si="17"/>
        <v>1</v>
      </c>
      <c r="Q44" s="24" t="b">
        <f t="shared" si="20"/>
        <v>0</v>
      </c>
      <c r="R44" s="7" t="b">
        <f t="shared" si="39"/>
        <v>0</v>
      </c>
      <c r="S44" s="10" t="b">
        <f t="shared" si="22"/>
        <v>1</v>
      </c>
      <c r="T44" s="12" t="b">
        <f t="shared" si="23"/>
        <v>1</v>
      </c>
      <c r="U44" s="17" t="b">
        <f t="shared" si="24"/>
        <v>0</v>
      </c>
      <c r="V44" s="13" t="b">
        <f t="shared" si="25"/>
        <v>0</v>
      </c>
      <c r="W44" s="15" t="b">
        <f t="shared" si="26"/>
        <v>0</v>
      </c>
      <c r="X44" s="6">
        <f>IF(W44,LOOKUP(A44,Load_Switch_NFET[PARTNUMBER],Load_Switch_NFET[RDSON10])*1000,IF(V44,LOOKUP(A44,Load_Switch_NFET[PARTNUMBER],Load_Switch_NFET[RDSON8])*1000,IF(U44,LOOKUP(A44,Load_Switch_NFET[PARTNUMBER],Load_Switch_NFET[RDSON6])*1000,IF(T44,LOOKUP(A44,Load_Switch_NFET[PARTNUMBER],Load_Switch_NFET[RDSON45])*1000,IF(S44,LOOKUP(A44,Load_Switch_NFET[PARTNUMBER],Load_Switch_NFET[RDSON3])*1000,IF(R44,LOOKUP(A44,Load_Switch_NFET[PARTNUMBER],Load_Switch_NFET[RDSON25])*1000,IF(Q44,LOOKUP(A44,Load_Switch_NFET[PARTNUMBER],Load_Switch_NFET[RDSON18])*1000,"")))))))</f>
        <v>2.2999999999999998</v>
      </c>
      <c r="Y44" s="19">
        <f>IF(AND(A44&lt;&gt;0,A44&lt;&gt;""),X44*(1+(Tj-25)*(LOOKUP(A44,Load_Switch_NFET[PARTNUMBER],Load_Switch_NFET[RDSDELTA])/((LOOKUP(A44,Load_Switch_NFET[PARTNUMBER],Load_Switch_NFET[TJMAX])-25)))),"")</f>
        <v>2.8510800000000001</v>
      </c>
      <c r="Z44" s="6">
        <f>IF(AND(A44&lt;&gt;0,A44&lt;&gt;""),LOOKUP(A44,Load_Switch_NFET[PARTNUMBER],Load_Switch_NFET[VTHMAX]),"")</f>
        <v>1.6</v>
      </c>
      <c r="AA44" s="6">
        <f>IF(AND(A44&lt;&gt;0,A44&lt;&gt;""),LOOKUP(A44,Load_Switch_NFET[PARTNUMBER],Load_Switch_NFET[VTHMIN]),"")</f>
        <v>0.9</v>
      </c>
      <c r="AB44" s="6">
        <f t="shared" si="27"/>
        <v>3</v>
      </c>
      <c r="AC44" s="6">
        <f>IF(AND(A44&lt;&gt;0,A44&lt;&gt;""),LOOKUP(A44,Load_Switch_NFET[PARTNUMBER],Load_Switch_NFET[RGIMAX]),"")</f>
        <v>2.4</v>
      </c>
      <c r="AD44" s="6">
        <f>IF(AND($A44&lt;&gt;0,$A44&lt;&gt;""),LOOKUP($A44,Load_Switch_NFET[PARTNUMBER],Load_Switch_NFET[QGTYP]),"")</f>
        <v>24</v>
      </c>
      <c r="AE44" s="6">
        <f>IF(AND($A44&lt;&gt;0,$A44&lt;&gt;""),LOOKUP($A44,Load_Switch_NFET[PARTNUMBER],Load_Switch_NFET[QGS]),"")</f>
        <v>6.6</v>
      </c>
      <c r="AF44" s="6">
        <f>IF(AND($A44&lt;&gt;0,$A44&lt;&gt;""),LOOKUP($A44,Load_Switch_NFET[PARTNUMBER],Load_Switch_NFET[QGD]),"")</f>
        <v>5.2</v>
      </c>
      <c r="AG44" s="6">
        <f>IF(AND($A44&lt;&gt;0,$A44&lt;&gt;""),LOOKUP($A44,Load_Switch_NFET[PARTNUMBER],Load_Switch_NFET[QGTH]),"")</f>
        <v>3.9</v>
      </c>
      <c r="AH44" s="6">
        <f>IF(AND($A44&lt;&gt;0,$A44&lt;&gt;""),LOOKUP($A44,Load_Switch_NFET[PARTNUMBER],Load_Switch_NFET[VMILLER]),"")</f>
        <v>2.11</v>
      </c>
      <c r="AI44" s="6">
        <f>IF(AND($A44&lt;&gt;0,$A44&lt;&gt;""),LOOKUP($A44,Load_Switch_NFET[PARTNUMBER],Load_Switch_NFET[COSS_AT_VDSSPEC]),"")</f>
        <v>1.74</v>
      </c>
      <c r="AJ44" s="6">
        <f t="shared" si="28"/>
        <v>7.9</v>
      </c>
      <c r="AK44" s="6">
        <f t="shared" si="29"/>
        <v>1.25</v>
      </c>
      <c r="AL44" s="6">
        <f t="shared" si="30"/>
        <v>1.1404320000000001E-2</v>
      </c>
      <c r="AM44" s="49">
        <f t="shared" si="31"/>
        <v>1.0999999999999999E-2</v>
      </c>
      <c r="AN44" s="46">
        <f>IF(AND($A44&lt;&gt;0,$A44&lt;&gt;""),LOOKUP($A44,Load_Switch_NFET[PARTNUMBER],Load_Switch_NFET[1KPRICE]),"")</f>
        <v>0.67400000000000004</v>
      </c>
      <c r="AO44" s="6" t="str">
        <f>IF(AND($A44&lt;&gt;0,$A44&lt;&gt;""),LOOKUP(A44,Load_Switch_NFET[PARTNUMBER],Load_Switch_NFET[TI_EQ_PACKAGE]),"")</f>
        <v>SON5X6</v>
      </c>
      <c r="AP44" s="6" t="str">
        <f t="shared" si="32"/>
        <v>CSD17311Q5, SON5X6, 0.011W, $0.674</v>
      </c>
    </row>
    <row r="45" spans="1:42" ht="30" x14ac:dyDescent="0.25">
      <c r="A45" s="6" t="str">
        <f>IF(CH="N",NLogic!B45,"")</f>
        <v>CSD17312Q5</v>
      </c>
      <c r="B45" s="23" t="str">
        <f>IF(OR($A45=0,$A45=""),"0",IF(LOOKUP($A45,Load_Switch_NFET[PARTNUMBER],Load_Switch_NFET[RDSON18])="(NULL)","0","1"))</f>
        <v>0</v>
      </c>
      <c r="C45" s="8" t="str">
        <f>IF(OR($A45=0,$A45=""),"0",IF(LOOKUP($A45,Load_Switch_NFET[PARTNUMBER],Load_Switch_NFET[RDSON25])="(NULL)","0","1"))</f>
        <v>0</v>
      </c>
      <c r="D45" s="9" t="str">
        <f>IF(OR($A45=0,$A45=""),"0",IF(LOOKUP($A45,Load_Switch_NFET[PARTNUMBER],Load_Switch_NFET[RDSON3])="(NULL)","0","1"))</f>
        <v>1</v>
      </c>
      <c r="E45" s="11" t="str">
        <f>IF(OR($A45=0,$A45=""),"0",IF(LOOKUP($A45,Load_Switch_NFET[PARTNUMBER],Load_Switch_NFET[RDSON45])="(NULL)","0","1"))</f>
        <v>1</v>
      </c>
      <c r="F45" s="16" t="str">
        <f>IF(OR($A45=0,$A45=""),"0",IF(LOOKUP($A45,Load_Switch_NFET[PARTNUMBER],Load_Switch_NFET[RDSON6])="(NULL)","0","1"))</f>
        <v>0</v>
      </c>
      <c r="G45" s="3" t="str">
        <f>IF(OR($A45=0,$A45=""),"0",IF(LOOKUP($A45,Load_Switch_NFET[PARTNUMBER],Load_Switch_NFET[RDSON8])="(NULL)","0","1"))</f>
        <v>1</v>
      </c>
      <c r="H45" s="14" t="str">
        <f>IF(OR($A45=0,$A45=""),"0",IF(LOOKUP($A45,Load_Switch_NFET[PARTNUMBER],Load_Switch_NFET[RDSON10])="(NULL)","0","1"))</f>
        <v>0</v>
      </c>
      <c r="I45" s="24" t="b">
        <f t="shared" si="10"/>
        <v>0</v>
      </c>
      <c r="J45" s="7" t="b">
        <f t="shared" si="33"/>
        <v>0</v>
      </c>
      <c r="K45" s="10" t="b">
        <f t="shared" si="34"/>
        <v>1</v>
      </c>
      <c r="L45" s="12" t="b">
        <f t="shared" si="35"/>
        <v>1</v>
      </c>
      <c r="M45" s="17" t="b">
        <f t="shared" si="36"/>
        <v>0</v>
      </c>
      <c r="N45" s="13" t="b">
        <f t="shared" si="37"/>
        <v>0</v>
      </c>
      <c r="O45" s="15" t="b">
        <f t="shared" si="38"/>
        <v>0</v>
      </c>
      <c r="P45" s="18" t="b">
        <f t="shared" si="17"/>
        <v>1</v>
      </c>
      <c r="Q45" s="24" t="b">
        <f t="shared" si="20"/>
        <v>0</v>
      </c>
      <c r="R45" s="7" t="b">
        <f t="shared" si="39"/>
        <v>0</v>
      </c>
      <c r="S45" s="10" t="b">
        <f t="shared" si="22"/>
        <v>1</v>
      </c>
      <c r="T45" s="12" t="b">
        <f t="shared" si="23"/>
        <v>1</v>
      </c>
      <c r="U45" s="17" t="b">
        <f t="shared" si="24"/>
        <v>0</v>
      </c>
      <c r="V45" s="13" t="b">
        <f t="shared" si="25"/>
        <v>0</v>
      </c>
      <c r="W45" s="15" t="b">
        <f t="shared" si="26"/>
        <v>0</v>
      </c>
      <c r="X45" s="6">
        <f>IF(W45,LOOKUP(A45,Load_Switch_NFET[PARTNUMBER],Load_Switch_NFET[RDSON10])*1000,IF(V45,LOOKUP(A45,Load_Switch_NFET[PARTNUMBER],Load_Switch_NFET[RDSON8])*1000,IF(U45,LOOKUP(A45,Load_Switch_NFET[PARTNUMBER],Load_Switch_NFET[RDSON6])*1000,IF(T45,LOOKUP(A45,Load_Switch_NFET[PARTNUMBER],Load_Switch_NFET[RDSON45])*1000,IF(S45,LOOKUP(A45,Load_Switch_NFET[PARTNUMBER],Load_Switch_NFET[RDSON3])*1000,IF(R45,LOOKUP(A45,Load_Switch_NFET[PARTNUMBER],Load_Switch_NFET[RDSON25])*1000,IF(Q45,LOOKUP(A45,Load_Switch_NFET[PARTNUMBER],Load_Switch_NFET[RDSON18])*1000,"")))))))</f>
        <v>2.7</v>
      </c>
      <c r="Y45" s="19">
        <f>IF(AND(A45&lt;&gt;0,A45&lt;&gt;""),X45*(1+(Tj-25)*(LOOKUP(A45,Load_Switch_NFET[PARTNUMBER],Load_Switch_NFET[RDSDELTA])/((LOOKUP(A45,Load_Switch_NFET[PARTNUMBER],Load_Switch_NFET[TJMAX])-25)))),"")</f>
        <v>3.3469200000000003</v>
      </c>
      <c r="Z45" s="6">
        <f>IF(AND(A45&lt;&gt;0,A45&lt;&gt;""),LOOKUP(A45,Load_Switch_NFET[PARTNUMBER],Load_Switch_NFET[VTHMAX]),"")</f>
        <v>1.5</v>
      </c>
      <c r="AA45" s="6">
        <f>IF(AND(A45&lt;&gt;0,A45&lt;&gt;""),LOOKUP(A45,Load_Switch_NFET[PARTNUMBER],Load_Switch_NFET[VTHMIN]),"")</f>
        <v>0.9</v>
      </c>
      <c r="AB45" s="6">
        <f t="shared" si="27"/>
        <v>3</v>
      </c>
      <c r="AC45" s="6">
        <f>IF(AND(A45&lt;&gt;0,A45&lt;&gt;""),LOOKUP(A45,Load_Switch_NFET[PARTNUMBER],Load_Switch_NFET[RGIMAX]),"")</f>
        <v>2.2000000000000002</v>
      </c>
      <c r="AD45" s="6">
        <f>IF(AND($A45&lt;&gt;0,$A45&lt;&gt;""),LOOKUP($A45,Load_Switch_NFET[PARTNUMBER],Load_Switch_NFET[QGTYP]),"")</f>
        <v>28</v>
      </c>
      <c r="AE45" s="6">
        <f>IF(AND($A45&lt;&gt;0,$A45&lt;&gt;""),LOOKUP($A45,Load_Switch_NFET[PARTNUMBER],Load_Switch_NFET[QGS]),"")</f>
        <v>8.4</v>
      </c>
      <c r="AF45" s="6">
        <f>IF(AND($A45&lt;&gt;0,$A45&lt;&gt;""),LOOKUP($A45,Load_Switch_NFET[PARTNUMBER],Load_Switch_NFET[QGD]),"")</f>
        <v>6</v>
      </c>
      <c r="AG45" s="6">
        <f>IF(AND($A45&lt;&gt;0,$A45&lt;&gt;""),LOOKUP($A45,Load_Switch_NFET[PARTNUMBER],Load_Switch_NFET[QGTH]),"")</f>
        <v>4.4000000000000004</v>
      </c>
      <c r="AH45" s="6">
        <f>IF(AND($A45&lt;&gt;0,$A45&lt;&gt;""),LOOKUP($A45,Load_Switch_NFET[PARTNUMBER],Load_Switch_NFET[VMILLER]),"")</f>
        <v>2.25</v>
      </c>
      <c r="AI45" s="6">
        <f>IF(AND($A45&lt;&gt;0,$A45&lt;&gt;""),LOOKUP($A45,Load_Switch_NFET[PARTNUMBER],Load_Switch_NFET[COSS_AT_VDSSPEC]),"")</f>
        <v>2.2200000000000002</v>
      </c>
      <c r="AJ45" s="6">
        <f t="shared" si="28"/>
        <v>10</v>
      </c>
      <c r="AK45" s="6">
        <f t="shared" si="29"/>
        <v>1.2</v>
      </c>
      <c r="AL45" s="6">
        <f t="shared" si="30"/>
        <v>1.3387680000000002E-2</v>
      </c>
      <c r="AM45" s="49">
        <f t="shared" si="31"/>
        <v>1.2999999999999999E-2</v>
      </c>
      <c r="AN45" s="46">
        <f>IF(AND($A45&lt;&gt;0,$A45&lt;&gt;""),LOOKUP($A45,Load_Switch_NFET[PARTNUMBER],Load_Switch_NFET[1KPRICE]),"")</f>
        <v>0.76700000000000002</v>
      </c>
      <c r="AO45" s="6" t="str">
        <f>IF(AND($A45&lt;&gt;0,$A45&lt;&gt;""),LOOKUP(A45,Load_Switch_NFET[PARTNUMBER],Load_Switch_NFET[TI_EQ_PACKAGE]),"")</f>
        <v>SON5X6</v>
      </c>
      <c r="AP45" s="6" t="str">
        <f t="shared" si="32"/>
        <v>CSD17312Q5, SON5X6, 0.013W, $0.767</v>
      </c>
    </row>
    <row r="46" spans="1:42" ht="30" x14ac:dyDescent="0.25">
      <c r="A46" s="6" t="str">
        <f>IF(CH="N",NLogic!B46,"")</f>
        <v>CSD17313Q2</v>
      </c>
      <c r="B46" s="23" t="str">
        <f>IF(OR($A46=0,$A46=""),"0",IF(LOOKUP($A46,Load_Switch_NFET[PARTNUMBER],Load_Switch_NFET[RDSON18])="(NULL)","0","1"))</f>
        <v>0</v>
      </c>
      <c r="C46" s="8" t="str">
        <f>IF(OR($A46=0,$A46=""),"0",IF(LOOKUP($A46,Load_Switch_NFET[PARTNUMBER],Load_Switch_NFET[RDSON25])="(NULL)","0","1"))</f>
        <v>0</v>
      </c>
      <c r="D46" s="9" t="str">
        <f>IF(OR($A46=0,$A46=""),"0",IF(LOOKUP($A46,Load_Switch_NFET[PARTNUMBER],Load_Switch_NFET[RDSON3])="(NULL)","0","1"))</f>
        <v>1</v>
      </c>
      <c r="E46" s="11" t="str">
        <f>IF(OR($A46=0,$A46=""),"0",IF(LOOKUP($A46,Load_Switch_NFET[PARTNUMBER],Load_Switch_NFET[RDSON45])="(NULL)","0","1"))</f>
        <v>1</v>
      </c>
      <c r="F46" s="16" t="str">
        <f>IF(OR($A46=0,$A46=""),"0",IF(LOOKUP($A46,Load_Switch_NFET[PARTNUMBER],Load_Switch_NFET[RDSON6])="(NULL)","0","1"))</f>
        <v>0</v>
      </c>
      <c r="G46" s="3" t="str">
        <f>IF(OR($A46=0,$A46=""),"0",IF(LOOKUP($A46,Load_Switch_NFET[PARTNUMBER],Load_Switch_NFET[RDSON8])="(NULL)","0","1"))</f>
        <v>1</v>
      </c>
      <c r="H46" s="14" t="str">
        <f>IF(OR($A46=0,$A46=""),"0",IF(LOOKUP($A46,Load_Switch_NFET[PARTNUMBER],Load_Switch_NFET[RDSON10])="(NULL)","0","1"))</f>
        <v>0</v>
      </c>
      <c r="I46" s="24" t="b">
        <f t="shared" si="10"/>
        <v>0</v>
      </c>
      <c r="J46" s="7" t="b">
        <f t="shared" si="33"/>
        <v>0</v>
      </c>
      <c r="K46" s="10" t="b">
        <f t="shared" si="34"/>
        <v>1</v>
      </c>
      <c r="L46" s="12" t="b">
        <f t="shared" si="35"/>
        <v>1</v>
      </c>
      <c r="M46" s="17" t="b">
        <f t="shared" si="36"/>
        <v>0</v>
      </c>
      <c r="N46" s="13" t="b">
        <f t="shared" si="37"/>
        <v>0</v>
      </c>
      <c r="O46" s="15" t="b">
        <f t="shared" si="38"/>
        <v>0</v>
      </c>
      <c r="P46" s="18" t="b">
        <f t="shared" si="17"/>
        <v>1</v>
      </c>
      <c r="Q46" s="24" t="b">
        <f t="shared" si="20"/>
        <v>0</v>
      </c>
      <c r="R46" s="7" t="b">
        <f t="shared" si="39"/>
        <v>0</v>
      </c>
      <c r="S46" s="10" t="b">
        <f t="shared" si="22"/>
        <v>1</v>
      </c>
      <c r="T46" s="12" t="b">
        <f t="shared" si="23"/>
        <v>1</v>
      </c>
      <c r="U46" s="17" t="b">
        <f t="shared" si="24"/>
        <v>0</v>
      </c>
      <c r="V46" s="13" t="b">
        <f t="shared" si="25"/>
        <v>0</v>
      </c>
      <c r="W46" s="15" t="b">
        <f t="shared" si="26"/>
        <v>0</v>
      </c>
      <c r="X46" s="6">
        <f>IF(W46,LOOKUP(A46,Load_Switch_NFET[PARTNUMBER],Load_Switch_NFET[RDSON10])*1000,IF(V46,LOOKUP(A46,Load_Switch_NFET[PARTNUMBER],Load_Switch_NFET[RDSON8])*1000,IF(U46,LOOKUP(A46,Load_Switch_NFET[PARTNUMBER],Load_Switch_NFET[RDSON6])*1000,IF(T46,LOOKUP(A46,Load_Switch_NFET[PARTNUMBER],Load_Switch_NFET[RDSON45])*1000,IF(S46,LOOKUP(A46,Load_Switch_NFET[PARTNUMBER],Load_Switch_NFET[RDSON3])*1000,IF(R46,LOOKUP(A46,Load_Switch_NFET[PARTNUMBER],Load_Switch_NFET[RDSON25])*1000,IF(Q46,LOOKUP(A46,Load_Switch_NFET[PARTNUMBER],Load_Switch_NFET[RDSON18])*1000,"")))))))</f>
        <v>32</v>
      </c>
      <c r="Y46" s="19">
        <f>IF(AND(A46&lt;&gt;0,A46&lt;&gt;""),X46*(1+(Tj-25)*(LOOKUP(A46,Load_Switch_NFET[PARTNUMBER],Load_Switch_NFET[RDSDELTA])/((LOOKUP(A46,Load_Switch_NFET[PARTNUMBER],Load_Switch_NFET[TJMAX])-25)))),"")</f>
        <v>38.143999999999998</v>
      </c>
      <c r="Z46" s="6">
        <f>IF(AND(A46&lt;&gt;0,A46&lt;&gt;""),LOOKUP(A46,Load_Switch_NFET[PARTNUMBER],Load_Switch_NFET[VTHMAX]),"")</f>
        <v>1.8</v>
      </c>
      <c r="AA46" s="6">
        <f>IF(AND(A46&lt;&gt;0,A46&lt;&gt;""),LOOKUP(A46,Load_Switch_NFET[PARTNUMBER],Load_Switch_NFET[VTHMIN]),"")</f>
        <v>0.9</v>
      </c>
      <c r="AB46" s="6">
        <f t="shared" si="27"/>
        <v>3</v>
      </c>
      <c r="AC46" s="6">
        <f>IF(AND(A46&lt;&gt;0,A46&lt;&gt;""),LOOKUP(A46,Load_Switch_NFET[PARTNUMBER],Load_Switch_NFET[RGIMAX]),"")</f>
        <v>2.6</v>
      </c>
      <c r="AD46" s="6">
        <f>IF(AND($A46&lt;&gt;0,$A46&lt;&gt;""),LOOKUP($A46,Load_Switch_NFET[PARTNUMBER],Load_Switch_NFET[QGTYP]),"")</f>
        <v>2.1</v>
      </c>
      <c r="AE46" s="6">
        <f>IF(AND($A46&lt;&gt;0,$A46&lt;&gt;""),LOOKUP($A46,Load_Switch_NFET[PARTNUMBER],Load_Switch_NFET[QGS]),"")</f>
        <v>0.7</v>
      </c>
      <c r="AF46" s="6">
        <f>IF(AND($A46&lt;&gt;0,$A46&lt;&gt;""),LOOKUP($A46,Load_Switch_NFET[PARTNUMBER],Load_Switch_NFET[QGD]),"")</f>
        <v>0.4</v>
      </c>
      <c r="AG46" s="6">
        <f>IF(AND($A46&lt;&gt;0,$A46&lt;&gt;""),LOOKUP($A46,Load_Switch_NFET[PARTNUMBER],Load_Switch_NFET[QGTH]),"")</f>
        <v>0.3</v>
      </c>
      <c r="AH46" s="6">
        <f>IF(AND($A46&lt;&gt;0,$A46&lt;&gt;""),LOOKUP($A46,Load_Switch_NFET[PARTNUMBER],Load_Switch_NFET[VMILLER]),"")</f>
        <v>2.2000000000000002</v>
      </c>
      <c r="AI46" s="6">
        <f>IF(AND($A46&lt;&gt;0,$A46&lt;&gt;""),LOOKUP($A46,Load_Switch_NFET[PARTNUMBER],Load_Switch_NFET[COSS_AT_VDSSPEC]),"")</f>
        <v>0.14000000000000001</v>
      </c>
      <c r="AJ46" s="6">
        <f t="shared" si="28"/>
        <v>0.8</v>
      </c>
      <c r="AK46" s="6">
        <f t="shared" si="29"/>
        <v>1.35</v>
      </c>
      <c r="AL46" s="6">
        <f t="shared" si="30"/>
        <v>0.15257599999999999</v>
      </c>
      <c r="AM46" s="49">
        <f t="shared" si="31"/>
        <v>0.153</v>
      </c>
      <c r="AN46" s="46">
        <f>IF(AND($A46&lt;&gt;0,$A46&lt;&gt;""),LOOKUP($A46,Load_Switch_NFET[PARTNUMBER],Load_Switch_NFET[1KPRICE]),"")</f>
        <v>0.13900000000000001</v>
      </c>
      <c r="AO46" s="6" t="str">
        <f>IF(AND($A46&lt;&gt;0,$A46&lt;&gt;""),LOOKUP(A46,Load_Switch_NFET[PARTNUMBER],Load_Switch_NFET[TI_EQ_PACKAGE]),"")</f>
        <v>SON2X2</v>
      </c>
      <c r="AP46" s="6" t="str">
        <f t="shared" si="32"/>
        <v>CSD17313Q2, SON2X2, 0.153W, $0.139</v>
      </c>
    </row>
    <row r="47" spans="1:42" ht="30" x14ac:dyDescent="0.25">
      <c r="A47" s="6" t="str">
        <f>IF(CH="N",NLogic!B47,"")</f>
        <v>CSD17318Q2</v>
      </c>
      <c r="B47" s="23" t="str">
        <f>IF(OR($A47=0,$A47=""),"0",IF(LOOKUP($A47,Load_Switch_NFET[PARTNUMBER],Load_Switch_NFET[RDSON18])="(NULL)","0","1"))</f>
        <v>0</v>
      </c>
      <c r="C47" s="8" t="str">
        <f>IF(OR($A47=0,$A47=""),"0",IF(LOOKUP($A47,Load_Switch_NFET[PARTNUMBER],Load_Switch_NFET[RDSON25])="(NULL)","0","1"))</f>
        <v>1</v>
      </c>
      <c r="D47" s="9" t="str">
        <f>IF(OR($A47=0,$A47=""),"0",IF(LOOKUP($A47,Load_Switch_NFET[PARTNUMBER],Load_Switch_NFET[RDSON3])="(NULL)","0","1"))</f>
        <v>0</v>
      </c>
      <c r="E47" s="11" t="str">
        <f>IF(OR($A47=0,$A47=""),"0",IF(LOOKUP($A47,Load_Switch_NFET[PARTNUMBER],Load_Switch_NFET[RDSON45])="(NULL)","0","1"))</f>
        <v>1</v>
      </c>
      <c r="F47" s="16" t="str">
        <f>IF(OR($A47=0,$A47=""),"0",IF(LOOKUP($A47,Load_Switch_NFET[PARTNUMBER],Load_Switch_NFET[RDSON6])="(NULL)","0","1"))</f>
        <v>0</v>
      </c>
      <c r="G47" s="3" t="str">
        <f>IF(OR($A47=0,$A47=""),"0",IF(LOOKUP($A47,Load_Switch_NFET[PARTNUMBER],Load_Switch_NFET[RDSON8])="(NULL)","0","1"))</f>
        <v>1</v>
      </c>
      <c r="H47" s="14" t="str">
        <f>IF(OR($A47=0,$A47=""),"0",IF(LOOKUP($A47,Load_Switch_NFET[PARTNUMBER],Load_Switch_NFET[RDSON10])="(NULL)","0","1"))</f>
        <v>0</v>
      </c>
      <c r="I47" s="24" t="b">
        <f t="shared" si="10"/>
        <v>0</v>
      </c>
      <c r="J47" s="7" t="b">
        <f t="shared" si="33"/>
        <v>1</v>
      </c>
      <c r="K47" s="10" t="b">
        <f t="shared" si="34"/>
        <v>0</v>
      </c>
      <c r="L47" s="12" t="b">
        <f t="shared" si="35"/>
        <v>1</v>
      </c>
      <c r="M47" s="17" t="b">
        <f t="shared" si="36"/>
        <v>0</v>
      </c>
      <c r="N47" s="13" t="b">
        <f t="shared" si="37"/>
        <v>0</v>
      </c>
      <c r="O47" s="15" t="b">
        <f t="shared" si="38"/>
        <v>0</v>
      </c>
      <c r="P47" s="18" t="b">
        <f t="shared" si="17"/>
        <v>1</v>
      </c>
      <c r="Q47" s="24" t="b">
        <f t="shared" si="20"/>
        <v>0</v>
      </c>
      <c r="R47" s="7" t="b">
        <f t="shared" si="39"/>
        <v>1</v>
      </c>
      <c r="S47" s="10" t="b">
        <f t="shared" si="22"/>
        <v>0</v>
      </c>
      <c r="T47" s="12" t="b">
        <f t="shared" si="23"/>
        <v>1</v>
      </c>
      <c r="U47" s="17" t="b">
        <f t="shared" si="24"/>
        <v>0</v>
      </c>
      <c r="V47" s="13" t="b">
        <f t="shared" si="25"/>
        <v>0</v>
      </c>
      <c r="W47" s="15" t="b">
        <f t="shared" si="26"/>
        <v>0</v>
      </c>
      <c r="X47" s="6">
        <f>IF(W47,LOOKUP(A47,Load_Switch_NFET[PARTNUMBER],Load_Switch_NFET[RDSON10])*1000,IF(V47,LOOKUP(A47,Load_Switch_NFET[PARTNUMBER],Load_Switch_NFET[RDSON8])*1000,IF(U47,LOOKUP(A47,Load_Switch_NFET[PARTNUMBER],Load_Switch_NFET[RDSON6])*1000,IF(T47,LOOKUP(A47,Load_Switch_NFET[PARTNUMBER],Load_Switch_NFET[RDSON45])*1000,IF(S47,LOOKUP(A47,Load_Switch_NFET[PARTNUMBER],Load_Switch_NFET[RDSON3])*1000,IF(R47,LOOKUP(A47,Load_Switch_NFET[PARTNUMBER],Load_Switch_NFET[RDSON25])*1000,IF(Q47,LOOKUP(A47,Load_Switch_NFET[PARTNUMBER],Load_Switch_NFET[RDSON18])*1000,"")))))))</f>
        <v>16.899999999999999</v>
      </c>
      <c r="Y47" s="19">
        <f>IF(AND(A47&lt;&gt;0,A47&lt;&gt;""),X47*(1+(Tj-25)*(LOOKUP(A47,Load_Switch_NFET[PARTNUMBER],Load_Switch_NFET[RDSDELTA])/((LOOKUP(A47,Load_Switch_NFET[PARTNUMBER],Load_Switch_NFET[TJMAX])-25)))),"")</f>
        <v>21.293999999999997</v>
      </c>
      <c r="Z47" s="6">
        <f>IF(AND(A47&lt;&gt;0,A47&lt;&gt;""),LOOKUP(A47,Load_Switch_NFET[PARTNUMBER],Load_Switch_NFET[VTHMAX]),"")</f>
        <v>1.2</v>
      </c>
      <c r="AA47" s="6">
        <f>IF(AND(A47&lt;&gt;0,A47&lt;&gt;""),LOOKUP(A47,Load_Switch_NFET[PARTNUMBER],Load_Switch_NFET[VTHMIN]),"")</f>
        <v>0.6</v>
      </c>
      <c r="AB47" s="6">
        <f t="shared" si="27"/>
        <v>2.5</v>
      </c>
      <c r="AC47" s="6">
        <f>IF(AND(A47&lt;&gt;0,A47&lt;&gt;""),LOOKUP(A47,Load_Switch_NFET[PARTNUMBER],Load_Switch_NFET[RGIMAX]),"")</f>
        <v>2</v>
      </c>
      <c r="AD47" s="6">
        <f>IF(AND($A47&lt;&gt;0,$A47&lt;&gt;""),LOOKUP($A47,Load_Switch_NFET[PARTNUMBER],Load_Switch_NFET[QGTYP]),"")</f>
        <v>6</v>
      </c>
      <c r="AE47" s="6">
        <f>IF(AND($A47&lt;&gt;0,$A47&lt;&gt;""),LOOKUP($A47,Load_Switch_NFET[PARTNUMBER],Load_Switch_NFET[QGS]),"")</f>
        <v>1.5</v>
      </c>
      <c r="AF47" s="6">
        <f>IF(AND($A47&lt;&gt;0,$A47&lt;&gt;""),LOOKUP($A47,Load_Switch_NFET[PARTNUMBER],Load_Switch_NFET[QGD]),"")</f>
        <v>1.3</v>
      </c>
      <c r="AG47" s="6">
        <f>IF(AND($A47&lt;&gt;0,$A47&lt;&gt;""),LOOKUP($A47,Load_Switch_NFET[PARTNUMBER],Load_Switch_NFET[QGTH]),"")</f>
        <v>0.7</v>
      </c>
      <c r="AH47" s="6">
        <f>IF(AND($A47&lt;&gt;0,$A47&lt;&gt;""),LOOKUP($A47,Load_Switch_NFET[PARTNUMBER],Load_Switch_NFET[VMILLER]),"")</f>
        <v>1.84</v>
      </c>
      <c r="AI47" s="6">
        <f>IF(AND($A47&lt;&gt;0,$A47&lt;&gt;""),LOOKUP($A47,Load_Switch_NFET[PARTNUMBER],Load_Switch_NFET[COSS_AT_VDSSPEC]),"")</f>
        <v>6.9400000000000003E-2</v>
      </c>
      <c r="AJ47" s="6">
        <f t="shared" si="28"/>
        <v>2.0999999999999996</v>
      </c>
      <c r="AK47" s="6">
        <f t="shared" si="29"/>
        <v>0.89999999999999991</v>
      </c>
      <c r="AL47" s="6">
        <f t="shared" si="30"/>
        <v>8.5175999999999988E-2</v>
      </c>
      <c r="AM47" s="49">
        <f t="shared" si="31"/>
        <v>8.5000000000000006E-2</v>
      </c>
      <c r="AN47" s="46">
        <f>IF(AND($A47&lt;&gt;0,$A47&lt;&gt;""),LOOKUP($A47,Load_Switch_NFET[PARTNUMBER],Load_Switch_NFET[1KPRICE]),"")</f>
        <v>0.11799999999999999</v>
      </c>
      <c r="AO47" s="6" t="str">
        <f>IF(AND($A47&lt;&gt;0,$A47&lt;&gt;""),LOOKUP(A47,Load_Switch_NFET[PARTNUMBER],Load_Switch_NFET[TI_EQ_PACKAGE]),"")</f>
        <v>SON2X2</v>
      </c>
      <c r="AP47" s="6" t="str">
        <f t="shared" si="32"/>
        <v>CSD17318Q2, SON2X2, 0.085W, $0.118</v>
      </c>
    </row>
    <row r="48" spans="1:42" ht="30" x14ac:dyDescent="0.25">
      <c r="A48" s="6" t="str">
        <f>IF(CH="N",NLogic!B48,"")</f>
        <v>CSD17322Q5A</v>
      </c>
      <c r="B48" s="23" t="str">
        <f>IF(OR($A48=0,$A48=""),"0",IF(LOOKUP($A48,Load_Switch_NFET[PARTNUMBER],Load_Switch_NFET[RDSON18])="(NULL)","0","1"))</f>
        <v>0</v>
      </c>
      <c r="C48" s="8" t="str">
        <f>IF(OR($A48=0,$A48=""),"0",IF(LOOKUP($A48,Load_Switch_NFET[PARTNUMBER],Load_Switch_NFET[RDSON25])="(NULL)","0","1"))</f>
        <v>0</v>
      </c>
      <c r="D48" s="9" t="str">
        <f>IF(OR($A48=0,$A48=""),"0",IF(LOOKUP($A48,Load_Switch_NFET[PARTNUMBER],Load_Switch_NFET[RDSON3])="(NULL)","0","1"))</f>
        <v>0</v>
      </c>
      <c r="E48" s="11" t="str">
        <f>IF(OR($A48=0,$A48=""),"0",IF(LOOKUP($A48,Load_Switch_NFET[PARTNUMBER],Load_Switch_NFET[RDSON45])="(NULL)","0","1"))</f>
        <v>1</v>
      </c>
      <c r="F48" s="16" t="str">
        <f>IF(OR($A48=0,$A48=""),"0",IF(LOOKUP($A48,Load_Switch_NFET[PARTNUMBER],Load_Switch_NFET[RDSON6])="(NULL)","0","1"))</f>
        <v>0</v>
      </c>
      <c r="G48" s="3" t="str">
        <f>IF(OR($A48=0,$A48=""),"0",IF(LOOKUP($A48,Load_Switch_NFET[PARTNUMBER],Load_Switch_NFET[RDSON8])="(NULL)","0","1"))</f>
        <v>1</v>
      </c>
      <c r="H48" s="14" t="str">
        <f>IF(OR($A48=0,$A48=""),"0",IF(LOOKUP($A48,Load_Switch_NFET[PARTNUMBER],Load_Switch_NFET[RDSON10])="(NULL)","0","1"))</f>
        <v>0</v>
      </c>
      <c r="I48" s="24" t="b">
        <f t="shared" si="10"/>
        <v>0</v>
      </c>
      <c r="J48" s="7" t="b">
        <f t="shared" si="33"/>
        <v>0</v>
      </c>
      <c r="K48" s="10" t="b">
        <f t="shared" si="34"/>
        <v>0</v>
      </c>
      <c r="L48" s="12" t="b">
        <f t="shared" si="35"/>
        <v>1</v>
      </c>
      <c r="M48" s="17" t="b">
        <f t="shared" si="36"/>
        <v>0</v>
      </c>
      <c r="N48" s="13" t="b">
        <f t="shared" si="37"/>
        <v>0</v>
      </c>
      <c r="O48" s="15" t="b">
        <f t="shared" si="38"/>
        <v>0</v>
      </c>
      <c r="P48" s="18" t="b">
        <f t="shared" si="17"/>
        <v>1</v>
      </c>
      <c r="Q48" s="24" t="b">
        <f t="shared" si="20"/>
        <v>0</v>
      </c>
      <c r="R48" s="7" t="b">
        <f t="shared" si="39"/>
        <v>0</v>
      </c>
      <c r="S48" s="10" t="b">
        <f t="shared" si="22"/>
        <v>0</v>
      </c>
      <c r="T48" s="12" t="b">
        <f t="shared" si="23"/>
        <v>1</v>
      </c>
      <c r="U48" s="17" t="b">
        <f t="shared" si="24"/>
        <v>0</v>
      </c>
      <c r="V48" s="13" t="b">
        <f t="shared" si="25"/>
        <v>0</v>
      </c>
      <c r="W48" s="15" t="b">
        <f t="shared" si="26"/>
        <v>0</v>
      </c>
      <c r="X48" s="6">
        <f>IF(W48,LOOKUP(A48,Load_Switch_NFET[PARTNUMBER],Load_Switch_NFET[RDSON10])*1000,IF(V48,LOOKUP(A48,Load_Switch_NFET[PARTNUMBER],Load_Switch_NFET[RDSON8])*1000,IF(U48,LOOKUP(A48,Load_Switch_NFET[PARTNUMBER],Load_Switch_NFET[RDSON6])*1000,IF(T48,LOOKUP(A48,Load_Switch_NFET[PARTNUMBER],Load_Switch_NFET[RDSON45])*1000,IF(S48,LOOKUP(A48,Load_Switch_NFET[PARTNUMBER],Load_Switch_NFET[RDSON3])*1000,IF(R48,LOOKUP(A48,Load_Switch_NFET[PARTNUMBER],Load_Switch_NFET[RDSON25])*1000,IF(Q48,LOOKUP(A48,Load_Switch_NFET[PARTNUMBER],Load_Switch_NFET[RDSON18])*1000,"")))))))</f>
        <v>12.4</v>
      </c>
      <c r="Y48" s="19">
        <f>IF(AND(A48&lt;&gt;0,A48&lt;&gt;""),X48*(1+(Tj-25)*(LOOKUP(A48,Load_Switch_NFET[PARTNUMBER],Load_Switch_NFET[RDSDELTA])/((LOOKUP(A48,Load_Switch_NFET[PARTNUMBER],Load_Switch_NFET[TJMAX])-25)))),"")</f>
        <v>14.879999999999999</v>
      </c>
      <c r="Z48" s="6">
        <f>IF(AND(A48&lt;&gt;0,A48&lt;&gt;""),LOOKUP(A48,Load_Switch_NFET[PARTNUMBER],Load_Switch_NFET[VTHMAX]),"")</f>
        <v>2</v>
      </c>
      <c r="AA48" s="6">
        <f>IF(AND(A48&lt;&gt;0,A48&lt;&gt;""),LOOKUP(A48,Load_Switch_NFET[PARTNUMBER],Load_Switch_NFET[VTHMIN]),"")</f>
        <v>1.1000000000000001</v>
      </c>
      <c r="AB48" s="6">
        <f t="shared" si="27"/>
        <v>4.5</v>
      </c>
      <c r="AC48" s="6">
        <f>IF(AND(A48&lt;&gt;0,A48&lt;&gt;""),LOOKUP(A48,Load_Switch_NFET[PARTNUMBER],Load_Switch_NFET[RGIMAX]),"")</f>
        <v>4.7</v>
      </c>
      <c r="AD48" s="6">
        <f>IF(AND($A48&lt;&gt;0,$A48&lt;&gt;""),LOOKUP($A48,Load_Switch_NFET[PARTNUMBER],Load_Switch_NFET[QGTYP]),"")</f>
        <v>3.6</v>
      </c>
      <c r="AE48" s="6">
        <f>IF(AND($A48&lt;&gt;0,$A48&lt;&gt;""),LOOKUP($A48,Load_Switch_NFET[PARTNUMBER],Load_Switch_NFET[QGS]),"")</f>
        <v>1.6</v>
      </c>
      <c r="AF48" s="6">
        <f>IF(AND($A48&lt;&gt;0,$A48&lt;&gt;""),LOOKUP($A48,Load_Switch_NFET[PARTNUMBER],Load_Switch_NFET[QGD]),"")</f>
        <v>1.1000000000000001</v>
      </c>
      <c r="AG48" s="6">
        <f>IF(AND($A48&lt;&gt;0,$A48&lt;&gt;""),LOOKUP($A48,Load_Switch_NFET[PARTNUMBER],Load_Switch_NFET[QGTH]),"")</f>
        <v>0.9</v>
      </c>
      <c r="AH48" s="6">
        <f>IF(AND($A48&lt;&gt;0,$A48&lt;&gt;""),LOOKUP($A48,Load_Switch_NFET[PARTNUMBER],Load_Switch_NFET[VMILLER]),"")</f>
        <v>3.2</v>
      </c>
      <c r="AI48" s="6">
        <f>IF(AND($A48&lt;&gt;0,$A48&lt;&gt;""),LOOKUP($A48,Load_Switch_NFET[PARTNUMBER],Load_Switch_NFET[COSS_AT_VDSSPEC]),"")</f>
        <v>0.39</v>
      </c>
      <c r="AJ48" s="6">
        <f t="shared" si="28"/>
        <v>1.8000000000000003</v>
      </c>
      <c r="AK48" s="6">
        <f t="shared" si="29"/>
        <v>1.55</v>
      </c>
      <c r="AL48" s="6">
        <f t="shared" si="30"/>
        <v>5.9519999999999997E-2</v>
      </c>
      <c r="AM48" s="49">
        <f t="shared" si="31"/>
        <v>0.06</v>
      </c>
      <c r="AN48" s="46">
        <f>IF(AND($A48&lt;&gt;0,$A48&lt;&gt;""),LOOKUP($A48,Load_Switch_NFET[PARTNUMBER],Load_Switch_NFET[1KPRICE]),"")</f>
        <v>0.314</v>
      </c>
      <c r="AO48" s="6" t="str">
        <f>IF(AND($A48&lt;&gt;0,$A48&lt;&gt;""),LOOKUP(A48,Load_Switch_NFET[PARTNUMBER],Load_Switch_NFET[TI_EQ_PACKAGE]),"")</f>
        <v>SON5X6</v>
      </c>
      <c r="AP48" s="6" t="str">
        <f t="shared" si="32"/>
        <v>CSD17322Q5A, SON5X6, 0.06W, $0.314</v>
      </c>
    </row>
    <row r="49" spans="1:42" ht="30" x14ac:dyDescent="0.25">
      <c r="A49" s="6" t="str">
        <f>IF(CH="N",NLogic!B49,"")</f>
        <v>CSD17327Q5A</v>
      </c>
      <c r="B49" s="23" t="str">
        <f>IF(OR($A49=0,$A49=""),"0",IF(LOOKUP($A49,Load_Switch_NFET[PARTNUMBER],Load_Switch_NFET[RDSON18])="(NULL)","0","1"))</f>
        <v>0</v>
      </c>
      <c r="C49" s="8" t="str">
        <f>IF(OR($A49=0,$A49=""),"0",IF(LOOKUP($A49,Load_Switch_NFET[PARTNUMBER],Load_Switch_NFET[RDSON25])="(NULL)","0","1"))</f>
        <v>0</v>
      </c>
      <c r="D49" s="9" t="str">
        <f>IF(OR($A49=0,$A49=""),"0",IF(LOOKUP($A49,Load_Switch_NFET[PARTNUMBER],Load_Switch_NFET[RDSON3])="(NULL)","0","1"))</f>
        <v>0</v>
      </c>
      <c r="E49" s="11" t="str">
        <f>IF(OR($A49=0,$A49=""),"0",IF(LOOKUP($A49,Load_Switch_NFET[PARTNUMBER],Load_Switch_NFET[RDSON45])="(NULL)","0","1"))</f>
        <v>1</v>
      </c>
      <c r="F49" s="16" t="str">
        <f>IF(OR($A49=0,$A49=""),"0",IF(LOOKUP($A49,Load_Switch_NFET[PARTNUMBER],Load_Switch_NFET[RDSON6])="(NULL)","0","1"))</f>
        <v>0</v>
      </c>
      <c r="G49" s="3" t="str">
        <f>IF(OR($A49=0,$A49=""),"0",IF(LOOKUP($A49,Load_Switch_NFET[PARTNUMBER],Load_Switch_NFET[RDSON8])="(NULL)","0","1"))</f>
        <v>1</v>
      </c>
      <c r="H49" s="14" t="str">
        <f>IF(OR($A49=0,$A49=""),"0",IF(LOOKUP($A49,Load_Switch_NFET[PARTNUMBER],Load_Switch_NFET[RDSON10])="(NULL)","0","1"))</f>
        <v>0</v>
      </c>
      <c r="I49" s="24" t="b">
        <f t="shared" si="10"/>
        <v>0</v>
      </c>
      <c r="J49" s="7" t="b">
        <f t="shared" si="33"/>
        <v>0</v>
      </c>
      <c r="K49" s="10" t="b">
        <f t="shared" si="34"/>
        <v>0</v>
      </c>
      <c r="L49" s="12" t="b">
        <f t="shared" si="35"/>
        <v>1</v>
      </c>
      <c r="M49" s="17" t="b">
        <f t="shared" si="36"/>
        <v>0</v>
      </c>
      <c r="N49" s="13" t="b">
        <f t="shared" si="37"/>
        <v>0</v>
      </c>
      <c r="O49" s="15" t="b">
        <f t="shared" si="38"/>
        <v>0</v>
      </c>
      <c r="P49" s="18" t="b">
        <f t="shared" si="17"/>
        <v>1</v>
      </c>
      <c r="Q49" s="24" t="b">
        <f t="shared" si="20"/>
        <v>0</v>
      </c>
      <c r="R49" s="7" t="b">
        <f t="shared" si="39"/>
        <v>0</v>
      </c>
      <c r="S49" s="10" t="b">
        <f t="shared" si="22"/>
        <v>0</v>
      </c>
      <c r="T49" s="12" t="b">
        <f t="shared" si="23"/>
        <v>1</v>
      </c>
      <c r="U49" s="17" t="b">
        <f t="shared" si="24"/>
        <v>0</v>
      </c>
      <c r="V49" s="13" t="b">
        <f t="shared" si="25"/>
        <v>0</v>
      </c>
      <c r="W49" s="15" t="b">
        <f t="shared" si="26"/>
        <v>0</v>
      </c>
      <c r="X49" s="6">
        <f>IF(W49,LOOKUP(A49,Load_Switch_NFET[PARTNUMBER],Load_Switch_NFET[RDSON10])*1000,IF(V49,LOOKUP(A49,Load_Switch_NFET[PARTNUMBER],Load_Switch_NFET[RDSON8])*1000,IF(U49,LOOKUP(A49,Load_Switch_NFET[PARTNUMBER],Load_Switch_NFET[RDSON6])*1000,IF(T49,LOOKUP(A49,Load_Switch_NFET[PARTNUMBER],Load_Switch_NFET[RDSON45])*1000,IF(S49,LOOKUP(A49,Load_Switch_NFET[PARTNUMBER],Load_Switch_NFET[RDSON3])*1000,IF(R49,LOOKUP(A49,Load_Switch_NFET[PARTNUMBER],Load_Switch_NFET[RDSON25])*1000,IF(Q49,LOOKUP(A49,Load_Switch_NFET[PARTNUMBER],Load_Switch_NFET[RDSON18])*1000,"")))))))</f>
        <v>15.5</v>
      </c>
      <c r="Y49" s="19">
        <f>IF(AND(A49&lt;&gt;0,A49&lt;&gt;""),X49*(1+(Tj-25)*(LOOKUP(A49,Load_Switch_NFET[PARTNUMBER],Load_Switch_NFET[RDSDELTA])/((LOOKUP(A49,Load_Switch_NFET[PARTNUMBER],Load_Switch_NFET[TJMAX])-25)))),"")</f>
        <v>18.475999999999999</v>
      </c>
      <c r="Z49" s="6">
        <f>IF(AND(A49&lt;&gt;0,A49&lt;&gt;""),LOOKUP(A49,Load_Switch_NFET[PARTNUMBER],Load_Switch_NFET[VTHMAX]),"")</f>
        <v>2</v>
      </c>
      <c r="AA49" s="6">
        <f>IF(AND(A49&lt;&gt;0,A49&lt;&gt;""),LOOKUP(A49,Load_Switch_NFET[PARTNUMBER],Load_Switch_NFET[VTHMIN]),"")</f>
        <v>1.1000000000000001</v>
      </c>
      <c r="AB49" s="6">
        <f t="shared" si="27"/>
        <v>4.5</v>
      </c>
      <c r="AC49" s="6">
        <f>IF(AND(A49&lt;&gt;0,A49&lt;&gt;""),LOOKUP(A49,Load_Switch_NFET[PARTNUMBER],Load_Switch_NFET[RGIMAX]),"")</f>
        <v>4.7</v>
      </c>
      <c r="AD49" s="6">
        <f>IF(AND($A49&lt;&gt;0,$A49&lt;&gt;""),LOOKUP($A49,Load_Switch_NFET[PARTNUMBER],Load_Switch_NFET[QGTYP]),"")</f>
        <v>2.8</v>
      </c>
      <c r="AE49" s="6">
        <f>IF(AND($A49&lt;&gt;0,$A49&lt;&gt;""),LOOKUP($A49,Load_Switch_NFET[PARTNUMBER],Load_Switch_NFET[QGS]),"")</f>
        <v>1.2</v>
      </c>
      <c r="AF49" s="6">
        <f>IF(AND($A49&lt;&gt;0,$A49&lt;&gt;""),LOOKUP($A49,Load_Switch_NFET[PARTNUMBER],Load_Switch_NFET[QGD]),"")</f>
        <v>0.8</v>
      </c>
      <c r="AG49" s="6">
        <f>IF(AND($A49&lt;&gt;0,$A49&lt;&gt;""),LOOKUP($A49,Load_Switch_NFET[PARTNUMBER],Load_Switch_NFET[QGTH]),"")</f>
        <v>0.6</v>
      </c>
      <c r="AH49" s="6">
        <f>IF(AND($A49&lt;&gt;0,$A49&lt;&gt;""),LOOKUP($A49,Load_Switch_NFET[PARTNUMBER],Load_Switch_NFET[VMILLER]),"")</f>
        <v>3</v>
      </c>
      <c r="AI49" s="6">
        <f>IF(AND($A49&lt;&gt;0,$A49&lt;&gt;""),LOOKUP($A49,Load_Switch_NFET[PARTNUMBER],Load_Switch_NFET[COSS_AT_VDSSPEC]),"")</f>
        <v>0.28599999999999998</v>
      </c>
      <c r="AJ49" s="6">
        <f t="shared" si="28"/>
        <v>1.4</v>
      </c>
      <c r="AK49" s="6">
        <f t="shared" si="29"/>
        <v>1.55</v>
      </c>
      <c r="AL49" s="6">
        <f t="shared" si="30"/>
        <v>7.3903999999999997E-2</v>
      </c>
      <c r="AM49" s="49">
        <f t="shared" si="31"/>
        <v>7.3999999999999996E-2</v>
      </c>
      <c r="AN49" s="46">
        <f>IF(AND($A49&lt;&gt;0,$A49&lt;&gt;""),LOOKUP($A49,Load_Switch_NFET[PARTNUMBER],Load_Switch_NFET[1KPRICE]),"")</f>
        <v>0.29599999999999999</v>
      </c>
      <c r="AO49" s="6" t="str">
        <f>IF(AND($A49&lt;&gt;0,$A49&lt;&gt;""),LOOKUP(A49,Load_Switch_NFET[PARTNUMBER],Load_Switch_NFET[TI_EQ_PACKAGE]),"")</f>
        <v>SON5X6</v>
      </c>
      <c r="AP49" s="6" t="str">
        <f t="shared" si="32"/>
        <v>CSD17327Q5A, SON5X6, 0.074W, $0.296</v>
      </c>
    </row>
    <row r="50" spans="1:42" ht="30" x14ac:dyDescent="0.25">
      <c r="A50" s="6" t="str">
        <f>IF(CH="N",NLogic!B50,"")</f>
        <v>CSD17381F4</v>
      </c>
      <c r="B50" s="23" t="str">
        <f>IF(OR($A50=0,$A50=""),"0",IF(LOOKUP($A50,Load_Switch_NFET[PARTNUMBER],Load_Switch_NFET[RDSON18])="(NULL)","0","1"))</f>
        <v>1</v>
      </c>
      <c r="C50" s="8" t="str">
        <f>IF(OR($A50=0,$A50=""),"0",IF(LOOKUP($A50,Load_Switch_NFET[PARTNUMBER],Load_Switch_NFET[RDSON25])="(NULL)","0","1"))</f>
        <v>1</v>
      </c>
      <c r="D50" s="9" t="str">
        <f>IF(OR($A50=0,$A50=""),"0",IF(LOOKUP($A50,Load_Switch_NFET[PARTNUMBER],Load_Switch_NFET[RDSON3])="(NULL)","0","1"))</f>
        <v>0</v>
      </c>
      <c r="E50" s="11" t="str">
        <f>IF(OR($A50=0,$A50=""),"0",IF(LOOKUP($A50,Load_Switch_NFET[PARTNUMBER],Load_Switch_NFET[RDSON45])="(NULL)","0","1"))</f>
        <v>1</v>
      </c>
      <c r="F50" s="16" t="str">
        <f>IF(OR($A50=0,$A50=""),"0",IF(LOOKUP($A50,Load_Switch_NFET[PARTNUMBER],Load_Switch_NFET[RDSON6])="(NULL)","0","1"))</f>
        <v>0</v>
      </c>
      <c r="G50" s="3" t="str">
        <f>IF(OR($A50=0,$A50=""),"0",IF(LOOKUP($A50,Load_Switch_NFET[PARTNUMBER],Load_Switch_NFET[RDSON8])="(NULL)","0","1"))</f>
        <v>1</v>
      </c>
      <c r="H50" s="14" t="str">
        <f>IF(OR($A50=0,$A50=""),"0",IF(LOOKUP($A50,Load_Switch_NFET[PARTNUMBER],Load_Switch_NFET[RDSON10])="(NULL)","0","1"))</f>
        <v>0</v>
      </c>
      <c r="I50" s="24" t="b">
        <f t="shared" si="10"/>
        <v>1</v>
      </c>
      <c r="J50" s="7" t="b">
        <f t="shared" si="33"/>
        <v>1</v>
      </c>
      <c r="K50" s="10" t="b">
        <f t="shared" si="34"/>
        <v>0</v>
      </c>
      <c r="L50" s="12" t="b">
        <f t="shared" si="35"/>
        <v>1</v>
      </c>
      <c r="M50" s="17" t="b">
        <f t="shared" si="36"/>
        <v>0</v>
      </c>
      <c r="N50" s="13" t="b">
        <f t="shared" si="37"/>
        <v>0</v>
      </c>
      <c r="O50" s="15" t="b">
        <f t="shared" si="38"/>
        <v>0</v>
      </c>
      <c r="P50" s="18" t="b">
        <f t="shared" si="17"/>
        <v>1</v>
      </c>
      <c r="Q50" s="24" t="b">
        <f t="shared" si="20"/>
        <v>1</v>
      </c>
      <c r="R50" s="7" t="b">
        <f t="shared" si="39"/>
        <v>1</v>
      </c>
      <c r="S50" s="10" t="b">
        <f t="shared" si="22"/>
        <v>0</v>
      </c>
      <c r="T50" s="12" t="b">
        <f t="shared" si="23"/>
        <v>1</v>
      </c>
      <c r="U50" s="17" t="b">
        <f t="shared" si="24"/>
        <v>0</v>
      </c>
      <c r="V50" s="13" t="b">
        <f t="shared" si="25"/>
        <v>0</v>
      </c>
      <c r="W50" s="15" t="b">
        <f t="shared" si="26"/>
        <v>0</v>
      </c>
      <c r="X50" s="6">
        <f>IF(W50,LOOKUP(A50,Load_Switch_NFET[PARTNUMBER],Load_Switch_NFET[RDSON10])*1000,IF(V50,LOOKUP(A50,Load_Switch_NFET[PARTNUMBER],Load_Switch_NFET[RDSON8])*1000,IF(U50,LOOKUP(A50,Load_Switch_NFET[PARTNUMBER],Load_Switch_NFET[RDSON6])*1000,IF(T50,LOOKUP(A50,Load_Switch_NFET[PARTNUMBER],Load_Switch_NFET[RDSON45])*1000,IF(S50,LOOKUP(A50,Load_Switch_NFET[PARTNUMBER],Load_Switch_NFET[RDSON3])*1000,IF(R50,LOOKUP(A50,Load_Switch_NFET[PARTNUMBER],Load_Switch_NFET[RDSON25])*1000,IF(Q50,LOOKUP(A50,Load_Switch_NFET[PARTNUMBER],Load_Switch_NFET[RDSON18])*1000,"")))))))</f>
        <v>117</v>
      </c>
      <c r="Y50" s="19">
        <f>IF(AND(A50&lt;&gt;0,A50&lt;&gt;""),X50*(1+(Tj-25)*(LOOKUP(A50,Load_Switch_NFET[PARTNUMBER],Load_Switch_NFET[RDSDELTA])/((LOOKUP(A50,Load_Switch_NFET[PARTNUMBER],Load_Switch_NFET[TJMAX])-25)))),"")</f>
        <v>133.84799999999998</v>
      </c>
      <c r="Z50" s="6">
        <f>IF(AND(A50&lt;&gt;0,A50&lt;&gt;""),LOOKUP(A50,Load_Switch_NFET[PARTNUMBER],Load_Switch_NFET[VTHMAX]),"")</f>
        <v>1.1000000000000001</v>
      </c>
      <c r="AA50" s="6">
        <f>IF(AND(A50&lt;&gt;0,A50&lt;&gt;""),LOOKUP(A50,Load_Switch_NFET[PARTNUMBER],Load_Switch_NFET[VTHMIN]),"")</f>
        <v>0.65</v>
      </c>
      <c r="AB50" s="6">
        <f t="shared" si="27"/>
        <v>1.8</v>
      </c>
      <c r="AC50" s="6">
        <f>IF(AND(A50&lt;&gt;0,A50&lt;&gt;""),LOOKUP(A50,Load_Switch_NFET[PARTNUMBER],Load_Switch_NFET[RGIMAX]),"")</f>
        <v>23</v>
      </c>
      <c r="AD50" s="6">
        <f>IF(AND($A50&lt;&gt;0,$A50&lt;&gt;""),LOOKUP($A50,Load_Switch_NFET[PARTNUMBER],Load_Switch_NFET[QGTYP]),"")</f>
        <v>1.04</v>
      </c>
      <c r="AE50" s="6">
        <f>IF(AND($A50&lt;&gt;0,$A50&lt;&gt;""),LOOKUP($A50,Load_Switch_NFET[PARTNUMBER],Load_Switch_NFET[QGS]),"")</f>
        <v>0.22600000000000001</v>
      </c>
      <c r="AF50" s="6">
        <f>IF(AND($A50&lt;&gt;0,$A50&lt;&gt;""),LOOKUP($A50,Load_Switch_NFET[PARTNUMBER],Load_Switch_NFET[QGD]),"")</f>
        <v>0.13300000000000001</v>
      </c>
      <c r="AG50" s="6">
        <f>IF(AND($A50&lt;&gt;0,$A50&lt;&gt;""),LOOKUP($A50,Load_Switch_NFET[PARTNUMBER],Load_Switch_NFET[QGTH]),"")</f>
        <v>2</v>
      </c>
      <c r="AH50" s="6" t="str">
        <f>IF(AND($A50&lt;&gt;0,$A50&lt;&gt;""),LOOKUP($A50,Load_Switch_NFET[PARTNUMBER],Load_Switch_NFET[VMILLER]),"")</f>
        <v>(NULL)</v>
      </c>
      <c r="AI50" s="6">
        <f>IF(AND($A50&lt;&gt;0,$A50&lt;&gt;""),LOOKUP($A50,Load_Switch_NFET[PARTNUMBER],Load_Switch_NFET[COSS_AT_VDSSPEC]),"")</f>
        <v>4.3999999999999997E-2</v>
      </c>
      <c r="AJ50" s="6">
        <f t="shared" si="28"/>
        <v>-1.641</v>
      </c>
      <c r="AK50" s="6">
        <f t="shared" si="29"/>
        <v>0.875</v>
      </c>
      <c r="AL50" s="6">
        <f t="shared" si="30"/>
        <v>0.53539199999999998</v>
      </c>
      <c r="AM50" s="49">
        <f t="shared" si="31"/>
        <v>0.53500000000000003</v>
      </c>
      <c r="AN50" s="46">
        <f>IF(AND($A50&lt;&gt;0,$A50&lt;&gt;""),LOOKUP($A50,Load_Switch_NFET[PARTNUMBER],Load_Switch_NFET[1KPRICE]),"")</f>
        <v>5.0999999999999997E-2</v>
      </c>
      <c r="AO50" s="6" t="str">
        <f>IF(AND($A50&lt;&gt;0,$A50&lt;&gt;""),LOOKUP(A50,Load_Switch_NFET[PARTNUMBER],Load_Switch_NFET[TI_EQ_PACKAGE]),"")</f>
        <v>LGA1X0.6</v>
      </c>
      <c r="AP50" s="6" t="str">
        <f t="shared" si="32"/>
        <v>CSD17381F4, LGA1X0.6, 0.535W, $0.051</v>
      </c>
    </row>
    <row r="51" spans="1:42" ht="30" x14ac:dyDescent="0.25">
      <c r="A51" s="6" t="str">
        <f>IF(CH="N",NLogic!B51,"")</f>
        <v>CSD17382F4</v>
      </c>
      <c r="B51" s="23" t="str">
        <f>IF(OR($A51=0,$A51=""),"0",IF(LOOKUP($A51,Load_Switch_NFET[PARTNUMBER],Load_Switch_NFET[RDSON18])="(NULL)","0","1"))</f>
        <v>1</v>
      </c>
      <c r="C51" s="8" t="str">
        <f>IF(OR($A51=0,$A51=""),"0",IF(LOOKUP($A51,Load_Switch_NFET[PARTNUMBER],Load_Switch_NFET[RDSON25])="(NULL)","0","1"))</f>
        <v>1</v>
      </c>
      <c r="D51" s="9" t="str">
        <f>IF(OR($A51=0,$A51=""),"0",IF(LOOKUP($A51,Load_Switch_NFET[PARTNUMBER],Load_Switch_NFET[RDSON3])="(NULL)","0","1"))</f>
        <v>0</v>
      </c>
      <c r="E51" s="11" t="str">
        <f>IF(OR($A51=0,$A51=""),"0",IF(LOOKUP($A51,Load_Switch_NFET[PARTNUMBER],Load_Switch_NFET[RDSON45])="(NULL)","0","1"))</f>
        <v>1</v>
      </c>
      <c r="F51" s="16" t="str">
        <f>IF(OR($A51=0,$A51=""),"0",IF(LOOKUP($A51,Load_Switch_NFET[PARTNUMBER],Load_Switch_NFET[RDSON6])="(NULL)","0","1"))</f>
        <v>0</v>
      </c>
      <c r="G51" s="3" t="str">
        <f>IF(OR($A51=0,$A51=""),"0",IF(LOOKUP($A51,Load_Switch_NFET[PARTNUMBER],Load_Switch_NFET[RDSON8])="(NULL)","0","1"))</f>
        <v>1</v>
      </c>
      <c r="H51" s="14" t="str">
        <f>IF(OR($A51=0,$A51=""),"0",IF(LOOKUP($A51,Load_Switch_NFET[PARTNUMBER],Load_Switch_NFET[RDSON10])="(NULL)","0","1"))</f>
        <v>0</v>
      </c>
      <c r="I51" s="24" t="b">
        <f t="shared" si="10"/>
        <v>1</v>
      </c>
      <c r="J51" s="7" t="b">
        <f t="shared" si="33"/>
        <v>1</v>
      </c>
      <c r="K51" s="10" t="b">
        <f t="shared" si="34"/>
        <v>0</v>
      </c>
      <c r="L51" s="12" t="b">
        <f t="shared" si="35"/>
        <v>1</v>
      </c>
      <c r="M51" s="17" t="b">
        <f t="shared" si="36"/>
        <v>0</v>
      </c>
      <c r="N51" s="13" t="b">
        <f t="shared" si="37"/>
        <v>0</v>
      </c>
      <c r="O51" s="15" t="b">
        <f t="shared" si="38"/>
        <v>0</v>
      </c>
      <c r="P51" s="18" t="b">
        <f t="shared" si="17"/>
        <v>1</v>
      </c>
      <c r="Q51" s="24" t="b">
        <f t="shared" si="20"/>
        <v>1</v>
      </c>
      <c r="R51" s="7" t="b">
        <f t="shared" si="39"/>
        <v>1</v>
      </c>
      <c r="S51" s="10" t="b">
        <f t="shared" si="22"/>
        <v>0</v>
      </c>
      <c r="T51" s="12" t="b">
        <f t="shared" si="23"/>
        <v>1</v>
      </c>
      <c r="U51" s="17" t="b">
        <f t="shared" si="24"/>
        <v>0</v>
      </c>
      <c r="V51" s="13" t="b">
        <f t="shared" si="25"/>
        <v>0</v>
      </c>
      <c r="W51" s="15" t="b">
        <f t="shared" si="26"/>
        <v>0</v>
      </c>
      <c r="X51" s="6">
        <f>IF(W51,LOOKUP(A51,Load_Switch_NFET[PARTNUMBER],Load_Switch_NFET[RDSON10])*1000,IF(V51,LOOKUP(A51,Load_Switch_NFET[PARTNUMBER],Load_Switch_NFET[RDSON8])*1000,IF(U51,LOOKUP(A51,Load_Switch_NFET[PARTNUMBER],Load_Switch_NFET[RDSON6])*1000,IF(T51,LOOKUP(A51,Load_Switch_NFET[PARTNUMBER],Load_Switch_NFET[RDSON45])*1000,IF(S51,LOOKUP(A51,Load_Switch_NFET[PARTNUMBER],Load_Switch_NFET[RDSON3])*1000,IF(R51,LOOKUP(A51,Load_Switch_NFET[PARTNUMBER],Load_Switch_NFET[RDSON25])*1000,IF(Q51,LOOKUP(A51,Load_Switch_NFET[PARTNUMBER],Load_Switch_NFET[RDSON18])*1000,"")))))))</f>
        <v>67</v>
      </c>
      <c r="Y51" s="19">
        <f>IF(AND(A51&lt;&gt;0,A51&lt;&gt;""),X51*(1+(Tj-25)*(LOOKUP(A51,Load_Switch_NFET[PARTNUMBER],Load_Switch_NFET[RDSDELTA])/((LOOKUP(A51,Load_Switch_NFET[PARTNUMBER],Load_Switch_NFET[TJMAX])-25)))),"")</f>
        <v>79.328000000000003</v>
      </c>
      <c r="Z51" s="6">
        <f>IF(AND(A51&lt;&gt;0,A51&lt;&gt;""),LOOKUP(A51,Load_Switch_NFET[PARTNUMBER],Load_Switch_NFET[VTHMAX]),"")</f>
        <v>1.2</v>
      </c>
      <c r="AA51" s="6">
        <f>IF(AND(A51&lt;&gt;0,A51&lt;&gt;""),LOOKUP(A51,Load_Switch_NFET[PARTNUMBER],Load_Switch_NFET[VTHMIN]),"")</f>
        <v>0.7</v>
      </c>
      <c r="AB51" s="6">
        <f t="shared" si="27"/>
        <v>1.8</v>
      </c>
      <c r="AC51" s="6">
        <f>IF(AND(A51&lt;&gt;0,A51&lt;&gt;""),LOOKUP(A51,Load_Switch_NFET[PARTNUMBER],Load_Switch_NFET[RGIMAX]),"")</f>
        <v>220</v>
      </c>
      <c r="AD51" s="6">
        <f>IF(AND($A51&lt;&gt;0,$A51&lt;&gt;""),LOOKUP($A51,Load_Switch_NFET[PARTNUMBER],Load_Switch_NFET[QGTYP]),"")</f>
        <v>2.1</v>
      </c>
      <c r="AE51" s="6">
        <f>IF(AND($A51&lt;&gt;0,$A51&lt;&gt;""),LOOKUP($A51,Load_Switch_NFET[PARTNUMBER],Load_Switch_NFET[QGS]),"")</f>
        <v>0.41</v>
      </c>
      <c r="AF51" s="6">
        <f>IF(AND($A51&lt;&gt;0,$A51&lt;&gt;""),LOOKUP($A51,Load_Switch_NFET[PARTNUMBER],Load_Switch_NFET[QGD]),"")</f>
        <v>0.63</v>
      </c>
      <c r="AG51" s="6">
        <f>IF(AND($A51&lt;&gt;0,$A51&lt;&gt;""),LOOKUP($A51,Load_Switch_NFET[PARTNUMBER],Load_Switch_NFET[QGTH]),"")</f>
        <v>0.12</v>
      </c>
      <c r="AH51" s="6" t="str">
        <f>IF(AND($A51&lt;&gt;0,$A51&lt;&gt;""),LOOKUP($A51,Load_Switch_NFET[PARTNUMBER],Load_Switch_NFET[VMILLER]),"")</f>
        <v>(NULL)</v>
      </c>
      <c r="AI51" s="6">
        <f>IF(AND($A51&lt;&gt;0,$A51&lt;&gt;""),LOOKUP($A51,Load_Switch_NFET[PARTNUMBER],Load_Switch_NFET[COSS_AT_VDSSPEC]),"")</f>
        <v>3.1E-2</v>
      </c>
      <c r="AJ51" s="6">
        <f t="shared" si="28"/>
        <v>0.92</v>
      </c>
      <c r="AK51" s="6">
        <f t="shared" si="29"/>
        <v>0.95</v>
      </c>
      <c r="AL51" s="6">
        <f t="shared" si="30"/>
        <v>0.31731200000000004</v>
      </c>
      <c r="AM51" s="49">
        <f t="shared" si="31"/>
        <v>0.317</v>
      </c>
      <c r="AN51" s="46">
        <f>IF(AND($A51&lt;&gt;0,$A51&lt;&gt;""),LOOKUP($A51,Load_Switch_NFET[PARTNUMBER],Load_Switch_NFET[1KPRICE]),"")</f>
        <v>5.3999999999999999E-2</v>
      </c>
      <c r="AO51" s="6" t="str">
        <f>IF(AND($A51&lt;&gt;0,$A51&lt;&gt;""),LOOKUP(A51,Load_Switch_NFET[PARTNUMBER],Load_Switch_NFET[TI_EQ_PACKAGE]),"")</f>
        <v>LGA1X0.6</v>
      </c>
      <c r="AP51" s="6" t="str">
        <f t="shared" si="32"/>
        <v>CSD17382F4, LGA1X0.6, 0.317W, $0.054</v>
      </c>
    </row>
    <row r="52" spans="1:42" ht="30" x14ac:dyDescent="0.25">
      <c r="A52" s="6" t="str">
        <f>IF(CH="N",NLogic!B52,"")</f>
        <v>CSD17484F4</v>
      </c>
      <c r="B52" s="23" t="str">
        <f>IF(OR($A52=0,$A52=""),"0",IF(LOOKUP($A52,Load_Switch_NFET[PARTNUMBER],Load_Switch_NFET[RDSON18])="(NULL)","0","1"))</f>
        <v>1</v>
      </c>
      <c r="C52" s="8" t="str">
        <f>IF(OR($A52=0,$A52=""),"0",IF(LOOKUP($A52,Load_Switch_NFET[PARTNUMBER],Load_Switch_NFET[RDSON25])="(NULL)","0","1"))</f>
        <v>1</v>
      </c>
      <c r="D52" s="9" t="str">
        <f>IF(OR($A52=0,$A52=""),"0",IF(LOOKUP($A52,Load_Switch_NFET[PARTNUMBER],Load_Switch_NFET[RDSON3])="(NULL)","0","1"))</f>
        <v>0</v>
      </c>
      <c r="E52" s="11" t="str">
        <f>IF(OR($A52=0,$A52=""),"0",IF(LOOKUP($A52,Load_Switch_NFET[PARTNUMBER],Load_Switch_NFET[RDSON45])="(NULL)","0","1"))</f>
        <v>1</v>
      </c>
      <c r="F52" s="16" t="str">
        <f>IF(OR($A52=0,$A52=""),"0",IF(LOOKUP($A52,Load_Switch_NFET[PARTNUMBER],Load_Switch_NFET[RDSON6])="(NULL)","0","1"))</f>
        <v>0</v>
      </c>
      <c r="G52" s="3" t="str">
        <f>IF(OR($A52=0,$A52=""),"0",IF(LOOKUP($A52,Load_Switch_NFET[PARTNUMBER],Load_Switch_NFET[RDSON8])="(NULL)","0","1"))</f>
        <v>1</v>
      </c>
      <c r="H52" s="14" t="str">
        <f>IF(OR($A52=0,$A52=""),"0",IF(LOOKUP($A52,Load_Switch_NFET[PARTNUMBER],Load_Switch_NFET[RDSON10])="(NULL)","0","1"))</f>
        <v>0</v>
      </c>
      <c r="I52" s="24" t="b">
        <f t="shared" si="10"/>
        <v>1</v>
      </c>
      <c r="J52" s="7" t="b">
        <f t="shared" si="33"/>
        <v>1</v>
      </c>
      <c r="K52" s="10" t="b">
        <f t="shared" si="34"/>
        <v>0</v>
      </c>
      <c r="L52" s="12" t="b">
        <f t="shared" si="35"/>
        <v>1</v>
      </c>
      <c r="M52" s="17" t="b">
        <f t="shared" si="36"/>
        <v>0</v>
      </c>
      <c r="N52" s="13" t="b">
        <f t="shared" si="37"/>
        <v>0</v>
      </c>
      <c r="O52" s="15" t="b">
        <f t="shared" si="38"/>
        <v>0</v>
      </c>
      <c r="P52" s="18" t="b">
        <f t="shared" si="17"/>
        <v>1</v>
      </c>
      <c r="Q52" s="24" t="b">
        <f t="shared" si="20"/>
        <v>1</v>
      </c>
      <c r="R52" s="7" t="b">
        <f t="shared" si="39"/>
        <v>1</v>
      </c>
      <c r="S52" s="10" t="b">
        <f t="shared" si="22"/>
        <v>0</v>
      </c>
      <c r="T52" s="12" t="b">
        <f t="shared" si="23"/>
        <v>1</v>
      </c>
      <c r="U52" s="17" t="b">
        <f t="shared" si="24"/>
        <v>0</v>
      </c>
      <c r="V52" s="13" t="b">
        <f t="shared" si="25"/>
        <v>0</v>
      </c>
      <c r="W52" s="15" t="b">
        <f t="shared" si="26"/>
        <v>0</v>
      </c>
      <c r="X52" s="6">
        <f>IF(W52,LOOKUP(A52,Load_Switch_NFET[PARTNUMBER],Load_Switch_NFET[RDSON10])*1000,IF(V52,LOOKUP(A52,Load_Switch_NFET[PARTNUMBER],Load_Switch_NFET[RDSON8])*1000,IF(U52,LOOKUP(A52,Load_Switch_NFET[PARTNUMBER],Load_Switch_NFET[RDSON6])*1000,IF(T52,LOOKUP(A52,Load_Switch_NFET[PARTNUMBER],Load_Switch_NFET[RDSON45])*1000,IF(S52,LOOKUP(A52,Load_Switch_NFET[PARTNUMBER],Load_Switch_NFET[RDSON3])*1000,IF(R52,LOOKUP(A52,Load_Switch_NFET[PARTNUMBER],Load_Switch_NFET[RDSON25])*1000,IF(Q52,LOOKUP(A52,Load_Switch_NFET[PARTNUMBER],Load_Switch_NFET[RDSON18])*1000,"")))))))</f>
        <v>128</v>
      </c>
      <c r="Y52" s="19">
        <f>IF(AND(A52&lt;&gt;0,A52&lt;&gt;""),X52*(1+(Tj-25)*(LOOKUP(A52,Load_Switch_NFET[PARTNUMBER],Load_Switch_NFET[RDSDELTA])/((LOOKUP(A52,Load_Switch_NFET[PARTNUMBER],Load_Switch_NFET[TJMAX])-25)))),"")</f>
        <v>145.91999999999999</v>
      </c>
      <c r="Z52" s="6">
        <f>IF(AND(A52&lt;&gt;0,A52&lt;&gt;""),LOOKUP(A52,Load_Switch_NFET[PARTNUMBER],Load_Switch_NFET[VTHMAX]),"")</f>
        <v>1.1000000000000001</v>
      </c>
      <c r="AA52" s="6">
        <f>IF(AND(A52&lt;&gt;0,A52&lt;&gt;""),LOOKUP(A52,Load_Switch_NFET[PARTNUMBER],Load_Switch_NFET[VTHMIN]),"")</f>
        <v>0.65</v>
      </c>
      <c r="AB52" s="6">
        <f t="shared" si="27"/>
        <v>1.8</v>
      </c>
      <c r="AC52" s="6">
        <f>IF(AND(A52&lt;&gt;0,A52&lt;&gt;""),LOOKUP(A52,Load_Switch_NFET[PARTNUMBER],Load_Switch_NFET[RGIMAX]),"")</f>
        <v>8</v>
      </c>
      <c r="AD52" s="6">
        <f>IF(AND($A52&lt;&gt;0,$A52&lt;&gt;""),LOOKUP($A52,Load_Switch_NFET[PARTNUMBER],Load_Switch_NFET[QGTYP]),"")</f>
        <v>0.92</v>
      </c>
      <c r="AE52" s="6">
        <f>IF(AND($A52&lt;&gt;0,$A52&lt;&gt;""),LOOKUP($A52,Load_Switch_NFET[PARTNUMBER],Load_Switch_NFET[QGS]),"")</f>
        <v>0.28000000000000003</v>
      </c>
      <c r="AF52" s="6">
        <f>IF(AND($A52&lt;&gt;0,$A52&lt;&gt;""),LOOKUP($A52,Load_Switch_NFET[PARTNUMBER],Load_Switch_NFET[QGD]),"")</f>
        <v>7.4999999999999997E-2</v>
      </c>
      <c r="AG52" s="6">
        <f>IF(AND($A52&lt;&gt;0,$A52&lt;&gt;""),LOOKUP($A52,Load_Switch_NFET[PARTNUMBER],Load_Switch_NFET[QGTH]),"")</f>
        <v>0.14000000000000001</v>
      </c>
      <c r="AH52" s="6" t="str">
        <f>IF(AND($A52&lt;&gt;0,$A52&lt;&gt;""),LOOKUP($A52,Load_Switch_NFET[PARTNUMBER],Load_Switch_NFET[VMILLER]),"")</f>
        <v>(NULL)</v>
      </c>
      <c r="AI52" s="6">
        <f>IF(AND($A52&lt;&gt;0,$A52&lt;&gt;""),LOOKUP($A52,Load_Switch_NFET[PARTNUMBER],Load_Switch_NFET[COSS_AT_VDSSPEC]),"")</f>
        <v>4.3999999999999997E-2</v>
      </c>
      <c r="AJ52" s="6">
        <f t="shared" si="28"/>
        <v>0.21500000000000002</v>
      </c>
      <c r="AK52" s="6">
        <f t="shared" si="29"/>
        <v>0.875</v>
      </c>
      <c r="AL52" s="6">
        <f t="shared" si="30"/>
        <v>0.58367999999999998</v>
      </c>
      <c r="AM52" s="49">
        <f t="shared" si="31"/>
        <v>0.58399999999999996</v>
      </c>
      <c r="AN52" s="46">
        <f>IF(AND($A52&lt;&gt;0,$A52&lt;&gt;""),LOOKUP($A52,Load_Switch_NFET[PARTNUMBER],Load_Switch_NFET[1KPRICE]),"")</f>
        <v>5.6000000000000001E-2</v>
      </c>
      <c r="AO52" s="6" t="str">
        <f>IF(AND($A52&lt;&gt;0,$A52&lt;&gt;""),LOOKUP(A52,Load_Switch_NFET[PARTNUMBER],Load_Switch_NFET[TI_EQ_PACKAGE]),"")</f>
        <v>LGA1X0.6</v>
      </c>
      <c r="AP52" s="6" t="str">
        <f t="shared" si="32"/>
        <v>CSD17484F4, LGA1X0.6, 0.584W, $0.056</v>
      </c>
    </row>
    <row r="53" spans="1:42" ht="30" x14ac:dyDescent="0.25">
      <c r="A53" s="6" t="str">
        <f>IF(CH="N",NLogic!B53,"")</f>
        <v>CSD17501Q5A</v>
      </c>
      <c r="B53" s="23" t="str">
        <f>IF(OR($A53=0,$A53=""),"0",IF(LOOKUP($A53,Load_Switch_NFET[PARTNUMBER],Load_Switch_NFET[RDSON18])="(NULL)","0","1"))</f>
        <v>0</v>
      </c>
      <c r="C53" s="8" t="str">
        <f>IF(OR($A53=0,$A53=""),"0",IF(LOOKUP($A53,Load_Switch_NFET[PARTNUMBER],Load_Switch_NFET[RDSON25])="(NULL)","0","1"))</f>
        <v>0</v>
      </c>
      <c r="D53" s="9" t="str">
        <f>IF(OR($A53=0,$A53=""),"0",IF(LOOKUP($A53,Load_Switch_NFET[PARTNUMBER],Load_Switch_NFET[RDSON3])="(NULL)","0","1"))</f>
        <v>0</v>
      </c>
      <c r="E53" s="11" t="str">
        <f>IF(OR($A53=0,$A53=""),"0",IF(LOOKUP($A53,Load_Switch_NFET[PARTNUMBER],Load_Switch_NFET[RDSON45])="(NULL)","0","1"))</f>
        <v>1</v>
      </c>
      <c r="F53" s="16" t="str">
        <f>IF(OR($A53=0,$A53=""),"0",IF(LOOKUP($A53,Load_Switch_NFET[PARTNUMBER],Load_Switch_NFET[RDSON6])="(NULL)","0","1"))</f>
        <v>0</v>
      </c>
      <c r="G53" s="3" t="str">
        <f>IF(OR($A53=0,$A53=""),"0",IF(LOOKUP($A53,Load_Switch_NFET[PARTNUMBER],Load_Switch_NFET[RDSON8])="(NULL)","0","1"))</f>
        <v>0</v>
      </c>
      <c r="H53" s="14" t="str">
        <f>IF(OR($A53=0,$A53=""),"0",IF(LOOKUP($A53,Load_Switch_NFET[PARTNUMBER],Load_Switch_NFET[RDSON10])="(NULL)","0","1"))</f>
        <v>1</v>
      </c>
      <c r="I53" s="24" t="b">
        <f t="shared" si="10"/>
        <v>0</v>
      </c>
      <c r="J53" s="7" t="b">
        <f t="shared" si="33"/>
        <v>0</v>
      </c>
      <c r="K53" s="10" t="b">
        <f t="shared" si="34"/>
        <v>0</v>
      </c>
      <c r="L53" s="12" t="b">
        <f t="shared" si="35"/>
        <v>1</v>
      </c>
      <c r="M53" s="17" t="b">
        <f t="shared" si="36"/>
        <v>0</v>
      </c>
      <c r="N53" s="13" t="b">
        <f t="shared" si="37"/>
        <v>0</v>
      </c>
      <c r="O53" s="15" t="b">
        <f t="shared" si="38"/>
        <v>0</v>
      </c>
      <c r="P53" s="18" t="b">
        <f t="shared" si="17"/>
        <v>1</v>
      </c>
      <c r="Q53" s="24" t="b">
        <f t="shared" si="20"/>
        <v>0</v>
      </c>
      <c r="R53" s="7" t="b">
        <f t="shared" si="39"/>
        <v>0</v>
      </c>
      <c r="S53" s="10" t="b">
        <f t="shared" si="22"/>
        <v>0</v>
      </c>
      <c r="T53" s="12" t="b">
        <f t="shared" si="23"/>
        <v>1</v>
      </c>
      <c r="U53" s="17" t="b">
        <f t="shared" si="24"/>
        <v>0</v>
      </c>
      <c r="V53" s="13" t="b">
        <f t="shared" si="25"/>
        <v>0</v>
      </c>
      <c r="W53" s="15" t="b">
        <f t="shared" si="26"/>
        <v>0</v>
      </c>
      <c r="X53" s="6">
        <f>IF(W53,LOOKUP(A53,Load_Switch_NFET[PARTNUMBER],Load_Switch_NFET[RDSON10])*1000,IF(V53,LOOKUP(A53,Load_Switch_NFET[PARTNUMBER],Load_Switch_NFET[RDSON8])*1000,IF(U53,LOOKUP(A53,Load_Switch_NFET[PARTNUMBER],Load_Switch_NFET[RDSON6])*1000,IF(T53,LOOKUP(A53,Load_Switch_NFET[PARTNUMBER],Load_Switch_NFET[RDSON45])*1000,IF(S53,LOOKUP(A53,Load_Switch_NFET[PARTNUMBER],Load_Switch_NFET[RDSON3])*1000,IF(R53,LOOKUP(A53,Load_Switch_NFET[PARTNUMBER],Load_Switch_NFET[RDSON25])*1000,IF(Q53,LOOKUP(A53,Load_Switch_NFET[PARTNUMBER],Load_Switch_NFET[RDSON18])*1000,"")))))))</f>
        <v>3.7</v>
      </c>
      <c r="Y53" s="19">
        <f>IF(AND(A53&lt;&gt;0,A53&lt;&gt;""),X53*(1+(Tj-25)*(LOOKUP(A53,Load_Switch_NFET[PARTNUMBER],Load_Switch_NFET[RDSDELTA])/((LOOKUP(A53,Load_Switch_NFET[PARTNUMBER],Load_Switch_NFET[TJMAX])-25)))),"")</f>
        <v>4.3659999999999997</v>
      </c>
      <c r="Z53" s="6">
        <f>IF(AND(A53&lt;&gt;0,A53&lt;&gt;""),LOOKUP(A53,Load_Switch_NFET[PARTNUMBER],Load_Switch_NFET[VTHMAX]),"")</f>
        <v>1.8</v>
      </c>
      <c r="AA53" s="6">
        <f>IF(AND(A53&lt;&gt;0,A53&lt;&gt;""),LOOKUP(A53,Load_Switch_NFET[PARTNUMBER],Load_Switch_NFET[VTHMIN]),"")</f>
        <v>1</v>
      </c>
      <c r="AB53" s="6">
        <f t="shared" si="27"/>
        <v>4.5</v>
      </c>
      <c r="AC53" s="6">
        <f>IF(AND(A53&lt;&gt;0,A53&lt;&gt;""),LOOKUP(A53,Load_Switch_NFET[PARTNUMBER],Load_Switch_NFET[RGIMAX]),"")</f>
        <v>2.6</v>
      </c>
      <c r="AD53" s="6">
        <f>IF(AND($A53&lt;&gt;0,$A53&lt;&gt;""),LOOKUP($A53,Load_Switch_NFET[PARTNUMBER],Load_Switch_NFET[QGTYP]),"")</f>
        <v>13.2</v>
      </c>
      <c r="AE53" s="6">
        <f>IF(AND($A53&lt;&gt;0,$A53&lt;&gt;""),LOOKUP($A53,Load_Switch_NFET[PARTNUMBER],Load_Switch_NFET[QGS]),"")</f>
        <v>5.4</v>
      </c>
      <c r="AF53" s="6">
        <f>IF(AND($A53&lt;&gt;0,$A53&lt;&gt;""),LOOKUP($A53,Load_Switch_NFET[PARTNUMBER],Load_Switch_NFET[QGD]),"")</f>
        <v>3.5</v>
      </c>
      <c r="AG53" s="6">
        <f>IF(AND($A53&lt;&gt;0,$A53&lt;&gt;""),LOOKUP($A53,Load_Switch_NFET[PARTNUMBER],Load_Switch_NFET[QGTH]),"")</f>
        <v>2.9</v>
      </c>
      <c r="AH53" s="6" t="str">
        <f>IF(AND($A53&lt;&gt;0,$A53&lt;&gt;""),LOOKUP($A53,Load_Switch_NFET[PARTNUMBER],Load_Switch_NFET[VMILLER]),"")</f>
        <v>(NULL)</v>
      </c>
      <c r="AI53" s="6">
        <f>IF(AND($A53&lt;&gt;0,$A53&lt;&gt;""),LOOKUP($A53,Load_Switch_NFET[PARTNUMBER],Load_Switch_NFET[COSS_AT_VDSSPEC]),"")</f>
        <v>1.35</v>
      </c>
      <c r="AJ53" s="6">
        <f t="shared" si="28"/>
        <v>6</v>
      </c>
      <c r="AK53" s="6">
        <f t="shared" si="29"/>
        <v>1.4</v>
      </c>
      <c r="AL53" s="6">
        <f t="shared" si="30"/>
        <v>1.7464E-2</v>
      </c>
      <c r="AM53" s="49">
        <f t="shared" si="31"/>
        <v>1.7000000000000001E-2</v>
      </c>
      <c r="AN53" s="46">
        <f>IF(AND($A53&lt;&gt;0,$A53&lt;&gt;""),LOOKUP($A53,Load_Switch_NFET[PARTNUMBER],Load_Switch_NFET[1KPRICE]),"")</f>
        <v>0.625</v>
      </c>
      <c r="AO53" s="6" t="str">
        <f>IF(AND($A53&lt;&gt;0,$A53&lt;&gt;""),LOOKUP(A53,Load_Switch_NFET[PARTNUMBER],Load_Switch_NFET[TI_EQ_PACKAGE]),"")</f>
        <v>SON5x6</v>
      </c>
      <c r="AP53" s="6" t="str">
        <f t="shared" si="32"/>
        <v>CSD17501Q5A, SON5x6, 0.017W, $0.625</v>
      </c>
    </row>
    <row r="54" spans="1:42" ht="30" x14ac:dyDescent="0.25">
      <c r="A54" s="6" t="str">
        <f>IF(CH="N",NLogic!B54,"")</f>
        <v>CSD17505Q5A</v>
      </c>
      <c r="B54" s="23" t="str">
        <f>IF(OR($A54=0,$A54=""),"0",IF(LOOKUP($A54,Load_Switch_NFET[PARTNUMBER],Load_Switch_NFET[RDSON18])="(NULL)","0","1"))</f>
        <v>0</v>
      </c>
      <c r="C54" s="8" t="str">
        <f>IF(OR($A54=0,$A54=""),"0",IF(LOOKUP($A54,Load_Switch_NFET[PARTNUMBER],Load_Switch_NFET[RDSON25])="(NULL)","0","1"))</f>
        <v>0</v>
      </c>
      <c r="D54" s="9" t="str">
        <f>IF(OR($A54=0,$A54=""),"0",IF(LOOKUP($A54,Load_Switch_NFET[PARTNUMBER],Load_Switch_NFET[RDSON3])="(NULL)","0","1"))</f>
        <v>0</v>
      </c>
      <c r="E54" s="11" t="str">
        <f>IF(OR($A54=0,$A54=""),"0",IF(LOOKUP($A54,Load_Switch_NFET[PARTNUMBER],Load_Switch_NFET[RDSON45])="(NULL)","0","1"))</f>
        <v>1</v>
      </c>
      <c r="F54" s="16" t="str">
        <f>IF(OR($A54=0,$A54=""),"0",IF(LOOKUP($A54,Load_Switch_NFET[PARTNUMBER],Load_Switch_NFET[RDSON6])="(NULL)","0","1"))</f>
        <v>0</v>
      </c>
      <c r="G54" s="3" t="str">
        <f>IF(OR($A54=0,$A54=""),"0",IF(LOOKUP($A54,Load_Switch_NFET[PARTNUMBER],Load_Switch_NFET[RDSON8])="(NULL)","0","1"))</f>
        <v>0</v>
      </c>
      <c r="H54" s="14" t="str">
        <f>IF(OR($A54=0,$A54=""),"0",IF(LOOKUP($A54,Load_Switch_NFET[PARTNUMBER],Load_Switch_NFET[RDSON10])="(NULL)","0","1"))</f>
        <v>1</v>
      </c>
      <c r="I54" s="24" t="b">
        <f t="shared" si="10"/>
        <v>0</v>
      </c>
      <c r="J54" s="7" t="b">
        <f t="shared" si="33"/>
        <v>0</v>
      </c>
      <c r="K54" s="10" t="b">
        <f t="shared" si="34"/>
        <v>0</v>
      </c>
      <c r="L54" s="12" t="b">
        <f t="shared" si="35"/>
        <v>1</v>
      </c>
      <c r="M54" s="17" t="b">
        <f t="shared" si="36"/>
        <v>0</v>
      </c>
      <c r="N54" s="13" t="b">
        <f t="shared" si="37"/>
        <v>0</v>
      </c>
      <c r="O54" s="15" t="b">
        <f t="shared" si="38"/>
        <v>0</v>
      </c>
      <c r="P54" s="18" t="b">
        <f t="shared" si="17"/>
        <v>1</v>
      </c>
      <c r="Q54" s="24" t="b">
        <f t="shared" si="20"/>
        <v>0</v>
      </c>
      <c r="R54" s="7" t="b">
        <f t="shared" si="39"/>
        <v>0</v>
      </c>
      <c r="S54" s="10" t="b">
        <f t="shared" si="22"/>
        <v>0</v>
      </c>
      <c r="T54" s="12" t="b">
        <f t="shared" si="23"/>
        <v>1</v>
      </c>
      <c r="U54" s="17" t="b">
        <f t="shared" si="24"/>
        <v>0</v>
      </c>
      <c r="V54" s="13" t="b">
        <f t="shared" si="25"/>
        <v>0</v>
      </c>
      <c r="W54" s="15" t="b">
        <f t="shared" si="26"/>
        <v>0</v>
      </c>
      <c r="X54" s="6">
        <f>IF(W54,LOOKUP(A54,Load_Switch_NFET[PARTNUMBER],Load_Switch_NFET[RDSON10])*1000,IF(V54,LOOKUP(A54,Load_Switch_NFET[PARTNUMBER],Load_Switch_NFET[RDSON8])*1000,IF(U54,LOOKUP(A54,Load_Switch_NFET[PARTNUMBER],Load_Switch_NFET[RDSON6])*1000,IF(T54,LOOKUP(A54,Load_Switch_NFET[PARTNUMBER],Load_Switch_NFET[RDSON45])*1000,IF(S54,LOOKUP(A54,Load_Switch_NFET[PARTNUMBER],Load_Switch_NFET[RDSON3])*1000,IF(R54,LOOKUP(A54,Load_Switch_NFET[PARTNUMBER],Load_Switch_NFET[RDSON25])*1000,IF(Q54,LOOKUP(A54,Load_Switch_NFET[PARTNUMBER],Load_Switch_NFET[RDSON18])*1000,"")))))))</f>
        <v>4.5999999999999996</v>
      </c>
      <c r="Y54" s="19">
        <f>IF(AND(A54&lt;&gt;0,A54&lt;&gt;""),X54*(1+(Tj-25)*(LOOKUP(A54,Load_Switch_NFET[PARTNUMBER],Load_Switch_NFET[RDSDELTA])/((LOOKUP(A54,Load_Switch_NFET[PARTNUMBER],Load_Switch_NFET[TJMAX])-25)))),"")</f>
        <v>5.52</v>
      </c>
      <c r="Z54" s="6">
        <f>IF(AND(A54&lt;&gt;0,A54&lt;&gt;""),LOOKUP(A54,Load_Switch_NFET[PARTNUMBER],Load_Switch_NFET[VTHMAX]),"")</f>
        <v>1.8</v>
      </c>
      <c r="AA54" s="6">
        <f>IF(AND(A54&lt;&gt;0,A54&lt;&gt;""),LOOKUP(A54,Load_Switch_NFET[PARTNUMBER],Load_Switch_NFET[VTHMIN]),"")</f>
        <v>1</v>
      </c>
      <c r="AB54" s="6">
        <f t="shared" si="27"/>
        <v>4.5</v>
      </c>
      <c r="AC54" s="6">
        <f>IF(AND(A54&lt;&gt;0,A54&lt;&gt;""),LOOKUP(A54,Load_Switch_NFET[PARTNUMBER],Load_Switch_NFET[RGIMAX]),"")</f>
        <v>2</v>
      </c>
      <c r="AD54" s="6">
        <f>IF(AND($A54&lt;&gt;0,$A54&lt;&gt;""),LOOKUP($A54,Load_Switch_NFET[PARTNUMBER],Load_Switch_NFET[QGTYP]),"")</f>
        <v>10</v>
      </c>
      <c r="AE54" s="6">
        <f>IF(AND($A54&lt;&gt;0,$A54&lt;&gt;""),LOOKUP($A54,Load_Switch_NFET[PARTNUMBER],Load_Switch_NFET[QGS]),"")</f>
        <v>3.5</v>
      </c>
      <c r="AF54" s="6">
        <f>IF(AND($A54&lt;&gt;0,$A54&lt;&gt;""),LOOKUP($A54,Load_Switch_NFET[PARTNUMBER],Load_Switch_NFET[QGD]),"")</f>
        <v>2.7</v>
      </c>
      <c r="AG54" s="6">
        <f>IF(AND($A54&lt;&gt;0,$A54&lt;&gt;""),LOOKUP($A54,Load_Switch_NFET[PARTNUMBER],Load_Switch_NFET[QGTH]),"")</f>
        <v>1.9</v>
      </c>
      <c r="AH54" s="6" t="str">
        <f>IF(AND($A54&lt;&gt;0,$A54&lt;&gt;""),LOOKUP($A54,Load_Switch_NFET[PARTNUMBER],Load_Switch_NFET[VMILLER]),"")</f>
        <v>(NULL)</v>
      </c>
      <c r="AI54" s="6">
        <f>IF(AND($A54&lt;&gt;0,$A54&lt;&gt;""),LOOKUP($A54,Load_Switch_NFET[PARTNUMBER],Load_Switch_NFET[COSS_AT_VDSSPEC]),"")</f>
        <v>1.03</v>
      </c>
      <c r="AJ54" s="6">
        <f t="shared" si="28"/>
        <v>4.3000000000000007</v>
      </c>
      <c r="AK54" s="6">
        <f t="shared" si="29"/>
        <v>1.4</v>
      </c>
      <c r="AL54" s="6">
        <f t="shared" si="30"/>
        <v>2.2079999999999999E-2</v>
      </c>
      <c r="AM54" s="49">
        <f t="shared" si="31"/>
        <v>2.1999999999999999E-2</v>
      </c>
      <c r="AN54" s="46">
        <f>IF(AND($A54&lt;&gt;0,$A54&lt;&gt;""),LOOKUP($A54,Load_Switch_NFET[PARTNUMBER],Load_Switch_NFET[1KPRICE]),"")</f>
        <v>0.56200000000000006</v>
      </c>
      <c r="AO54" s="6" t="str">
        <f>IF(AND($A54&lt;&gt;0,$A54&lt;&gt;""),LOOKUP(A54,Load_Switch_NFET[PARTNUMBER],Load_Switch_NFET[TI_EQ_PACKAGE]),"")</f>
        <v>SON5x6</v>
      </c>
      <c r="AP54" s="6" t="str">
        <f t="shared" si="32"/>
        <v>CSD17505Q5A, SON5x6, 0.022W, $0.562</v>
      </c>
    </row>
    <row r="55" spans="1:42" ht="30" x14ac:dyDescent="0.25">
      <c r="A55" s="6" t="str">
        <f>IF(CH="N",NLogic!B55,"")</f>
        <v>CSD17506Q5A</v>
      </c>
      <c r="B55" s="23" t="str">
        <f>IF(OR($A55=0,$A55=""),"0",IF(LOOKUP($A55,Load_Switch_NFET[PARTNUMBER],Load_Switch_NFET[RDSON18])="(NULL)","0","1"))</f>
        <v>0</v>
      </c>
      <c r="C55" s="8" t="str">
        <f>IF(OR($A55=0,$A55=""),"0",IF(LOOKUP($A55,Load_Switch_NFET[PARTNUMBER],Load_Switch_NFET[RDSON25])="(NULL)","0","1"))</f>
        <v>0</v>
      </c>
      <c r="D55" s="9" t="str">
        <f>IF(OR($A55=0,$A55=""),"0",IF(LOOKUP($A55,Load_Switch_NFET[PARTNUMBER],Load_Switch_NFET[RDSON3])="(NULL)","0","1"))</f>
        <v>0</v>
      </c>
      <c r="E55" s="11" t="str">
        <f>IF(OR($A55=0,$A55=""),"0",IF(LOOKUP($A55,Load_Switch_NFET[PARTNUMBER],Load_Switch_NFET[RDSON45])="(NULL)","0","1"))</f>
        <v>1</v>
      </c>
      <c r="F55" s="16" t="str">
        <f>IF(OR($A55=0,$A55=""),"0",IF(LOOKUP($A55,Load_Switch_NFET[PARTNUMBER],Load_Switch_NFET[RDSON6])="(NULL)","0","1"))</f>
        <v>0</v>
      </c>
      <c r="G55" s="3" t="str">
        <f>IF(OR($A55=0,$A55=""),"0",IF(LOOKUP($A55,Load_Switch_NFET[PARTNUMBER],Load_Switch_NFET[RDSON8])="(NULL)","0","1"))</f>
        <v>0</v>
      </c>
      <c r="H55" s="14" t="str">
        <f>IF(OR($A55=0,$A55=""),"0",IF(LOOKUP($A55,Load_Switch_NFET[PARTNUMBER],Load_Switch_NFET[RDSON10])="(NULL)","0","1"))</f>
        <v>1</v>
      </c>
      <c r="I55" s="24" t="b">
        <f t="shared" si="10"/>
        <v>0</v>
      </c>
      <c r="J55" s="7" t="b">
        <f t="shared" si="33"/>
        <v>0</v>
      </c>
      <c r="K55" s="10" t="b">
        <f t="shared" si="34"/>
        <v>0</v>
      </c>
      <c r="L55" s="12" t="b">
        <f t="shared" si="35"/>
        <v>1</v>
      </c>
      <c r="M55" s="17" t="b">
        <f t="shared" si="36"/>
        <v>0</v>
      </c>
      <c r="N55" s="13" t="b">
        <f t="shared" si="37"/>
        <v>0</v>
      </c>
      <c r="O55" s="15" t="b">
        <f t="shared" si="38"/>
        <v>0</v>
      </c>
      <c r="P55" s="18" t="b">
        <f t="shared" si="17"/>
        <v>1</v>
      </c>
      <c r="Q55" s="24" t="b">
        <f t="shared" si="20"/>
        <v>0</v>
      </c>
      <c r="R55" s="7" t="b">
        <f t="shared" si="39"/>
        <v>0</v>
      </c>
      <c r="S55" s="10" t="b">
        <f t="shared" si="22"/>
        <v>0</v>
      </c>
      <c r="T55" s="12" t="b">
        <f t="shared" si="23"/>
        <v>1</v>
      </c>
      <c r="U55" s="17" t="b">
        <f t="shared" si="24"/>
        <v>0</v>
      </c>
      <c r="V55" s="13" t="b">
        <f t="shared" si="25"/>
        <v>0</v>
      </c>
      <c r="W55" s="15" t="b">
        <f t="shared" si="26"/>
        <v>0</v>
      </c>
      <c r="X55" s="6">
        <f>IF(W55,LOOKUP(A55,Load_Switch_NFET[PARTNUMBER],Load_Switch_NFET[RDSON10])*1000,IF(V55,LOOKUP(A55,Load_Switch_NFET[PARTNUMBER],Load_Switch_NFET[RDSON8])*1000,IF(U55,LOOKUP(A55,Load_Switch_NFET[PARTNUMBER],Load_Switch_NFET[RDSON6])*1000,IF(T55,LOOKUP(A55,Load_Switch_NFET[PARTNUMBER],Load_Switch_NFET[RDSON45])*1000,IF(S55,LOOKUP(A55,Load_Switch_NFET[PARTNUMBER],Load_Switch_NFET[RDSON3])*1000,IF(R55,LOOKUP(A55,Load_Switch_NFET[PARTNUMBER],Load_Switch_NFET[RDSON25])*1000,IF(Q55,LOOKUP(A55,Load_Switch_NFET[PARTNUMBER],Load_Switch_NFET[RDSON18])*1000,"")))))))</f>
        <v>5.3</v>
      </c>
      <c r="Y55" s="19">
        <f>IF(AND(A55&lt;&gt;0,A55&lt;&gt;""),X55*(1+(Tj-25)*(LOOKUP(A55,Load_Switch_NFET[PARTNUMBER],Load_Switch_NFET[RDSDELTA])/((LOOKUP(A55,Load_Switch_NFET[PARTNUMBER],Load_Switch_NFET[TJMAX])-25)))),"")</f>
        <v>6.2539999999999996</v>
      </c>
      <c r="Z55" s="6">
        <f>IF(AND(A55&lt;&gt;0,A55&lt;&gt;""),LOOKUP(A55,Load_Switch_NFET[PARTNUMBER],Load_Switch_NFET[VTHMAX]),"")</f>
        <v>1.8</v>
      </c>
      <c r="AA55" s="6">
        <f>IF(AND(A55&lt;&gt;0,A55&lt;&gt;""),LOOKUP(A55,Load_Switch_NFET[PARTNUMBER],Load_Switch_NFET[VTHMIN]),"")</f>
        <v>1</v>
      </c>
      <c r="AB55" s="6">
        <f t="shared" si="27"/>
        <v>4.5</v>
      </c>
      <c r="AC55" s="6">
        <f>IF(AND(A55&lt;&gt;0,A55&lt;&gt;""),LOOKUP(A55,Load_Switch_NFET[PARTNUMBER],Load_Switch_NFET[RGIMAX]),"")</f>
        <v>2.2000000000000002</v>
      </c>
      <c r="AD55" s="6">
        <f>IF(AND($A55&lt;&gt;0,$A55&lt;&gt;""),LOOKUP($A55,Load_Switch_NFET[PARTNUMBER],Load_Switch_NFET[QGTYP]),"")</f>
        <v>8.3000000000000007</v>
      </c>
      <c r="AE55" s="6">
        <f>IF(AND($A55&lt;&gt;0,$A55&lt;&gt;""),LOOKUP($A55,Load_Switch_NFET[PARTNUMBER],Load_Switch_NFET[QGS]),"")</f>
        <v>3.1</v>
      </c>
      <c r="AF55" s="6">
        <f>IF(AND($A55&lt;&gt;0,$A55&lt;&gt;""),LOOKUP($A55,Load_Switch_NFET[PARTNUMBER],Load_Switch_NFET[QGD]),"")</f>
        <v>2.2999999999999998</v>
      </c>
      <c r="AG55" s="6">
        <f>IF(AND($A55&lt;&gt;0,$A55&lt;&gt;""),LOOKUP($A55,Load_Switch_NFET[PARTNUMBER],Load_Switch_NFET[QGTH]),"")</f>
        <v>1.6</v>
      </c>
      <c r="AH55" s="6" t="str">
        <f>IF(AND($A55&lt;&gt;0,$A55&lt;&gt;""),LOOKUP($A55,Load_Switch_NFET[PARTNUMBER],Load_Switch_NFET[VMILLER]),"")</f>
        <v>(NULL)</v>
      </c>
      <c r="AI55" s="6">
        <f>IF(AND($A55&lt;&gt;0,$A55&lt;&gt;""),LOOKUP($A55,Load_Switch_NFET[PARTNUMBER],Load_Switch_NFET[COSS_AT_VDSSPEC]),"")</f>
        <v>0.86</v>
      </c>
      <c r="AJ55" s="6">
        <f t="shared" si="28"/>
        <v>3.8000000000000003</v>
      </c>
      <c r="AK55" s="6">
        <f t="shared" si="29"/>
        <v>1.4</v>
      </c>
      <c r="AL55" s="6">
        <f t="shared" si="30"/>
        <v>2.5016E-2</v>
      </c>
      <c r="AM55" s="49">
        <f t="shared" si="31"/>
        <v>2.5000000000000001E-2</v>
      </c>
      <c r="AN55" s="46">
        <f>IF(AND($A55&lt;&gt;0,$A55&lt;&gt;""),LOOKUP($A55,Load_Switch_NFET[PARTNUMBER],Load_Switch_NFET[1KPRICE]),"")</f>
        <v>0.495</v>
      </c>
      <c r="AO55" s="6" t="str">
        <f>IF(AND($A55&lt;&gt;0,$A55&lt;&gt;""),LOOKUP(A55,Load_Switch_NFET[PARTNUMBER],Load_Switch_NFET[TI_EQ_PACKAGE]),"")</f>
        <v>SON5x6</v>
      </c>
      <c r="AP55" s="6" t="str">
        <f t="shared" si="32"/>
        <v>CSD17506Q5A, SON5x6, 0.025W, $0.495</v>
      </c>
    </row>
    <row r="56" spans="1:42" ht="30" x14ac:dyDescent="0.25">
      <c r="A56" s="6" t="str">
        <f>IF(CH="N",NLogic!B56,"")</f>
        <v>CSD17507Q5A</v>
      </c>
      <c r="B56" s="23" t="str">
        <f>IF(OR($A56=0,$A56=""),"0",IF(LOOKUP($A56,Load_Switch_NFET[PARTNUMBER],Load_Switch_NFET[RDSON18])="(NULL)","0","1"))</f>
        <v>0</v>
      </c>
      <c r="C56" s="8" t="str">
        <f>IF(OR($A56=0,$A56=""),"0",IF(LOOKUP($A56,Load_Switch_NFET[PARTNUMBER],Load_Switch_NFET[RDSON25])="(NULL)","0","1"))</f>
        <v>0</v>
      </c>
      <c r="D56" s="9" t="str">
        <f>IF(OR($A56=0,$A56=""),"0",IF(LOOKUP($A56,Load_Switch_NFET[PARTNUMBER],Load_Switch_NFET[RDSON3])="(NULL)","0","1"))</f>
        <v>0</v>
      </c>
      <c r="E56" s="11" t="str">
        <f>IF(OR($A56=0,$A56=""),"0",IF(LOOKUP($A56,Load_Switch_NFET[PARTNUMBER],Load_Switch_NFET[RDSON45])="(NULL)","0","1"))</f>
        <v>1</v>
      </c>
      <c r="F56" s="16" t="str">
        <f>IF(OR($A56=0,$A56=""),"0",IF(LOOKUP($A56,Load_Switch_NFET[PARTNUMBER],Load_Switch_NFET[RDSON6])="(NULL)","0","1"))</f>
        <v>0</v>
      </c>
      <c r="G56" s="3" t="str">
        <f>IF(OR($A56=0,$A56=""),"0",IF(LOOKUP($A56,Load_Switch_NFET[PARTNUMBER],Load_Switch_NFET[RDSON8])="(NULL)","0","1"))</f>
        <v>0</v>
      </c>
      <c r="H56" s="14" t="str">
        <f>IF(OR($A56=0,$A56=""),"0",IF(LOOKUP($A56,Load_Switch_NFET[PARTNUMBER],Load_Switch_NFET[RDSON10])="(NULL)","0","1"))</f>
        <v>1</v>
      </c>
      <c r="I56" s="24" t="b">
        <f t="shared" si="10"/>
        <v>0</v>
      </c>
      <c r="J56" s="7" t="b">
        <f t="shared" si="33"/>
        <v>0</v>
      </c>
      <c r="K56" s="10" t="b">
        <f t="shared" si="34"/>
        <v>0</v>
      </c>
      <c r="L56" s="12" t="b">
        <f t="shared" si="35"/>
        <v>1</v>
      </c>
      <c r="M56" s="17" t="b">
        <f t="shared" si="36"/>
        <v>0</v>
      </c>
      <c r="N56" s="13" t="b">
        <f t="shared" si="37"/>
        <v>0</v>
      </c>
      <c r="O56" s="15" t="b">
        <f t="shared" si="38"/>
        <v>0</v>
      </c>
      <c r="P56" s="18" t="b">
        <f t="shared" si="17"/>
        <v>1</v>
      </c>
      <c r="Q56" s="24" t="b">
        <f t="shared" si="20"/>
        <v>0</v>
      </c>
      <c r="R56" s="7" t="b">
        <f t="shared" si="39"/>
        <v>0</v>
      </c>
      <c r="S56" s="10" t="b">
        <f t="shared" si="22"/>
        <v>0</v>
      </c>
      <c r="T56" s="12" t="b">
        <f t="shared" si="23"/>
        <v>1</v>
      </c>
      <c r="U56" s="17" t="b">
        <f t="shared" si="24"/>
        <v>0</v>
      </c>
      <c r="V56" s="13" t="b">
        <f t="shared" si="25"/>
        <v>0</v>
      </c>
      <c r="W56" s="15" t="b">
        <f t="shared" si="26"/>
        <v>0</v>
      </c>
      <c r="X56" s="6">
        <f>IF(W56,LOOKUP(A56,Load_Switch_NFET[PARTNUMBER],Load_Switch_NFET[RDSON10])*1000,IF(V56,LOOKUP(A56,Load_Switch_NFET[PARTNUMBER],Load_Switch_NFET[RDSON8])*1000,IF(U56,LOOKUP(A56,Load_Switch_NFET[PARTNUMBER],Load_Switch_NFET[RDSON6])*1000,IF(T56,LOOKUP(A56,Load_Switch_NFET[PARTNUMBER],Load_Switch_NFET[RDSON45])*1000,IF(S56,LOOKUP(A56,Load_Switch_NFET[PARTNUMBER],Load_Switch_NFET[RDSON3])*1000,IF(R56,LOOKUP(A56,Load_Switch_NFET[PARTNUMBER],Load_Switch_NFET[RDSON25])*1000,IF(Q56,LOOKUP(A56,Load_Switch_NFET[PARTNUMBER],Load_Switch_NFET[RDSON18])*1000,"")))))))</f>
        <v>16.100000000000001</v>
      </c>
      <c r="Y56" s="19">
        <f>IF(AND(A56&lt;&gt;0,A56&lt;&gt;""),X56*(1+(Tj-25)*(LOOKUP(A56,Load_Switch_NFET[PARTNUMBER],Load_Switch_NFET[RDSDELTA])/((LOOKUP(A56,Load_Switch_NFET[PARTNUMBER],Load_Switch_NFET[TJMAX])-25)))),"")</f>
        <v>19.126799999999999</v>
      </c>
      <c r="Z56" s="6">
        <f>IF(AND(A56&lt;&gt;0,A56&lt;&gt;""),LOOKUP(A56,Load_Switch_NFET[PARTNUMBER],Load_Switch_NFET[VTHMAX]),"")</f>
        <v>2.1</v>
      </c>
      <c r="AA56" s="6">
        <f>IF(AND(A56&lt;&gt;0,A56&lt;&gt;""),LOOKUP(A56,Load_Switch_NFET[PARTNUMBER],Load_Switch_NFET[VTHMIN]),"")</f>
        <v>1.1000000000000001</v>
      </c>
      <c r="AB56" s="6">
        <f t="shared" si="27"/>
        <v>4.5</v>
      </c>
      <c r="AC56" s="6">
        <f>IF(AND(A56&lt;&gt;0,A56&lt;&gt;""),LOOKUP(A56,Load_Switch_NFET[PARTNUMBER],Load_Switch_NFET[RGIMAX]),"")</f>
        <v>1.4</v>
      </c>
      <c r="AD56" s="6">
        <f>IF(AND($A56&lt;&gt;0,$A56&lt;&gt;""),LOOKUP($A56,Load_Switch_NFET[PARTNUMBER],Load_Switch_NFET[QGTYP]),"")</f>
        <v>2.8</v>
      </c>
      <c r="AE56" s="6">
        <f>IF(AND($A56&lt;&gt;0,$A56&lt;&gt;""),LOOKUP($A56,Load_Switch_NFET[PARTNUMBER],Load_Switch_NFET[QGS]),"")</f>
        <v>1.3</v>
      </c>
      <c r="AF56" s="6">
        <f>IF(AND($A56&lt;&gt;0,$A56&lt;&gt;""),LOOKUP($A56,Load_Switch_NFET[PARTNUMBER],Load_Switch_NFET[QGD]),"")</f>
        <v>0.7</v>
      </c>
      <c r="AG56" s="6">
        <f>IF(AND($A56&lt;&gt;0,$A56&lt;&gt;""),LOOKUP($A56,Load_Switch_NFET[PARTNUMBER],Load_Switch_NFET[QGTH]),"")</f>
        <v>0.7</v>
      </c>
      <c r="AH56" s="6" t="str">
        <f>IF(AND($A56&lt;&gt;0,$A56&lt;&gt;""),LOOKUP($A56,Load_Switch_NFET[PARTNUMBER],Load_Switch_NFET[VMILLER]),"")</f>
        <v>(NULL)</v>
      </c>
      <c r="AI56" s="6">
        <f>IF(AND($A56&lt;&gt;0,$A56&lt;&gt;""),LOOKUP($A56,Load_Switch_NFET[PARTNUMBER],Load_Switch_NFET[COSS_AT_VDSSPEC]),"")</f>
        <v>0.27</v>
      </c>
      <c r="AJ56" s="6">
        <f t="shared" si="28"/>
        <v>1.3</v>
      </c>
      <c r="AK56" s="6">
        <f t="shared" si="29"/>
        <v>1.6</v>
      </c>
      <c r="AL56" s="6">
        <f t="shared" si="30"/>
        <v>7.6507199999999997E-2</v>
      </c>
      <c r="AM56" s="49">
        <f t="shared" si="31"/>
        <v>7.6999999999999999E-2</v>
      </c>
      <c r="AN56" s="46">
        <f>IF(AND($A56&lt;&gt;0,$A56&lt;&gt;""),LOOKUP($A56,Load_Switch_NFET[PARTNUMBER],Load_Switch_NFET[1KPRICE]),"")</f>
        <v>0.24399999999999999</v>
      </c>
      <c r="AO56" s="6" t="str">
        <f>IF(AND($A56&lt;&gt;0,$A56&lt;&gt;""),LOOKUP(A56,Load_Switch_NFET[PARTNUMBER],Load_Switch_NFET[TI_EQ_PACKAGE]),"")</f>
        <v>SON5x6</v>
      </c>
      <c r="AP56" s="6" t="str">
        <f t="shared" si="32"/>
        <v>CSD17507Q5A, SON5x6, 0.077W, $0.244</v>
      </c>
    </row>
    <row r="57" spans="1:42" ht="30" x14ac:dyDescent="0.25">
      <c r="A57" s="6" t="str">
        <f>IF(CH="N",NLogic!B57,"")</f>
        <v>CSD17510Q5A</v>
      </c>
      <c r="B57" s="23" t="str">
        <f>IF(OR($A57=0,$A57=""),"0",IF(LOOKUP($A57,Load_Switch_NFET[PARTNUMBER],Load_Switch_NFET[RDSON18])="(NULL)","0","1"))</f>
        <v>0</v>
      </c>
      <c r="C57" s="8" t="str">
        <f>IF(OR($A57=0,$A57=""),"0",IF(LOOKUP($A57,Load_Switch_NFET[PARTNUMBER],Load_Switch_NFET[RDSON25])="(NULL)","0","1"))</f>
        <v>0</v>
      </c>
      <c r="D57" s="9" t="str">
        <f>IF(OR($A57=0,$A57=""),"0",IF(LOOKUP($A57,Load_Switch_NFET[PARTNUMBER],Load_Switch_NFET[RDSON3])="(NULL)","0","1"))</f>
        <v>0</v>
      </c>
      <c r="E57" s="11" t="str">
        <f>IF(OR($A57=0,$A57=""),"0",IF(LOOKUP($A57,Load_Switch_NFET[PARTNUMBER],Load_Switch_NFET[RDSON45])="(NULL)","0","1"))</f>
        <v>1</v>
      </c>
      <c r="F57" s="16" t="str">
        <f>IF(OR($A57=0,$A57=""),"0",IF(LOOKUP($A57,Load_Switch_NFET[PARTNUMBER],Load_Switch_NFET[RDSON6])="(NULL)","0","1"))</f>
        <v>0</v>
      </c>
      <c r="G57" s="3" t="str">
        <f>IF(OR($A57=0,$A57=""),"0",IF(LOOKUP($A57,Load_Switch_NFET[PARTNUMBER],Load_Switch_NFET[RDSON8])="(NULL)","0","1"))</f>
        <v>0</v>
      </c>
      <c r="H57" s="14" t="str">
        <f>IF(OR($A57=0,$A57=""),"0",IF(LOOKUP($A57,Load_Switch_NFET[PARTNUMBER],Load_Switch_NFET[RDSON10])="(NULL)","0","1"))</f>
        <v>1</v>
      </c>
      <c r="I57" s="24" t="b">
        <f t="shared" si="10"/>
        <v>0</v>
      </c>
      <c r="J57" s="7" t="b">
        <f t="shared" si="33"/>
        <v>0</v>
      </c>
      <c r="K57" s="10" t="b">
        <f t="shared" si="34"/>
        <v>0</v>
      </c>
      <c r="L57" s="12" t="b">
        <f t="shared" si="35"/>
        <v>1</v>
      </c>
      <c r="M57" s="17" t="b">
        <f t="shared" si="36"/>
        <v>0</v>
      </c>
      <c r="N57" s="13" t="b">
        <f t="shared" si="37"/>
        <v>0</v>
      </c>
      <c r="O57" s="15" t="b">
        <f t="shared" si="38"/>
        <v>0</v>
      </c>
      <c r="P57" s="18" t="b">
        <f t="shared" si="17"/>
        <v>1</v>
      </c>
      <c r="Q57" s="24" t="b">
        <f t="shared" si="20"/>
        <v>0</v>
      </c>
      <c r="R57" s="7" t="b">
        <f t="shared" si="39"/>
        <v>0</v>
      </c>
      <c r="S57" s="10" t="b">
        <f t="shared" si="22"/>
        <v>0</v>
      </c>
      <c r="T57" s="12" t="b">
        <f t="shared" si="23"/>
        <v>1</v>
      </c>
      <c r="U57" s="17" t="b">
        <f t="shared" si="24"/>
        <v>0</v>
      </c>
      <c r="V57" s="13" t="b">
        <f t="shared" si="25"/>
        <v>0</v>
      </c>
      <c r="W57" s="15" t="b">
        <f t="shared" si="26"/>
        <v>0</v>
      </c>
      <c r="X57" s="6">
        <f>IF(W57,LOOKUP(A57,Load_Switch_NFET[PARTNUMBER],Load_Switch_NFET[RDSON10])*1000,IF(V57,LOOKUP(A57,Load_Switch_NFET[PARTNUMBER],Load_Switch_NFET[RDSON8])*1000,IF(U57,LOOKUP(A57,Load_Switch_NFET[PARTNUMBER],Load_Switch_NFET[RDSON6])*1000,IF(T57,LOOKUP(A57,Load_Switch_NFET[PARTNUMBER],Load_Switch_NFET[RDSON45])*1000,IF(S57,LOOKUP(A57,Load_Switch_NFET[PARTNUMBER],Load_Switch_NFET[RDSON3])*1000,IF(R57,LOOKUP(A57,Load_Switch_NFET[PARTNUMBER],Load_Switch_NFET[RDSON25])*1000,IF(Q57,LOOKUP(A57,Load_Switch_NFET[PARTNUMBER],Load_Switch_NFET[RDSON18])*1000,"")))))))</f>
        <v>7.3</v>
      </c>
      <c r="Y57" s="19">
        <f>IF(AND(A57&lt;&gt;0,A57&lt;&gt;""),X57*(1+(Tj-25)*(LOOKUP(A57,Load_Switch_NFET[PARTNUMBER],Load_Switch_NFET[RDSDELTA])/((LOOKUP(A57,Load_Switch_NFET[PARTNUMBER],Load_Switch_NFET[TJMAX])-25)))),"")</f>
        <v>8.6723999999999997</v>
      </c>
      <c r="Z57" s="6">
        <f>IF(AND(A57&lt;&gt;0,A57&lt;&gt;""),LOOKUP(A57,Load_Switch_NFET[PARTNUMBER],Load_Switch_NFET[VTHMAX]),"")</f>
        <v>2.1</v>
      </c>
      <c r="AA57" s="6">
        <f>IF(AND(A57&lt;&gt;0,A57&lt;&gt;""),LOOKUP(A57,Load_Switch_NFET[PARTNUMBER],Load_Switch_NFET[VTHMIN]),"")</f>
        <v>1</v>
      </c>
      <c r="AB57" s="6">
        <f t="shared" si="27"/>
        <v>4.5</v>
      </c>
      <c r="AC57" s="6">
        <f>IF(AND(A57&lt;&gt;0,A57&lt;&gt;""),LOOKUP(A57,Load_Switch_NFET[PARTNUMBER],Load_Switch_NFET[RGIMAX]),"")</f>
        <v>1.7</v>
      </c>
      <c r="AD57" s="6">
        <f>IF(AND($A57&lt;&gt;0,$A57&lt;&gt;""),LOOKUP($A57,Load_Switch_NFET[PARTNUMBER],Load_Switch_NFET[QGTYP]),"")</f>
        <v>6.4</v>
      </c>
      <c r="AE57" s="6">
        <f>IF(AND($A57&lt;&gt;0,$A57&lt;&gt;""),LOOKUP($A57,Load_Switch_NFET[PARTNUMBER],Load_Switch_NFET[QGS]),"")</f>
        <v>2.7</v>
      </c>
      <c r="AF57" s="6">
        <f>IF(AND($A57&lt;&gt;0,$A57&lt;&gt;""),LOOKUP($A57,Load_Switch_NFET[PARTNUMBER],Load_Switch_NFET[QGD]),"")</f>
        <v>1.9</v>
      </c>
      <c r="AG57" s="6">
        <f>IF(AND($A57&lt;&gt;0,$A57&lt;&gt;""),LOOKUP($A57,Load_Switch_NFET[PARTNUMBER],Load_Switch_NFET[QGTH]),"")</f>
        <v>1.5</v>
      </c>
      <c r="AH57" s="6" t="str">
        <f>IF(AND($A57&lt;&gt;0,$A57&lt;&gt;""),LOOKUP($A57,Load_Switch_NFET[PARTNUMBER],Load_Switch_NFET[VMILLER]),"")</f>
        <v>(NULL)</v>
      </c>
      <c r="AI57" s="6">
        <f>IF(AND($A57&lt;&gt;0,$A57&lt;&gt;""),LOOKUP($A57,Load_Switch_NFET[PARTNUMBER],Load_Switch_NFET[COSS_AT_VDSSPEC]),"")</f>
        <v>0.63</v>
      </c>
      <c r="AJ57" s="6">
        <f t="shared" si="28"/>
        <v>3.0999999999999996</v>
      </c>
      <c r="AK57" s="6">
        <f t="shared" si="29"/>
        <v>1.55</v>
      </c>
      <c r="AL57" s="6">
        <f t="shared" si="30"/>
        <v>3.4689600000000001E-2</v>
      </c>
      <c r="AM57" s="49">
        <f t="shared" si="31"/>
        <v>3.5000000000000003E-2</v>
      </c>
      <c r="AN57" s="46">
        <f>IF(AND($A57&lt;&gt;0,$A57&lt;&gt;""),LOOKUP($A57,Load_Switch_NFET[PARTNUMBER],Load_Switch_NFET[1KPRICE]),"")</f>
        <v>0.35799999999999998</v>
      </c>
      <c r="AO57" s="6" t="str">
        <f>IF(AND($A57&lt;&gt;0,$A57&lt;&gt;""),LOOKUP(A57,Load_Switch_NFET[PARTNUMBER],Load_Switch_NFET[TI_EQ_PACKAGE]),"")</f>
        <v>SON5x6</v>
      </c>
      <c r="AP57" s="6" t="str">
        <f t="shared" si="32"/>
        <v>CSD17510Q5A, SON5x6, 0.035W, $0.358</v>
      </c>
    </row>
    <row r="58" spans="1:42" ht="30" x14ac:dyDescent="0.25">
      <c r="A58" s="6" t="str">
        <f>IF(CH="N",NLogic!B58,"")</f>
        <v>CSD17522Q5A</v>
      </c>
      <c r="B58" s="23" t="str">
        <f>IF(OR($A58=0,$A58=""),"0",IF(LOOKUP($A58,Load_Switch_NFET[PARTNUMBER],Load_Switch_NFET[RDSON18])="(NULL)","0","1"))</f>
        <v>0</v>
      </c>
      <c r="C58" s="8" t="str">
        <f>IF(OR($A58=0,$A58=""),"0",IF(LOOKUP($A58,Load_Switch_NFET[PARTNUMBER],Load_Switch_NFET[RDSON25])="(NULL)","0","1"))</f>
        <v>0</v>
      </c>
      <c r="D58" s="9" t="str">
        <f>IF(OR($A58=0,$A58=""),"0",IF(LOOKUP($A58,Load_Switch_NFET[PARTNUMBER],Load_Switch_NFET[RDSON3])="(NULL)","0","1"))</f>
        <v>0</v>
      </c>
      <c r="E58" s="11" t="str">
        <f>IF(OR($A58=0,$A58=""),"0",IF(LOOKUP($A58,Load_Switch_NFET[PARTNUMBER],Load_Switch_NFET[RDSON45])="(NULL)","0","1"))</f>
        <v>1</v>
      </c>
      <c r="F58" s="16" t="str">
        <f>IF(OR($A58=0,$A58=""),"0",IF(LOOKUP($A58,Load_Switch_NFET[PARTNUMBER],Load_Switch_NFET[RDSON6])="(NULL)","0","1"))</f>
        <v>0</v>
      </c>
      <c r="G58" s="3" t="str">
        <f>IF(OR($A58=0,$A58=""),"0",IF(LOOKUP($A58,Load_Switch_NFET[PARTNUMBER],Load_Switch_NFET[RDSON8])="(NULL)","0","1"))</f>
        <v>0</v>
      </c>
      <c r="H58" s="14" t="str">
        <f>IF(OR($A58=0,$A58=""),"0",IF(LOOKUP($A58,Load_Switch_NFET[PARTNUMBER],Load_Switch_NFET[RDSON10])="(NULL)","0","1"))</f>
        <v>1</v>
      </c>
      <c r="I58" s="24" t="b">
        <f t="shared" si="10"/>
        <v>0</v>
      </c>
      <c r="J58" s="7" t="b">
        <f t="shared" si="33"/>
        <v>0</v>
      </c>
      <c r="K58" s="10" t="b">
        <f t="shared" si="34"/>
        <v>0</v>
      </c>
      <c r="L58" s="12" t="b">
        <f t="shared" si="35"/>
        <v>1</v>
      </c>
      <c r="M58" s="17" t="b">
        <f t="shared" si="36"/>
        <v>0</v>
      </c>
      <c r="N58" s="13" t="b">
        <f t="shared" si="37"/>
        <v>0</v>
      </c>
      <c r="O58" s="15" t="b">
        <f t="shared" si="38"/>
        <v>0</v>
      </c>
      <c r="P58" s="18" t="b">
        <f t="shared" si="17"/>
        <v>1</v>
      </c>
      <c r="Q58" s="24" t="b">
        <f t="shared" si="20"/>
        <v>0</v>
      </c>
      <c r="R58" s="7" t="b">
        <f t="shared" si="39"/>
        <v>0</v>
      </c>
      <c r="S58" s="10" t="b">
        <f t="shared" si="22"/>
        <v>0</v>
      </c>
      <c r="T58" s="12" t="b">
        <f t="shared" si="23"/>
        <v>1</v>
      </c>
      <c r="U58" s="17" t="b">
        <f t="shared" si="24"/>
        <v>0</v>
      </c>
      <c r="V58" s="13" t="b">
        <f t="shared" si="25"/>
        <v>0</v>
      </c>
      <c r="W58" s="15" t="b">
        <f t="shared" si="26"/>
        <v>0</v>
      </c>
      <c r="X58" s="6">
        <f>IF(W58,LOOKUP(A58,Load_Switch_NFET[PARTNUMBER],Load_Switch_NFET[RDSON10])*1000,IF(V58,LOOKUP(A58,Load_Switch_NFET[PARTNUMBER],Load_Switch_NFET[RDSON8])*1000,IF(U58,LOOKUP(A58,Load_Switch_NFET[PARTNUMBER],Load_Switch_NFET[RDSON6])*1000,IF(T58,LOOKUP(A58,Load_Switch_NFET[PARTNUMBER],Load_Switch_NFET[RDSON45])*1000,IF(S58,LOOKUP(A58,Load_Switch_NFET[PARTNUMBER],Load_Switch_NFET[RDSON3])*1000,IF(R58,LOOKUP(A58,Load_Switch_NFET[PARTNUMBER],Load_Switch_NFET[RDSON25])*1000,IF(Q58,LOOKUP(A58,Load_Switch_NFET[PARTNUMBER],Load_Switch_NFET[RDSON18])*1000,"")))))))</f>
        <v>12.4</v>
      </c>
      <c r="Y58" s="19">
        <f>IF(AND(A58&lt;&gt;0,A58&lt;&gt;""),X58*(1+(Tj-25)*(LOOKUP(A58,Load_Switch_NFET[PARTNUMBER],Load_Switch_NFET[RDSDELTA])/((LOOKUP(A58,Load_Switch_NFET[PARTNUMBER],Load_Switch_NFET[TJMAX])-25)))),"")</f>
        <v>14.4832</v>
      </c>
      <c r="Z58" s="6">
        <f>IF(AND(A58&lt;&gt;0,A58&lt;&gt;""),LOOKUP(A58,Load_Switch_NFET[PARTNUMBER],Load_Switch_NFET[VTHMAX]),"")</f>
        <v>2</v>
      </c>
      <c r="AA58" s="6">
        <f>IF(AND(A58&lt;&gt;0,A58&lt;&gt;""),LOOKUP(A58,Load_Switch_NFET[PARTNUMBER],Load_Switch_NFET[VTHMIN]),"")</f>
        <v>1.1000000000000001</v>
      </c>
      <c r="AB58" s="6">
        <f t="shared" si="27"/>
        <v>4.5</v>
      </c>
      <c r="AC58" s="6" t="str">
        <f>IF(AND(A58&lt;&gt;0,A58&lt;&gt;""),LOOKUP(A58,Load_Switch_NFET[PARTNUMBER],Load_Switch_NFET[RGIMAX]),"")</f>
        <v>(NULL)</v>
      </c>
      <c r="AD58" s="6">
        <f>IF(AND($A58&lt;&gt;0,$A58&lt;&gt;""),LOOKUP($A58,Load_Switch_NFET[PARTNUMBER],Load_Switch_NFET[QGTYP]),"")</f>
        <v>3.6</v>
      </c>
      <c r="AE58" s="6">
        <f>IF(AND($A58&lt;&gt;0,$A58&lt;&gt;""),LOOKUP($A58,Load_Switch_NFET[PARTNUMBER],Load_Switch_NFET[QGS]),"")</f>
        <v>1.6</v>
      </c>
      <c r="AF58" s="6">
        <f>IF(AND($A58&lt;&gt;0,$A58&lt;&gt;""),LOOKUP($A58,Load_Switch_NFET[PARTNUMBER],Load_Switch_NFET[QGD]),"")</f>
        <v>1.1000000000000001</v>
      </c>
      <c r="AG58" s="6">
        <f>IF(AND($A58&lt;&gt;0,$A58&lt;&gt;""),LOOKUP($A58,Load_Switch_NFET[PARTNUMBER],Load_Switch_NFET[QGTH]),"")</f>
        <v>0.9</v>
      </c>
      <c r="AH58" s="6" t="str">
        <f>IF(AND($A58&lt;&gt;0,$A58&lt;&gt;""),LOOKUP($A58,Load_Switch_NFET[PARTNUMBER],Load_Switch_NFET[VMILLER]),"")</f>
        <v>(NULL)</v>
      </c>
      <c r="AI58" s="6">
        <f>IF(AND($A58&lt;&gt;0,$A58&lt;&gt;""),LOOKUP($A58,Load_Switch_NFET[PARTNUMBER],Load_Switch_NFET[COSS_AT_VDSSPEC]),"")</f>
        <v>0.39</v>
      </c>
      <c r="AJ58" s="6">
        <f t="shared" si="28"/>
        <v>1.8000000000000003</v>
      </c>
      <c r="AK58" s="6">
        <f t="shared" si="29"/>
        <v>1.55</v>
      </c>
      <c r="AL58" s="6">
        <f t="shared" si="30"/>
        <v>5.79328E-2</v>
      </c>
      <c r="AM58" s="49">
        <f t="shared" si="31"/>
        <v>5.8000000000000003E-2</v>
      </c>
      <c r="AN58" s="46">
        <f>IF(AND($A58&lt;&gt;0,$A58&lt;&gt;""),LOOKUP($A58,Load_Switch_NFET[PARTNUMBER],Load_Switch_NFET[1KPRICE]),"")</f>
        <v>0.374</v>
      </c>
      <c r="AO58" s="6" t="str">
        <f>IF(AND($A58&lt;&gt;0,$A58&lt;&gt;""),LOOKUP(A58,Load_Switch_NFET[PARTNUMBER],Load_Switch_NFET[TI_EQ_PACKAGE]),"")</f>
        <v>SON5x6</v>
      </c>
      <c r="AP58" s="6" t="str">
        <f t="shared" si="32"/>
        <v>CSD17522Q5A, SON5x6, 0.058W, $0.374</v>
      </c>
    </row>
    <row r="59" spans="1:42" ht="30" x14ac:dyDescent="0.25">
      <c r="A59" s="6" t="str">
        <f>IF(CH="N",NLogic!B59,"")</f>
        <v>CSD17527Q5A</v>
      </c>
      <c r="B59" s="23" t="str">
        <f>IF(OR($A59=0,$A59=""),"0",IF(LOOKUP($A59,Load_Switch_NFET[PARTNUMBER],Load_Switch_NFET[RDSON18])="(NULL)","0","1"))</f>
        <v>0</v>
      </c>
      <c r="C59" s="8" t="str">
        <f>IF(OR($A59=0,$A59=""),"0",IF(LOOKUP($A59,Load_Switch_NFET[PARTNUMBER],Load_Switch_NFET[RDSON25])="(NULL)","0","1"))</f>
        <v>0</v>
      </c>
      <c r="D59" s="9" t="str">
        <f>IF(OR($A59=0,$A59=""),"0",IF(LOOKUP($A59,Load_Switch_NFET[PARTNUMBER],Load_Switch_NFET[RDSON3])="(NULL)","0","1"))</f>
        <v>0</v>
      </c>
      <c r="E59" s="11" t="str">
        <f>IF(OR($A59=0,$A59=""),"0",IF(LOOKUP($A59,Load_Switch_NFET[PARTNUMBER],Load_Switch_NFET[RDSON45])="(NULL)","0","1"))</f>
        <v>1</v>
      </c>
      <c r="F59" s="16" t="str">
        <f>IF(OR($A59=0,$A59=""),"0",IF(LOOKUP($A59,Load_Switch_NFET[PARTNUMBER],Load_Switch_NFET[RDSON6])="(NULL)","0","1"))</f>
        <v>0</v>
      </c>
      <c r="G59" s="3" t="str">
        <f>IF(OR($A59=0,$A59=""),"0",IF(LOOKUP($A59,Load_Switch_NFET[PARTNUMBER],Load_Switch_NFET[RDSON8])="(NULL)","0","1"))</f>
        <v>0</v>
      </c>
      <c r="H59" s="14" t="str">
        <f>IF(OR($A59=0,$A59=""),"0",IF(LOOKUP($A59,Load_Switch_NFET[PARTNUMBER],Load_Switch_NFET[RDSON10])="(NULL)","0","1"))</f>
        <v>1</v>
      </c>
      <c r="I59" s="24" t="b">
        <f t="shared" si="10"/>
        <v>0</v>
      </c>
      <c r="J59" s="7" t="b">
        <f t="shared" si="33"/>
        <v>0</v>
      </c>
      <c r="K59" s="10" t="b">
        <f t="shared" si="34"/>
        <v>0</v>
      </c>
      <c r="L59" s="12" t="b">
        <f t="shared" si="35"/>
        <v>1</v>
      </c>
      <c r="M59" s="17" t="b">
        <f t="shared" si="36"/>
        <v>0</v>
      </c>
      <c r="N59" s="13" t="b">
        <f t="shared" si="37"/>
        <v>0</v>
      </c>
      <c r="O59" s="15" t="b">
        <f t="shared" si="38"/>
        <v>0</v>
      </c>
      <c r="P59" s="18" t="b">
        <f t="shared" si="17"/>
        <v>1</v>
      </c>
      <c r="Q59" s="24" t="b">
        <f t="shared" si="20"/>
        <v>0</v>
      </c>
      <c r="R59" s="7" t="b">
        <f t="shared" si="39"/>
        <v>0</v>
      </c>
      <c r="S59" s="10" t="b">
        <f t="shared" si="22"/>
        <v>0</v>
      </c>
      <c r="T59" s="12" t="b">
        <f t="shared" si="23"/>
        <v>1</v>
      </c>
      <c r="U59" s="17" t="b">
        <f t="shared" si="24"/>
        <v>0</v>
      </c>
      <c r="V59" s="13" t="b">
        <f t="shared" si="25"/>
        <v>0</v>
      </c>
      <c r="W59" s="15" t="b">
        <f t="shared" si="26"/>
        <v>0</v>
      </c>
      <c r="X59" s="6">
        <f>IF(W59,LOOKUP(A59,Load_Switch_NFET[PARTNUMBER],Load_Switch_NFET[RDSON10])*1000,IF(V59,LOOKUP(A59,Load_Switch_NFET[PARTNUMBER],Load_Switch_NFET[RDSON8])*1000,IF(U59,LOOKUP(A59,Load_Switch_NFET[PARTNUMBER],Load_Switch_NFET[RDSON6])*1000,IF(T59,LOOKUP(A59,Load_Switch_NFET[PARTNUMBER],Load_Switch_NFET[RDSON45])*1000,IF(S59,LOOKUP(A59,Load_Switch_NFET[PARTNUMBER],Load_Switch_NFET[RDSON3])*1000,IF(R59,LOOKUP(A59,Load_Switch_NFET[PARTNUMBER],Load_Switch_NFET[RDSON25])*1000,IF(Q59,LOOKUP(A59,Load_Switch_NFET[PARTNUMBER],Load_Switch_NFET[RDSON18])*1000,"")))))))</f>
        <v>15.5</v>
      </c>
      <c r="Y59" s="19">
        <f>IF(AND(A59&lt;&gt;0,A59&lt;&gt;""),X59*(1+(Tj-25)*(LOOKUP(A59,Load_Switch_NFET[PARTNUMBER],Load_Switch_NFET[RDSDELTA])/((LOOKUP(A59,Load_Switch_NFET[PARTNUMBER],Load_Switch_NFET[TJMAX])-25)))),"")</f>
        <v>18.599999999999998</v>
      </c>
      <c r="Z59" s="6">
        <f>IF(AND(A59&lt;&gt;0,A59&lt;&gt;""),LOOKUP(A59,Load_Switch_NFET[PARTNUMBER],Load_Switch_NFET[VTHMAX]),"")</f>
        <v>2</v>
      </c>
      <c r="AA59" s="6">
        <f>IF(AND(A59&lt;&gt;0,A59&lt;&gt;""),LOOKUP(A59,Load_Switch_NFET[PARTNUMBER],Load_Switch_NFET[VTHMIN]),"")</f>
        <v>1.1000000000000001</v>
      </c>
      <c r="AB59" s="6">
        <f t="shared" si="27"/>
        <v>4.5</v>
      </c>
      <c r="AC59" s="6" t="str">
        <f>IF(AND(A59&lt;&gt;0,A59&lt;&gt;""),LOOKUP(A59,Load_Switch_NFET[PARTNUMBER],Load_Switch_NFET[RGIMAX]),"")</f>
        <v>(NULL)</v>
      </c>
      <c r="AD59" s="6">
        <f>IF(AND($A59&lt;&gt;0,$A59&lt;&gt;""),LOOKUP($A59,Load_Switch_NFET[PARTNUMBER],Load_Switch_NFET[QGTYP]),"")</f>
        <v>2.8</v>
      </c>
      <c r="AE59" s="6">
        <f>IF(AND($A59&lt;&gt;0,$A59&lt;&gt;""),LOOKUP($A59,Load_Switch_NFET[PARTNUMBER],Load_Switch_NFET[QGS]),"")</f>
        <v>1.2</v>
      </c>
      <c r="AF59" s="6">
        <f>IF(AND($A59&lt;&gt;0,$A59&lt;&gt;""),LOOKUP($A59,Load_Switch_NFET[PARTNUMBER],Load_Switch_NFET[QGD]),"")</f>
        <v>0.8</v>
      </c>
      <c r="AG59" s="6">
        <f>IF(AND($A59&lt;&gt;0,$A59&lt;&gt;""),LOOKUP($A59,Load_Switch_NFET[PARTNUMBER],Load_Switch_NFET[QGTH]),"")</f>
        <v>0.6</v>
      </c>
      <c r="AH59" s="6" t="str">
        <f>IF(AND($A59&lt;&gt;0,$A59&lt;&gt;""),LOOKUP($A59,Load_Switch_NFET[PARTNUMBER],Load_Switch_NFET[VMILLER]),"")</f>
        <v>(NULL)</v>
      </c>
      <c r="AI59" s="6">
        <f>IF(AND($A59&lt;&gt;0,$A59&lt;&gt;""),LOOKUP($A59,Load_Switch_NFET[PARTNUMBER],Load_Switch_NFET[COSS_AT_VDSSPEC]),"")</f>
        <v>0.28599999999999998</v>
      </c>
      <c r="AJ59" s="6">
        <f t="shared" si="28"/>
        <v>1.4</v>
      </c>
      <c r="AK59" s="6">
        <f t="shared" si="29"/>
        <v>1.55</v>
      </c>
      <c r="AL59" s="6">
        <f t="shared" si="30"/>
        <v>7.4399999999999994E-2</v>
      </c>
      <c r="AM59" s="49">
        <f t="shared" si="31"/>
        <v>7.3999999999999996E-2</v>
      </c>
      <c r="AN59" s="46">
        <f>IF(AND($A59&lt;&gt;0,$A59&lt;&gt;""),LOOKUP($A59,Load_Switch_NFET[PARTNUMBER],Load_Switch_NFET[1KPRICE]),"")</f>
        <v>0.35099999999999998</v>
      </c>
      <c r="AO59" s="6" t="str">
        <f>IF(AND($A59&lt;&gt;0,$A59&lt;&gt;""),LOOKUP(A59,Load_Switch_NFET[PARTNUMBER],Load_Switch_NFET[TI_EQ_PACKAGE]),"")</f>
        <v>SON5x6</v>
      </c>
      <c r="AP59" s="6" t="str">
        <f t="shared" si="32"/>
        <v>CSD17527Q5A, SON5x6, 0.074W, $0.351</v>
      </c>
    </row>
    <row r="60" spans="1:42" ht="30" x14ac:dyDescent="0.25">
      <c r="A60" s="6" t="str">
        <f>IF(CH="N",NLogic!B60,"")</f>
        <v>CSD17551Q3A</v>
      </c>
      <c r="B60" s="23" t="str">
        <f>IF(OR($A60=0,$A60=""),"0",IF(LOOKUP($A60,Load_Switch_NFET[PARTNUMBER],Load_Switch_NFET[RDSON18])="(NULL)","0","1"))</f>
        <v>0</v>
      </c>
      <c r="C60" s="8" t="str">
        <f>IF(OR($A60=0,$A60=""),"0",IF(LOOKUP($A60,Load_Switch_NFET[PARTNUMBER],Load_Switch_NFET[RDSON25])="(NULL)","0","1"))</f>
        <v>0</v>
      </c>
      <c r="D60" s="9" t="str">
        <f>IF(OR($A60=0,$A60=""),"0",IF(LOOKUP($A60,Load_Switch_NFET[PARTNUMBER],Load_Switch_NFET[RDSON3])="(NULL)","0","1"))</f>
        <v>0</v>
      </c>
      <c r="E60" s="11" t="str">
        <f>IF(OR($A60=0,$A60=""),"0",IF(LOOKUP($A60,Load_Switch_NFET[PARTNUMBER],Load_Switch_NFET[RDSON45])="(NULL)","0","1"))</f>
        <v>1</v>
      </c>
      <c r="F60" s="16" t="str">
        <f>IF(OR($A60=0,$A60=""),"0",IF(LOOKUP($A60,Load_Switch_NFET[PARTNUMBER],Load_Switch_NFET[RDSON6])="(NULL)","0","1"))</f>
        <v>0</v>
      </c>
      <c r="G60" s="3" t="str">
        <f>IF(OR($A60=0,$A60=""),"0",IF(LOOKUP($A60,Load_Switch_NFET[PARTNUMBER],Load_Switch_NFET[RDSON8])="(NULL)","0","1"))</f>
        <v>0</v>
      </c>
      <c r="H60" s="14" t="str">
        <f>IF(OR($A60=0,$A60=""),"0",IF(LOOKUP($A60,Load_Switch_NFET[PARTNUMBER],Load_Switch_NFET[RDSON10])="(NULL)","0","1"))</f>
        <v>1</v>
      </c>
      <c r="I60" s="24" t="b">
        <f t="shared" si="10"/>
        <v>0</v>
      </c>
      <c r="J60" s="7" t="b">
        <f t="shared" si="33"/>
        <v>0</v>
      </c>
      <c r="K60" s="10" t="b">
        <f t="shared" si="34"/>
        <v>0</v>
      </c>
      <c r="L60" s="12" t="b">
        <f t="shared" si="35"/>
        <v>1</v>
      </c>
      <c r="M60" s="17" t="b">
        <f t="shared" si="36"/>
        <v>0</v>
      </c>
      <c r="N60" s="13" t="b">
        <f t="shared" si="37"/>
        <v>0</v>
      </c>
      <c r="O60" s="15" t="b">
        <f t="shared" si="38"/>
        <v>0</v>
      </c>
      <c r="P60" s="18" t="b">
        <f t="shared" si="17"/>
        <v>1</v>
      </c>
      <c r="Q60" s="24" t="b">
        <f t="shared" si="20"/>
        <v>0</v>
      </c>
      <c r="R60" s="7" t="b">
        <f t="shared" si="39"/>
        <v>0</v>
      </c>
      <c r="S60" s="10" t="b">
        <f t="shared" si="22"/>
        <v>0</v>
      </c>
      <c r="T60" s="12" t="b">
        <f t="shared" si="23"/>
        <v>1</v>
      </c>
      <c r="U60" s="17" t="b">
        <f t="shared" si="24"/>
        <v>0</v>
      </c>
      <c r="V60" s="13" t="b">
        <f t="shared" si="25"/>
        <v>0</v>
      </c>
      <c r="W60" s="15" t="b">
        <f t="shared" si="26"/>
        <v>0</v>
      </c>
      <c r="X60" s="6">
        <f>IF(W60,LOOKUP(A60,Load_Switch_NFET[PARTNUMBER],Load_Switch_NFET[RDSON10])*1000,IF(V60,LOOKUP(A60,Load_Switch_NFET[PARTNUMBER],Load_Switch_NFET[RDSON8])*1000,IF(U60,LOOKUP(A60,Load_Switch_NFET[PARTNUMBER],Load_Switch_NFET[RDSON6])*1000,IF(T60,LOOKUP(A60,Load_Switch_NFET[PARTNUMBER],Load_Switch_NFET[RDSON45])*1000,IF(S60,LOOKUP(A60,Load_Switch_NFET[PARTNUMBER],Load_Switch_NFET[RDSON3])*1000,IF(R60,LOOKUP(A60,Load_Switch_NFET[PARTNUMBER],Load_Switch_NFET[RDSON25])*1000,IF(Q60,LOOKUP(A60,Load_Switch_NFET[PARTNUMBER],Load_Switch_NFET[RDSON18])*1000,"")))))))</f>
        <v>11.799999999999999</v>
      </c>
      <c r="Y60" s="19">
        <f>IF(AND(A60&lt;&gt;0,A60&lt;&gt;""),X60*(1+(Tj-25)*(LOOKUP(A60,Load_Switch_NFET[PARTNUMBER],Load_Switch_NFET[RDSDELTA])/((LOOKUP(A60,Load_Switch_NFET[PARTNUMBER],Load_Switch_NFET[TJMAX])-25)))),"")</f>
        <v>15.103999999999999</v>
      </c>
      <c r="Z60" s="6">
        <f>IF(AND(A60&lt;&gt;0,A60&lt;&gt;""),LOOKUP(A60,Load_Switch_NFET[PARTNUMBER],Load_Switch_NFET[VTHMAX]),"")</f>
        <v>2.1</v>
      </c>
      <c r="AA60" s="6">
        <f>IF(AND(A60&lt;&gt;0,A60&lt;&gt;""),LOOKUP(A60,Load_Switch_NFET[PARTNUMBER],Load_Switch_NFET[VTHMIN]),"")</f>
        <v>1.1000000000000001</v>
      </c>
      <c r="AB60" s="6">
        <f t="shared" si="27"/>
        <v>4.5</v>
      </c>
      <c r="AC60" s="6">
        <f>IF(AND(A60&lt;&gt;0,A60&lt;&gt;""),LOOKUP(A60,Load_Switch_NFET[PARTNUMBER],Load_Switch_NFET[RGIMAX]),"")</f>
        <v>3</v>
      </c>
      <c r="AD60" s="6">
        <f>IF(AND($A60&lt;&gt;0,$A60&lt;&gt;""),LOOKUP($A60,Load_Switch_NFET[PARTNUMBER],Load_Switch_NFET[QGTYP]),"")</f>
        <v>6</v>
      </c>
      <c r="AE60" s="6">
        <f>IF(AND($A60&lt;&gt;0,$A60&lt;&gt;""),LOOKUP($A60,Load_Switch_NFET[PARTNUMBER],Load_Switch_NFET[QGS]),"")</f>
        <v>2.2999999999999998</v>
      </c>
      <c r="AF60" s="6">
        <f>IF(AND($A60&lt;&gt;0,$A60&lt;&gt;""),LOOKUP($A60,Load_Switch_NFET[PARTNUMBER],Load_Switch_NFET[QGD]),"")</f>
        <v>1.5</v>
      </c>
      <c r="AG60" s="6">
        <f>IF(AND($A60&lt;&gt;0,$A60&lt;&gt;""),LOOKUP($A60,Load_Switch_NFET[PARTNUMBER],Load_Switch_NFET[QGTH]),"")</f>
        <v>1.4</v>
      </c>
      <c r="AH60" s="6" t="str">
        <f>IF(AND($A60&lt;&gt;0,$A60&lt;&gt;""),LOOKUP($A60,Load_Switch_NFET[PARTNUMBER],Load_Switch_NFET[VMILLER]),"")</f>
        <v>(NULL)</v>
      </c>
      <c r="AI60" s="6">
        <f>IF(AND($A60&lt;&gt;0,$A60&lt;&gt;""),LOOKUP($A60,Load_Switch_NFET[PARTNUMBER],Load_Switch_NFET[COSS_AT_VDSSPEC]),"")</f>
        <v>0.24399999999999999</v>
      </c>
      <c r="AJ60" s="6">
        <f t="shared" si="28"/>
        <v>2.4</v>
      </c>
      <c r="AK60" s="6">
        <f t="shared" si="29"/>
        <v>1.6</v>
      </c>
      <c r="AL60" s="6">
        <f t="shared" si="30"/>
        <v>6.0415999999999997E-2</v>
      </c>
      <c r="AM60" s="49">
        <f t="shared" si="31"/>
        <v>0.06</v>
      </c>
      <c r="AN60" s="46">
        <f>IF(AND($A60&lt;&gt;0,$A60&lt;&gt;""),LOOKUP($A60,Load_Switch_NFET[PARTNUMBER],Load_Switch_NFET[1KPRICE]),"")</f>
        <v>0.245</v>
      </c>
      <c r="AO60" s="6" t="str">
        <f>IF(AND($A60&lt;&gt;0,$A60&lt;&gt;""),LOOKUP(A60,Load_Switch_NFET[PARTNUMBER],Load_Switch_NFET[TI_EQ_PACKAGE]),"")</f>
        <v>SON3X3</v>
      </c>
      <c r="AP60" s="6" t="str">
        <f t="shared" si="32"/>
        <v>CSD17551Q3A, SON3X3, 0.06W, $0.245</v>
      </c>
    </row>
    <row r="61" spans="1:42" ht="30" x14ac:dyDescent="0.25">
      <c r="A61" s="6" t="str">
        <f>IF(CH="N",NLogic!B61,"")</f>
        <v>CSD17551Q5A</v>
      </c>
      <c r="B61" s="23" t="str">
        <f>IF(OR($A61=0,$A61=""),"0",IF(LOOKUP($A61,Load_Switch_NFET[PARTNUMBER],Load_Switch_NFET[RDSON18])="(NULL)","0","1"))</f>
        <v>0</v>
      </c>
      <c r="C61" s="8" t="str">
        <f>IF(OR($A61=0,$A61=""),"0",IF(LOOKUP($A61,Load_Switch_NFET[PARTNUMBER],Load_Switch_NFET[RDSON25])="(NULL)","0","1"))</f>
        <v>0</v>
      </c>
      <c r="D61" s="9" t="str">
        <f>IF(OR($A61=0,$A61=""),"0",IF(LOOKUP($A61,Load_Switch_NFET[PARTNUMBER],Load_Switch_NFET[RDSON3])="(NULL)","0","1"))</f>
        <v>0</v>
      </c>
      <c r="E61" s="11" t="str">
        <f>IF(OR($A61=0,$A61=""),"0",IF(LOOKUP($A61,Load_Switch_NFET[PARTNUMBER],Load_Switch_NFET[RDSON45])="(NULL)","0","1"))</f>
        <v>1</v>
      </c>
      <c r="F61" s="16" t="str">
        <f>IF(OR($A61=0,$A61=""),"0",IF(LOOKUP($A61,Load_Switch_NFET[PARTNUMBER],Load_Switch_NFET[RDSON6])="(NULL)","0","1"))</f>
        <v>0</v>
      </c>
      <c r="G61" s="3" t="str">
        <f>IF(OR($A61=0,$A61=""),"0",IF(LOOKUP($A61,Load_Switch_NFET[PARTNUMBER],Load_Switch_NFET[RDSON8])="(NULL)","0","1"))</f>
        <v>0</v>
      </c>
      <c r="H61" s="14" t="str">
        <f>IF(OR($A61=0,$A61=""),"0",IF(LOOKUP($A61,Load_Switch_NFET[PARTNUMBER],Load_Switch_NFET[RDSON10])="(NULL)","0","1"))</f>
        <v>1</v>
      </c>
      <c r="I61" s="24" t="b">
        <f t="shared" si="10"/>
        <v>0</v>
      </c>
      <c r="J61" s="7" t="b">
        <f t="shared" si="33"/>
        <v>0</v>
      </c>
      <c r="K61" s="10" t="b">
        <f t="shared" si="34"/>
        <v>0</v>
      </c>
      <c r="L61" s="12" t="b">
        <f t="shared" si="35"/>
        <v>1</v>
      </c>
      <c r="M61" s="17" t="b">
        <f t="shared" si="36"/>
        <v>0</v>
      </c>
      <c r="N61" s="13" t="b">
        <f t="shared" si="37"/>
        <v>0</v>
      </c>
      <c r="O61" s="15" t="b">
        <f t="shared" si="38"/>
        <v>0</v>
      </c>
      <c r="P61" s="18" t="b">
        <f t="shared" si="17"/>
        <v>1</v>
      </c>
      <c r="Q61" s="24" t="b">
        <f t="shared" si="20"/>
        <v>0</v>
      </c>
      <c r="R61" s="7" t="b">
        <f t="shared" si="39"/>
        <v>0</v>
      </c>
      <c r="S61" s="10" t="b">
        <f t="shared" si="22"/>
        <v>0</v>
      </c>
      <c r="T61" s="12" t="b">
        <f t="shared" si="23"/>
        <v>1</v>
      </c>
      <c r="U61" s="17" t="b">
        <f t="shared" si="24"/>
        <v>0</v>
      </c>
      <c r="V61" s="13" t="b">
        <f t="shared" si="25"/>
        <v>0</v>
      </c>
      <c r="W61" s="15" t="b">
        <f t="shared" si="26"/>
        <v>0</v>
      </c>
      <c r="X61" s="6">
        <f>IF(W61,LOOKUP(A61,Load_Switch_NFET[PARTNUMBER],Load_Switch_NFET[RDSON10])*1000,IF(V61,LOOKUP(A61,Load_Switch_NFET[PARTNUMBER],Load_Switch_NFET[RDSON8])*1000,IF(U61,LOOKUP(A61,Load_Switch_NFET[PARTNUMBER],Load_Switch_NFET[RDSON6])*1000,IF(T61,LOOKUP(A61,Load_Switch_NFET[PARTNUMBER],Load_Switch_NFET[RDSON45])*1000,IF(S61,LOOKUP(A61,Load_Switch_NFET[PARTNUMBER],Load_Switch_NFET[RDSON3])*1000,IF(R61,LOOKUP(A61,Load_Switch_NFET[PARTNUMBER],Load_Switch_NFET[RDSON25])*1000,IF(Q61,LOOKUP(A61,Load_Switch_NFET[PARTNUMBER],Load_Switch_NFET[RDSON18])*1000,"")))))))</f>
        <v>11</v>
      </c>
      <c r="Y61" s="19">
        <f>IF(AND(A61&lt;&gt;0,A61&lt;&gt;""),X61*(1+(Tj-25)*(LOOKUP(A61,Load_Switch_NFET[PARTNUMBER],Load_Switch_NFET[RDSDELTA])/((LOOKUP(A61,Load_Switch_NFET[PARTNUMBER],Load_Switch_NFET[TJMAX])-25)))),"")</f>
        <v>14.3</v>
      </c>
      <c r="Z61" s="6">
        <f>IF(AND(A61&lt;&gt;0,A61&lt;&gt;""),LOOKUP(A61,Load_Switch_NFET[PARTNUMBER],Load_Switch_NFET[VTHMAX]),"")</f>
        <v>2.2000000000000002</v>
      </c>
      <c r="AA61" s="6">
        <f>IF(AND(A61&lt;&gt;0,A61&lt;&gt;""),LOOKUP(A61,Load_Switch_NFET[PARTNUMBER],Load_Switch_NFET[VTHMIN]),"")</f>
        <v>1.2</v>
      </c>
      <c r="AB61" s="6">
        <f t="shared" si="27"/>
        <v>4.5</v>
      </c>
      <c r="AC61" s="6">
        <f>IF(AND(A61&lt;&gt;0,A61&lt;&gt;""),LOOKUP(A61,Load_Switch_NFET[PARTNUMBER],Load_Switch_NFET[RGIMAX]),"")</f>
        <v>1.9</v>
      </c>
      <c r="AD61" s="6">
        <f>IF(AND($A61&lt;&gt;0,$A61&lt;&gt;""),LOOKUP($A61,Load_Switch_NFET[PARTNUMBER],Load_Switch_NFET[QGTYP]),"")</f>
        <v>6</v>
      </c>
      <c r="AE61" s="6">
        <f>IF(AND($A61&lt;&gt;0,$A61&lt;&gt;""),LOOKUP($A61,Load_Switch_NFET[PARTNUMBER],Load_Switch_NFET[QGS]),"")</f>
        <v>2.8</v>
      </c>
      <c r="AF61" s="6">
        <f>IF(AND($A61&lt;&gt;0,$A61&lt;&gt;""),LOOKUP($A61,Load_Switch_NFET[PARTNUMBER],Load_Switch_NFET[QGD]),"")</f>
        <v>1.4</v>
      </c>
      <c r="AG61" s="6">
        <f>IF(AND($A61&lt;&gt;0,$A61&lt;&gt;""),LOOKUP($A61,Load_Switch_NFET[PARTNUMBER],Load_Switch_NFET[QGTH]),"")</f>
        <v>1.4</v>
      </c>
      <c r="AH61" s="6" t="str">
        <f>IF(AND($A61&lt;&gt;0,$A61&lt;&gt;""),LOOKUP($A61,Load_Switch_NFET[PARTNUMBER],Load_Switch_NFET[VMILLER]),"")</f>
        <v>(NULL)</v>
      </c>
      <c r="AI61" s="6">
        <f>IF(AND($A61&lt;&gt;0,$A61&lt;&gt;""),LOOKUP($A61,Load_Switch_NFET[PARTNUMBER],Load_Switch_NFET[COSS_AT_VDSSPEC]),"")</f>
        <v>0.247</v>
      </c>
      <c r="AJ61" s="6">
        <f t="shared" si="28"/>
        <v>2.7999999999999994</v>
      </c>
      <c r="AK61" s="6">
        <f t="shared" si="29"/>
        <v>1.7000000000000002</v>
      </c>
      <c r="AL61" s="6">
        <f t="shared" si="30"/>
        <v>5.7200000000000001E-2</v>
      </c>
      <c r="AM61" s="49">
        <f t="shared" si="31"/>
        <v>5.7000000000000002E-2</v>
      </c>
      <c r="AN61" s="46">
        <f>IF(AND($A61&lt;&gt;0,$A61&lt;&gt;""),LOOKUP($A61,Load_Switch_NFET[PARTNUMBER],Load_Switch_NFET[1KPRICE]),"")</f>
        <v>0.307</v>
      </c>
      <c r="AO61" s="6" t="str">
        <f>IF(AND($A61&lt;&gt;0,$A61&lt;&gt;""),LOOKUP(A61,Load_Switch_NFET[PARTNUMBER],Load_Switch_NFET[TI_EQ_PACKAGE]),"")</f>
        <v>SON5X6</v>
      </c>
      <c r="AP61" s="6" t="str">
        <f t="shared" si="32"/>
        <v>CSD17551Q5A, SON5X6, 0.057W, $0.307</v>
      </c>
    </row>
    <row r="62" spans="1:42" ht="30" x14ac:dyDescent="0.25">
      <c r="A62" s="6" t="str">
        <f>IF(CH="N",NLogic!B62,"")</f>
        <v>CSD17552Q3A</v>
      </c>
      <c r="B62" s="23" t="str">
        <f>IF(OR($A62=0,$A62=""),"0",IF(LOOKUP($A62,Load_Switch_NFET[PARTNUMBER],Load_Switch_NFET[RDSON18])="(NULL)","0","1"))</f>
        <v>0</v>
      </c>
      <c r="C62" s="8" t="str">
        <f>IF(OR($A62=0,$A62=""),"0",IF(LOOKUP($A62,Load_Switch_NFET[PARTNUMBER],Load_Switch_NFET[RDSON25])="(NULL)","0","1"))</f>
        <v>0</v>
      </c>
      <c r="D62" s="9" t="str">
        <f>IF(OR($A62=0,$A62=""),"0",IF(LOOKUP($A62,Load_Switch_NFET[PARTNUMBER],Load_Switch_NFET[RDSON3])="(NULL)","0","1"))</f>
        <v>0</v>
      </c>
      <c r="E62" s="11" t="str">
        <f>IF(OR($A62=0,$A62=""),"0",IF(LOOKUP($A62,Load_Switch_NFET[PARTNUMBER],Load_Switch_NFET[RDSON45])="(NULL)","0","1"))</f>
        <v>1</v>
      </c>
      <c r="F62" s="16" t="str">
        <f>IF(OR($A62=0,$A62=""),"0",IF(LOOKUP($A62,Load_Switch_NFET[PARTNUMBER],Load_Switch_NFET[RDSON6])="(NULL)","0","1"))</f>
        <v>0</v>
      </c>
      <c r="G62" s="3" t="str">
        <f>IF(OR($A62=0,$A62=""),"0",IF(LOOKUP($A62,Load_Switch_NFET[PARTNUMBER],Load_Switch_NFET[RDSON8])="(NULL)","0","1"))</f>
        <v>0</v>
      </c>
      <c r="H62" s="14" t="str">
        <f>IF(OR($A62=0,$A62=""),"0",IF(LOOKUP($A62,Load_Switch_NFET[PARTNUMBER],Load_Switch_NFET[RDSON10])="(NULL)","0","1"))</f>
        <v>1</v>
      </c>
      <c r="I62" s="24" t="b">
        <f t="shared" si="10"/>
        <v>0</v>
      </c>
      <c r="J62" s="7" t="b">
        <f t="shared" si="33"/>
        <v>0</v>
      </c>
      <c r="K62" s="10" t="b">
        <f t="shared" si="34"/>
        <v>0</v>
      </c>
      <c r="L62" s="12" t="b">
        <f t="shared" si="35"/>
        <v>1</v>
      </c>
      <c r="M62" s="17" t="b">
        <f t="shared" si="36"/>
        <v>0</v>
      </c>
      <c r="N62" s="13" t="b">
        <f t="shared" si="37"/>
        <v>0</v>
      </c>
      <c r="O62" s="15" t="b">
        <f t="shared" si="38"/>
        <v>0</v>
      </c>
      <c r="P62" s="18" t="b">
        <f t="shared" si="17"/>
        <v>1</v>
      </c>
      <c r="Q62" s="24" t="b">
        <f t="shared" si="20"/>
        <v>0</v>
      </c>
      <c r="R62" s="7" t="b">
        <f t="shared" si="39"/>
        <v>0</v>
      </c>
      <c r="S62" s="10" t="b">
        <f t="shared" si="22"/>
        <v>0</v>
      </c>
      <c r="T62" s="12" t="b">
        <f t="shared" si="23"/>
        <v>1</v>
      </c>
      <c r="U62" s="17" t="b">
        <f t="shared" si="24"/>
        <v>0</v>
      </c>
      <c r="V62" s="13" t="b">
        <f t="shared" si="25"/>
        <v>0</v>
      </c>
      <c r="W62" s="15" t="b">
        <f t="shared" si="26"/>
        <v>0</v>
      </c>
      <c r="X62" s="6">
        <f>IF(W62,LOOKUP(A62,Load_Switch_NFET[PARTNUMBER],Load_Switch_NFET[RDSON10])*1000,IF(V62,LOOKUP(A62,Load_Switch_NFET[PARTNUMBER],Load_Switch_NFET[RDSON8])*1000,IF(U62,LOOKUP(A62,Load_Switch_NFET[PARTNUMBER],Load_Switch_NFET[RDSON6])*1000,IF(T62,LOOKUP(A62,Load_Switch_NFET[PARTNUMBER],Load_Switch_NFET[RDSON45])*1000,IF(S62,LOOKUP(A62,Load_Switch_NFET[PARTNUMBER],Load_Switch_NFET[RDSON3])*1000,IF(R62,LOOKUP(A62,Load_Switch_NFET[PARTNUMBER],Load_Switch_NFET[RDSON25])*1000,IF(Q62,LOOKUP(A62,Load_Switch_NFET[PARTNUMBER],Load_Switch_NFET[RDSON18])*1000,"")))))))</f>
        <v>8.1</v>
      </c>
      <c r="Y62" s="19">
        <f>IF(AND(A62&lt;&gt;0,A62&lt;&gt;""),X62*(1+(Tj-25)*(LOOKUP(A62,Load_Switch_NFET[PARTNUMBER],Load_Switch_NFET[RDSDELTA])/((LOOKUP(A62,Load_Switch_NFET[PARTNUMBER],Load_Switch_NFET[TJMAX])-25)))),"")</f>
        <v>10.368</v>
      </c>
      <c r="Z62" s="6">
        <f>IF(AND(A62&lt;&gt;0,A62&lt;&gt;""),LOOKUP(A62,Load_Switch_NFET[PARTNUMBER],Load_Switch_NFET[VTHMAX]),"")</f>
        <v>1.9</v>
      </c>
      <c r="AA62" s="6">
        <f>IF(AND(A62&lt;&gt;0,A62&lt;&gt;""),LOOKUP(A62,Load_Switch_NFET[PARTNUMBER],Load_Switch_NFET[VTHMIN]),"")</f>
        <v>1.1000000000000001</v>
      </c>
      <c r="AB62" s="6">
        <f t="shared" si="27"/>
        <v>4.5</v>
      </c>
      <c r="AC62" s="6">
        <f>IF(AND(A62&lt;&gt;0,A62&lt;&gt;""),LOOKUP(A62,Load_Switch_NFET[PARTNUMBER],Load_Switch_NFET[RGIMAX]),"")</f>
        <v>1.8</v>
      </c>
      <c r="AD62" s="6">
        <f>IF(AND($A62&lt;&gt;0,$A62&lt;&gt;""),LOOKUP($A62,Load_Switch_NFET[PARTNUMBER],Load_Switch_NFET[QGTYP]),"")</f>
        <v>9</v>
      </c>
      <c r="AE62" s="6">
        <f>IF(AND($A62&lt;&gt;0,$A62&lt;&gt;""),LOOKUP($A62,Load_Switch_NFET[PARTNUMBER],Load_Switch_NFET[QGS]),"")</f>
        <v>3.6</v>
      </c>
      <c r="AF62" s="6">
        <f>IF(AND($A62&lt;&gt;0,$A62&lt;&gt;""),LOOKUP($A62,Load_Switch_NFET[PARTNUMBER],Load_Switch_NFET[QGD]),"")</f>
        <v>2.2999999999999998</v>
      </c>
      <c r="AG62" s="6">
        <f>IF(AND($A62&lt;&gt;0,$A62&lt;&gt;""),LOOKUP($A62,Load_Switch_NFET[PARTNUMBER],Load_Switch_NFET[QGTH]),"")</f>
        <v>1.8</v>
      </c>
      <c r="AH62" s="6" t="str">
        <f>IF(AND($A62&lt;&gt;0,$A62&lt;&gt;""),LOOKUP($A62,Load_Switch_NFET[PARTNUMBER],Load_Switch_NFET[VMILLER]),"")</f>
        <v>(NULL)</v>
      </c>
      <c r="AI62" s="6">
        <f>IF(AND($A62&lt;&gt;0,$A62&lt;&gt;""),LOOKUP($A62,Load_Switch_NFET[PARTNUMBER],Load_Switch_NFET[COSS_AT_VDSSPEC]),"")</f>
        <v>0.38500000000000001</v>
      </c>
      <c r="AJ62" s="6">
        <f t="shared" si="28"/>
        <v>4.1000000000000005</v>
      </c>
      <c r="AK62" s="6">
        <f t="shared" si="29"/>
        <v>1.5</v>
      </c>
      <c r="AL62" s="6">
        <f t="shared" si="30"/>
        <v>4.1472000000000002E-2</v>
      </c>
      <c r="AM62" s="49">
        <f t="shared" si="31"/>
        <v>4.1000000000000002E-2</v>
      </c>
      <c r="AN62" s="46">
        <f>IF(AND($A62&lt;&gt;0,$A62&lt;&gt;""),LOOKUP($A62,Load_Switch_NFET[PARTNUMBER],Load_Switch_NFET[1KPRICE]),"")</f>
        <v>0.29499999999999998</v>
      </c>
      <c r="AO62" s="6" t="str">
        <f>IF(AND($A62&lt;&gt;0,$A62&lt;&gt;""),LOOKUP(A62,Load_Switch_NFET[PARTNUMBER],Load_Switch_NFET[TI_EQ_PACKAGE]),"")</f>
        <v>SON3X3</v>
      </c>
      <c r="AP62" s="6" t="str">
        <f t="shared" si="32"/>
        <v>CSD17552Q3A, SON3X3, 0.041W, $0.295</v>
      </c>
    </row>
    <row r="63" spans="1:42" ht="30" x14ac:dyDescent="0.25">
      <c r="A63" s="6" t="str">
        <f>IF(CH="N",NLogic!B63,"")</f>
        <v>CSD17552Q5A</v>
      </c>
      <c r="B63" s="23" t="str">
        <f>IF(OR($A63=0,$A63=""),"0",IF(LOOKUP($A63,Load_Switch_NFET[PARTNUMBER],Load_Switch_NFET[RDSON18])="(NULL)","0","1"))</f>
        <v>0</v>
      </c>
      <c r="C63" s="8" t="str">
        <f>IF(OR($A63=0,$A63=""),"0",IF(LOOKUP($A63,Load_Switch_NFET[PARTNUMBER],Load_Switch_NFET[RDSON25])="(NULL)","0","1"))</f>
        <v>0</v>
      </c>
      <c r="D63" s="9" t="str">
        <f>IF(OR($A63=0,$A63=""),"0",IF(LOOKUP($A63,Load_Switch_NFET[PARTNUMBER],Load_Switch_NFET[RDSON3])="(NULL)","0","1"))</f>
        <v>0</v>
      </c>
      <c r="E63" s="11" t="str">
        <f>IF(OR($A63=0,$A63=""),"0",IF(LOOKUP($A63,Load_Switch_NFET[PARTNUMBER],Load_Switch_NFET[RDSON45])="(NULL)","0","1"))</f>
        <v>1</v>
      </c>
      <c r="F63" s="16" t="str">
        <f>IF(OR($A63=0,$A63=""),"0",IF(LOOKUP($A63,Load_Switch_NFET[PARTNUMBER],Load_Switch_NFET[RDSON6])="(NULL)","0","1"))</f>
        <v>0</v>
      </c>
      <c r="G63" s="3" t="str">
        <f>IF(OR($A63=0,$A63=""),"0",IF(LOOKUP($A63,Load_Switch_NFET[PARTNUMBER],Load_Switch_NFET[RDSON8])="(NULL)","0","1"))</f>
        <v>0</v>
      </c>
      <c r="H63" s="14" t="str">
        <f>IF(OR($A63=0,$A63=""),"0",IF(LOOKUP($A63,Load_Switch_NFET[PARTNUMBER],Load_Switch_NFET[RDSON10])="(NULL)","0","1"))</f>
        <v>1</v>
      </c>
      <c r="I63" s="24" t="b">
        <f t="shared" si="10"/>
        <v>0</v>
      </c>
      <c r="J63" s="7" t="b">
        <f t="shared" si="33"/>
        <v>0</v>
      </c>
      <c r="K63" s="10" t="b">
        <f t="shared" si="34"/>
        <v>0</v>
      </c>
      <c r="L63" s="12" t="b">
        <f t="shared" si="35"/>
        <v>1</v>
      </c>
      <c r="M63" s="17" t="b">
        <f t="shared" si="36"/>
        <v>0</v>
      </c>
      <c r="N63" s="13" t="b">
        <f t="shared" si="37"/>
        <v>0</v>
      </c>
      <c r="O63" s="15" t="b">
        <f t="shared" si="38"/>
        <v>0</v>
      </c>
      <c r="P63" s="18" t="b">
        <f t="shared" si="17"/>
        <v>1</v>
      </c>
      <c r="Q63" s="24" t="b">
        <f t="shared" si="20"/>
        <v>0</v>
      </c>
      <c r="R63" s="7" t="b">
        <f t="shared" si="39"/>
        <v>0</v>
      </c>
      <c r="S63" s="10" t="b">
        <f t="shared" si="22"/>
        <v>0</v>
      </c>
      <c r="T63" s="12" t="b">
        <f t="shared" si="23"/>
        <v>1</v>
      </c>
      <c r="U63" s="17" t="b">
        <f t="shared" si="24"/>
        <v>0</v>
      </c>
      <c r="V63" s="13" t="b">
        <f t="shared" si="25"/>
        <v>0</v>
      </c>
      <c r="W63" s="15" t="b">
        <f t="shared" si="26"/>
        <v>0</v>
      </c>
      <c r="X63" s="6">
        <f>IF(W63,LOOKUP(A63,Load_Switch_NFET[PARTNUMBER],Load_Switch_NFET[RDSON10])*1000,IF(V63,LOOKUP(A63,Load_Switch_NFET[PARTNUMBER],Load_Switch_NFET[RDSON8])*1000,IF(U63,LOOKUP(A63,Load_Switch_NFET[PARTNUMBER],Load_Switch_NFET[RDSON6])*1000,IF(T63,LOOKUP(A63,Load_Switch_NFET[PARTNUMBER],Load_Switch_NFET[RDSON45])*1000,IF(S63,LOOKUP(A63,Load_Switch_NFET[PARTNUMBER],Load_Switch_NFET[RDSON3])*1000,IF(R63,LOOKUP(A63,Load_Switch_NFET[PARTNUMBER],Load_Switch_NFET[RDSON25])*1000,IF(Q63,LOOKUP(A63,Load_Switch_NFET[PARTNUMBER],Load_Switch_NFET[RDSON18])*1000,"")))))))</f>
        <v>7.5</v>
      </c>
      <c r="Y63" s="19">
        <f>IF(AND(A63&lt;&gt;0,A63&lt;&gt;""),X63*(1+(Tj-25)*(LOOKUP(A63,Load_Switch_NFET[PARTNUMBER],Load_Switch_NFET[RDSDELTA])/((LOOKUP(A63,Load_Switch_NFET[PARTNUMBER],Load_Switch_NFET[TJMAX])-25)))),"")</f>
        <v>9.75</v>
      </c>
      <c r="Z63" s="6">
        <f>IF(AND(A63&lt;&gt;0,A63&lt;&gt;""),LOOKUP(A63,Load_Switch_NFET[PARTNUMBER],Load_Switch_NFET[VTHMAX]),"")</f>
        <v>1.9</v>
      </c>
      <c r="AA63" s="6">
        <f>IF(AND(A63&lt;&gt;0,A63&lt;&gt;""),LOOKUP(A63,Load_Switch_NFET[PARTNUMBER],Load_Switch_NFET[VTHMIN]),"")</f>
        <v>1.1000000000000001</v>
      </c>
      <c r="AB63" s="6">
        <f t="shared" si="27"/>
        <v>4.5</v>
      </c>
      <c r="AC63" s="6">
        <f>IF(AND(A63&lt;&gt;0,A63&lt;&gt;""),LOOKUP(A63,Load_Switch_NFET[PARTNUMBER],Load_Switch_NFET[RGIMAX]),"")</f>
        <v>1.8</v>
      </c>
      <c r="AD63" s="6">
        <f>IF(AND($A63&lt;&gt;0,$A63&lt;&gt;""),LOOKUP($A63,Load_Switch_NFET[PARTNUMBER],Load_Switch_NFET[QGTYP]),"")</f>
        <v>9</v>
      </c>
      <c r="AE63" s="6">
        <f>IF(AND($A63&lt;&gt;0,$A63&lt;&gt;""),LOOKUP($A63,Load_Switch_NFET[PARTNUMBER],Load_Switch_NFET[QGS]),"")</f>
        <v>3.6</v>
      </c>
      <c r="AF63" s="6">
        <f>IF(AND($A63&lt;&gt;0,$A63&lt;&gt;""),LOOKUP($A63,Load_Switch_NFET[PARTNUMBER],Load_Switch_NFET[QGD]),"")</f>
        <v>2</v>
      </c>
      <c r="AG63" s="6">
        <f>IF(AND($A63&lt;&gt;0,$A63&lt;&gt;""),LOOKUP($A63,Load_Switch_NFET[PARTNUMBER],Load_Switch_NFET[QGTH]),"")</f>
        <v>2.1</v>
      </c>
      <c r="AH63" s="6" t="str">
        <f>IF(AND($A63&lt;&gt;0,$A63&lt;&gt;""),LOOKUP($A63,Load_Switch_NFET[PARTNUMBER],Load_Switch_NFET[VMILLER]),"")</f>
        <v>(NULL)</v>
      </c>
      <c r="AI63" s="6">
        <f>IF(AND($A63&lt;&gt;0,$A63&lt;&gt;""),LOOKUP($A63,Load_Switch_NFET[PARTNUMBER],Load_Switch_NFET[COSS_AT_VDSSPEC]),"")</f>
        <v>0.38500000000000001</v>
      </c>
      <c r="AJ63" s="6">
        <f t="shared" si="28"/>
        <v>3.4999999999999996</v>
      </c>
      <c r="AK63" s="6">
        <f t="shared" si="29"/>
        <v>1.5</v>
      </c>
      <c r="AL63" s="6">
        <f t="shared" si="30"/>
        <v>3.9E-2</v>
      </c>
      <c r="AM63" s="49">
        <f t="shared" si="31"/>
        <v>3.9E-2</v>
      </c>
      <c r="AN63" s="46">
        <f>IF(AND($A63&lt;&gt;0,$A63&lt;&gt;""),LOOKUP($A63,Load_Switch_NFET[PARTNUMBER],Load_Switch_NFET[1KPRICE]),"")</f>
        <v>0.313</v>
      </c>
      <c r="AO63" s="6" t="str">
        <f>IF(AND($A63&lt;&gt;0,$A63&lt;&gt;""),LOOKUP(A63,Load_Switch_NFET[PARTNUMBER],Load_Switch_NFET[TI_EQ_PACKAGE]),"")</f>
        <v>SON5X6</v>
      </c>
      <c r="AP63" s="6" t="str">
        <f t="shared" si="32"/>
        <v>CSD17552Q5A, SON5X6, 0.039W, $0.313</v>
      </c>
    </row>
    <row r="64" spans="1:42" ht="30" x14ac:dyDescent="0.25">
      <c r="A64" s="6" t="str">
        <f>IF(CH="N",NLogic!B64,"")</f>
        <v>CSD17553Q5A</v>
      </c>
      <c r="B64" s="23" t="str">
        <f>IF(OR($A64=0,$A64=""),"0",IF(LOOKUP($A64,Load_Switch_NFET[PARTNUMBER],Load_Switch_NFET[RDSON18])="(NULL)","0","1"))</f>
        <v>0</v>
      </c>
      <c r="C64" s="8" t="str">
        <f>IF(OR($A64=0,$A64=""),"0",IF(LOOKUP($A64,Load_Switch_NFET[PARTNUMBER],Load_Switch_NFET[RDSON25])="(NULL)","0","1"))</f>
        <v>0</v>
      </c>
      <c r="D64" s="9" t="str">
        <f>IF(OR($A64=0,$A64=""),"0",IF(LOOKUP($A64,Load_Switch_NFET[PARTNUMBER],Load_Switch_NFET[RDSON3])="(NULL)","0","1"))</f>
        <v>0</v>
      </c>
      <c r="E64" s="11" t="str">
        <f>IF(OR($A64=0,$A64=""),"0",IF(LOOKUP($A64,Load_Switch_NFET[PARTNUMBER],Load_Switch_NFET[RDSON45])="(NULL)","0","1"))</f>
        <v>1</v>
      </c>
      <c r="F64" s="16" t="str">
        <f>IF(OR($A64=0,$A64=""),"0",IF(LOOKUP($A64,Load_Switch_NFET[PARTNUMBER],Load_Switch_NFET[RDSON6])="(NULL)","0","1"))</f>
        <v>0</v>
      </c>
      <c r="G64" s="3" t="str">
        <f>IF(OR($A64=0,$A64=""),"0",IF(LOOKUP($A64,Load_Switch_NFET[PARTNUMBER],Load_Switch_NFET[RDSON8])="(NULL)","0","1"))</f>
        <v>0</v>
      </c>
      <c r="H64" s="14" t="str">
        <f>IF(OR($A64=0,$A64=""),"0",IF(LOOKUP($A64,Load_Switch_NFET[PARTNUMBER],Load_Switch_NFET[RDSON10])="(NULL)","0","1"))</f>
        <v>1</v>
      </c>
      <c r="I64" s="24" t="b">
        <f t="shared" si="10"/>
        <v>0</v>
      </c>
      <c r="J64" s="7" t="b">
        <f t="shared" si="33"/>
        <v>0</v>
      </c>
      <c r="K64" s="10" t="b">
        <f t="shared" si="34"/>
        <v>0</v>
      </c>
      <c r="L64" s="12" t="b">
        <f t="shared" si="35"/>
        <v>1</v>
      </c>
      <c r="M64" s="17" t="b">
        <f t="shared" si="36"/>
        <v>0</v>
      </c>
      <c r="N64" s="13" t="b">
        <f t="shared" si="37"/>
        <v>0</v>
      </c>
      <c r="O64" s="15" t="b">
        <f t="shared" si="38"/>
        <v>0</v>
      </c>
      <c r="P64" s="18" t="b">
        <f t="shared" si="17"/>
        <v>1</v>
      </c>
      <c r="Q64" s="24" t="b">
        <f t="shared" si="20"/>
        <v>0</v>
      </c>
      <c r="R64" s="7" t="b">
        <f t="shared" si="39"/>
        <v>0</v>
      </c>
      <c r="S64" s="10" t="b">
        <f t="shared" si="22"/>
        <v>0</v>
      </c>
      <c r="T64" s="12" t="b">
        <f t="shared" si="23"/>
        <v>1</v>
      </c>
      <c r="U64" s="17" t="b">
        <f t="shared" si="24"/>
        <v>0</v>
      </c>
      <c r="V64" s="13" t="b">
        <f t="shared" si="25"/>
        <v>0</v>
      </c>
      <c r="W64" s="15" t="b">
        <f t="shared" si="26"/>
        <v>0</v>
      </c>
      <c r="X64" s="6">
        <f>IF(W64,LOOKUP(A64,Load_Switch_NFET[PARTNUMBER],Load_Switch_NFET[RDSON10])*1000,IF(V64,LOOKUP(A64,Load_Switch_NFET[PARTNUMBER],Load_Switch_NFET[RDSON8])*1000,IF(U64,LOOKUP(A64,Load_Switch_NFET[PARTNUMBER],Load_Switch_NFET[RDSON6])*1000,IF(T64,LOOKUP(A64,Load_Switch_NFET[PARTNUMBER],Load_Switch_NFET[RDSON45])*1000,IF(S64,LOOKUP(A64,Load_Switch_NFET[PARTNUMBER],Load_Switch_NFET[RDSON3])*1000,IF(R64,LOOKUP(A64,Load_Switch_NFET[PARTNUMBER],Load_Switch_NFET[RDSON25])*1000,IF(Q64,LOOKUP(A64,Load_Switch_NFET[PARTNUMBER],Load_Switch_NFET[RDSON18])*1000,"")))))))</f>
        <v>4</v>
      </c>
      <c r="Y64" s="19">
        <f>IF(AND(A64&lt;&gt;0,A64&lt;&gt;""),X64*(1+(Tj-25)*(LOOKUP(A64,Load_Switch_NFET[PARTNUMBER],Load_Switch_NFET[RDSDELTA])/((LOOKUP(A64,Load_Switch_NFET[PARTNUMBER],Load_Switch_NFET[TJMAX])-25)))),"")</f>
        <v>5.12</v>
      </c>
      <c r="Z64" s="6">
        <f>IF(AND(A64&lt;&gt;0,A64&lt;&gt;""),LOOKUP(A64,Load_Switch_NFET[PARTNUMBER],Load_Switch_NFET[VTHMAX]),"")</f>
        <v>1.9</v>
      </c>
      <c r="AA64" s="6">
        <f>IF(AND(A64&lt;&gt;0,A64&lt;&gt;""),LOOKUP(A64,Load_Switch_NFET[PARTNUMBER],Load_Switch_NFET[VTHMIN]),"")</f>
        <v>1</v>
      </c>
      <c r="AB64" s="6">
        <f t="shared" si="27"/>
        <v>4.5</v>
      </c>
      <c r="AC64" s="6">
        <f>IF(AND(A64&lt;&gt;0,A64&lt;&gt;""),LOOKUP(A64,Load_Switch_NFET[PARTNUMBER],Load_Switch_NFET[RGIMAX]),"")</f>
        <v>0.9</v>
      </c>
      <c r="AD64" s="6">
        <f>IF(AND($A64&lt;&gt;0,$A64&lt;&gt;""),LOOKUP($A64,Load_Switch_NFET[PARTNUMBER],Load_Switch_NFET[QGTYP]),"")</f>
        <v>17.5</v>
      </c>
      <c r="AE64" s="6">
        <f>IF(AND($A64&lt;&gt;0,$A64&lt;&gt;""),LOOKUP($A64,Load_Switch_NFET[PARTNUMBER],Load_Switch_NFET[QGS]),"")</f>
        <v>5.8</v>
      </c>
      <c r="AF64" s="6">
        <f>IF(AND($A64&lt;&gt;0,$A64&lt;&gt;""),LOOKUP($A64,Load_Switch_NFET[PARTNUMBER],Load_Switch_NFET[QGD]),"")</f>
        <v>4.7</v>
      </c>
      <c r="AG64" s="6">
        <f>IF(AND($A64&lt;&gt;0,$A64&lt;&gt;""),LOOKUP($A64,Load_Switch_NFET[PARTNUMBER],Load_Switch_NFET[QGTH]),"")</f>
        <v>4.0999999999999996</v>
      </c>
      <c r="AH64" s="6" t="str">
        <f>IF(AND($A64&lt;&gt;0,$A64&lt;&gt;""),LOOKUP($A64,Load_Switch_NFET[PARTNUMBER],Load_Switch_NFET[VMILLER]),"")</f>
        <v>(NULL)</v>
      </c>
      <c r="AI64" s="6">
        <f>IF(AND($A64&lt;&gt;0,$A64&lt;&gt;""),LOOKUP($A64,Load_Switch_NFET[PARTNUMBER],Load_Switch_NFET[COSS_AT_VDSSPEC]),"")</f>
        <v>0.63500000000000001</v>
      </c>
      <c r="AJ64" s="6">
        <f t="shared" si="28"/>
        <v>6.4</v>
      </c>
      <c r="AK64" s="6">
        <f t="shared" si="29"/>
        <v>1.45</v>
      </c>
      <c r="AL64" s="6">
        <f t="shared" si="30"/>
        <v>2.0480000000000002E-2</v>
      </c>
      <c r="AM64" s="49">
        <f t="shared" si="31"/>
        <v>0.02</v>
      </c>
      <c r="AN64" s="46">
        <f>IF(AND($A64&lt;&gt;0,$A64&lt;&gt;""),LOOKUP($A64,Load_Switch_NFET[PARTNUMBER],Load_Switch_NFET[1KPRICE]),"")</f>
        <v>0.443</v>
      </c>
      <c r="AO64" s="6" t="str">
        <f>IF(AND($A64&lt;&gt;0,$A64&lt;&gt;""),LOOKUP(A64,Load_Switch_NFET[PARTNUMBER],Load_Switch_NFET[TI_EQ_PACKAGE]),"")</f>
        <v>SON5X6</v>
      </c>
      <c r="AP64" s="6" t="str">
        <f t="shared" si="32"/>
        <v>CSD17553Q5A, SON5X6, 0.02W, $0.443</v>
      </c>
    </row>
    <row r="65" spans="1:42" ht="30" x14ac:dyDescent="0.25">
      <c r="A65" s="6" t="str">
        <f>IF(CH="N",NLogic!B65,"")</f>
        <v>CSD17555Q5A</v>
      </c>
      <c r="B65" s="23" t="str">
        <f>IF(OR($A65=0,$A65=""),"0",IF(LOOKUP($A65,Load_Switch_NFET[PARTNUMBER],Load_Switch_NFET[RDSON18])="(NULL)","0","1"))</f>
        <v>0</v>
      </c>
      <c r="C65" s="8" t="str">
        <f>IF(OR($A65=0,$A65=""),"0",IF(LOOKUP($A65,Load_Switch_NFET[PARTNUMBER],Load_Switch_NFET[RDSON25])="(NULL)","0","1"))</f>
        <v>0</v>
      </c>
      <c r="D65" s="9" t="str">
        <f>IF(OR($A65=0,$A65=""),"0",IF(LOOKUP($A65,Load_Switch_NFET[PARTNUMBER],Load_Switch_NFET[RDSON3])="(NULL)","0","1"))</f>
        <v>0</v>
      </c>
      <c r="E65" s="11" t="str">
        <f>IF(OR($A65=0,$A65=""),"0",IF(LOOKUP($A65,Load_Switch_NFET[PARTNUMBER],Load_Switch_NFET[RDSON45])="(NULL)","0","1"))</f>
        <v>1</v>
      </c>
      <c r="F65" s="16" t="str">
        <f>IF(OR($A65=0,$A65=""),"0",IF(LOOKUP($A65,Load_Switch_NFET[PARTNUMBER],Load_Switch_NFET[RDSON6])="(NULL)","0","1"))</f>
        <v>0</v>
      </c>
      <c r="G65" s="3" t="str">
        <f>IF(OR($A65=0,$A65=""),"0",IF(LOOKUP($A65,Load_Switch_NFET[PARTNUMBER],Load_Switch_NFET[RDSON8])="(NULL)","0","1"))</f>
        <v>0</v>
      </c>
      <c r="H65" s="14" t="str">
        <f>IF(OR($A65=0,$A65=""),"0",IF(LOOKUP($A65,Load_Switch_NFET[PARTNUMBER],Load_Switch_NFET[RDSON10])="(NULL)","0","1"))</f>
        <v>1</v>
      </c>
      <c r="I65" s="24" t="b">
        <f t="shared" si="10"/>
        <v>0</v>
      </c>
      <c r="J65" s="7" t="b">
        <f t="shared" si="33"/>
        <v>0</v>
      </c>
      <c r="K65" s="10" t="b">
        <f t="shared" si="34"/>
        <v>0</v>
      </c>
      <c r="L65" s="12" t="b">
        <f t="shared" si="35"/>
        <v>1</v>
      </c>
      <c r="M65" s="17" t="b">
        <f t="shared" si="36"/>
        <v>0</v>
      </c>
      <c r="N65" s="13" t="b">
        <f t="shared" si="37"/>
        <v>0</v>
      </c>
      <c r="O65" s="15" t="b">
        <f t="shared" si="38"/>
        <v>0</v>
      </c>
      <c r="P65" s="18" t="b">
        <f t="shared" si="17"/>
        <v>1</v>
      </c>
      <c r="Q65" s="24" t="b">
        <f t="shared" si="20"/>
        <v>0</v>
      </c>
      <c r="R65" s="7" t="b">
        <f t="shared" si="39"/>
        <v>0</v>
      </c>
      <c r="S65" s="10" t="b">
        <f t="shared" si="22"/>
        <v>0</v>
      </c>
      <c r="T65" s="12" t="b">
        <f t="shared" si="23"/>
        <v>1</v>
      </c>
      <c r="U65" s="17" t="b">
        <f t="shared" si="24"/>
        <v>0</v>
      </c>
      <c r="V65" s="13" t="b">
        <f t="shared" si="25"/>
        <v>0</v>
      </c>
      <c r="W65" s="15" t="b">
        <f t="shared" si="26"/>
        <v>0</v>
      </c>
      <c r="X65" s="6">
        <f>IF(W65,LOOKUP(A65,Load_Switch_NFET[PARTNUMBER],Load_Switch_NFET[RDSON10])*1000,IF(V65,LOOKUP(A65,Load_Switch_NFET[PARTNUMBER],Load_Switch_NFET[RDSON8])*1000,IF(U65,LOOKUP(A65,Load_Switch_NFET[PARTNUMBER],Load_Switch_NFET[RDSON6])*1000,IF(T65,LOOKUP(A65,Load_Switch_NFET[PARTNUMBER],Load_Switch_NFET[RDSON45])*1000,IF(S65,LOOKUP(A65,Load_Switch_NFET[PARTNUMBER],Load_Switch_NFET[RDSON3])*1000,IF(R65,LOOKUP(A65,Load_Switch_NFET[PARTNUMBER],Load_Switch_NFET[RDSON25])*1000,IF(Q65,LOOKUP(A65,Load_Switch_NFET[PARTNUMBER],Load_Switch_NFET[RDSON18])*1000,"")))))))</f>
        <v>3.4</v>
      </c>
      <c r="Y65" s="19">
        <f>IF(AND(A65&lt;&gt;0,A65&lt;&gt;""),X65*(1+(Tj-25)*(LOOKUP(A65,Load_Switch_NFET[PARTNUMBER],Load_Switch_NFET[RDSDELTA])/((LOOKUP(A65,Load_Switch_NFET[PARTNUMBER],Load_Switch_NFET[TJMAX])-25)))),"")</f>
        <v>4.3520000000000003</v>
      </c>
      <c r="Z65" s="6">
        <f>IF(AND(A65&lt;&gt;0,A65&lt;&gt;""),LOOKUP(A65,Load_Switch_NFET[PARTNUMBER],Load_Switch_NFET[VTHMAX]),"")</f>
        <v>1.9</v>
      </c>
      <c r="AA65" s="6">
        <f>IF(AND(A65&lt;&gt;0,A65&lt;&gt;""),LOOKUP(A65,Load_Switch_NFET[PARTNUMBER],Load_Switch_NFET[VTHMIN]),"")</f>
        <v>1</v>
      </c>
      <c r="AB65" s="6">
        <f t="shared" si="27"/>
        <v>4.5</v>
      </c>
      <c r="AC65" s="6">
        <f>IF(AND(A65&lt;&gt;0,A65&lt;&gt;""),LOOKUP(A65,Load_Switch_NFET[PARTNUMBER],Load_Switch_NFET[RGIMAX]),"")</f>
        <v>1.6</v>
      </c>
      <c r="AD65" s="6">
        <f>IF(AND($A65&lt;&gt;0,$A65&lt;&gt;""),LOOKUP($A65,Load_Switch_NFET[PARTNUMBER],Load_Switch_NFET[QGTYP]),"")</f>
        <v>23</v>
      </c>
      <c r="AE65" s="6">
        <f>IF(AND($A65&lt;&gt;0,$A65&lt;&gt;""),LOOKUP($A65,Load_Switch_NFET[PARTNUMBER],Load_Switch_NFET[QGS]),"")</f>
        <v>7.5</v>
      </c>
      <c r="AF65" s="6">
        <f>IF(AND($A65&lt;&gt;0,$A65&lt;&gt;""),LOOKUP($A65,Load_Switch_NFET[PARTNUMBER],Load_Switch_NFET[QGD]),"")</f>
        <v>5</v>
      </c>
      <c r="AG65" s="6">
        <f>IF(AND($A65&lt;&gt;0,$A65&lt;&gt;""),LOOKUP($A65,Load_Switch_NFET[PARTNUMBER],Load_Switch_NFET[QGTH]),"")</f>
        <v>5</v>
      </c>
      <c r="AH65" s="6" t="str">
        <f>IF(AND($A65&lt;&gt;0,$A65&lt;&gt;""),LOOKUP($A65,Load_Switch_NFET[PARTNUMBER],Load_Switch_NFET[VMILLER]),"")</f>
        <v>(NULL)</v>
      </c>
      <c r="AI65" s="6">
        <f>IF(AND($A65&lt;&gt;0,$A65&lt;&gt;""),LOOKUP($A65,Load_Switch_NFET[PARTNUMBER],Load_Switch_NFET[COSS_AT_VDSSPEC]),"")</f>
        <v>0.94899999999999995</v>
      </c>
      <c r="AJ65" s="6">
        <f t="shared" si="28"/>
        <v>7.5</v>
      </c>
      <c r="AK65" s="6">
        <f t="shared" si="29"/>
        <v>1.45</v>
      </c>
      <c r="AL65" s="6">
        <f t="shared" si="30"/>
        <v>1.7408000000000003E-2</v>
      </c>
      <c r="AM65" s="49">
        <f t="shared" si="31"/>
        <v>1.7000000000000001E-2</v>
      </c>
      <c r="AN65" s="46">
        <f>IF(AND($A65&lt;&gt;0,$A65&lt;&gt;""),LOOKUP($A65,Load_Switch_NFET[PARTNUMBER],Load_Switch_NFET[1KPRICE]),"")</f>
        <v>0.56200000000000006</v>
      </c>
      <c r="AO65" s="6" t="str">
        <f>IF(AND($A65&lt;&gt;0,$A65&lt;&gt;""),LOOKUP(A65,Load_Switch_NFET[PARTNUMBER],Load_Switch_NFET[TI_EQ_PACKAGE]),"")</f>
        <v>SON5X6</v>
      </c>
      <c r="AP65" s="6" t="str">
        <f t="shared" si="32"/>
        <v>CSD17555Q5A, SON5X6, 0.017W, $0.562</v>
      </c>
    </row>
    <row r="66" spans="1:42" ht="30" x14ac:dyDescent="0.25">
      <c r="A66" s="6" t="str">
        <f>IF(CH="N",NLogic!B66,"")</f>
        <v>CSD17556Q5B</v>
      </c>
      <c r="B66" s="23" t="str">
        <f>IF(OR($A66=0,$A66=""),"0",IF(LOOKUP($A66,Load_Switch_NFET[PARTNUMBER],Load_Switch_NFET[RDSON18])="(NULL)","0","1"))</f>
        <v>0</v>
      </c>
      <c r="C66" s="8" t="str">
        <f>IF(OR($A66=0,$A66=""),"0",IF(LOOKUP($A66,Load_Switch_NFET[PARTNUMBER],Load_Switch_NFET[RDSON25])="(NULL)","0","1"))</f>
        <v>0</v>
      </c>
      <c r="D66" s="9" t="str">
        <f>IF(OR($A66=0,$A66=""),"0",IF(LOOKUP($A66,Load_Switch_NFET[PARTNUMBER],Load_Switch_NFET[RDSON3])="(NULL)","0","1"))</f>
        <v>0</v>
      </c>
      <c r="E66" s="11" t="str">
        <f>IF(OR($A66=0,$A66=""),"0",IF(LOOKUP($A66,Load_Switch_NFET[PARTNUMBER],Load_Switch_NFET[RDSON45])="(NULL)","0","1"))</f>
        <v>1</v>
      </c>
      <c r="F66" s="16" t="str">
        <f>IF(OR($A66=0,$A66=""),"0",IF(LOOKUP($A66,Load_Switch_NFET[PARTNUMBER],Load_Switch_NFET[RDSON6])="(NULL)","0","1"))</f>
        <v>0</v>
      </c>
      <c r="G66" s="3" t="str">
        <f>IF(OR($A66=0,$A66=""),"0",IF(LOOKUP($A66,Load_Switch_NFET[PARTNUMBER],Load_Switch_NFET[RDSON8])="(NULL)","0","1"))</f>
        <v>0</v>
      </c>
      <c r="H66" s="14" t="str">
        <f>IF(OR($A66=0,$A66=""),"0",IF(LOOKUP($A66,Load_Switch_NFET[PARTNUMBER],Load_Switch_NFET[RDSON10])="(NULL)","0","1"))</f>
        <v>1</v>
      </c>
      <c r="I66" s="24" t="b">
        <f t="shared" si="10"/>
        <v>0</v>
      </c>
      <c r="J66" s="7" t="b">
        <f t="shared" si="33"/>
        <v>0</v>
      </c>
      <c r="K66" s="10" t="b">
        <f t="shared" si="34"/>
        <v>0</v>
      </c>
      <c r="L66" s="12" t="b">
        <f t="shared" si="35"/>
        <v>1</v>
      </c>
      <c r="M66" s="17" t="b">
        <f t="shared" si="36"/>
        <v>0</v>
      </c>
      <c r="N66" s="13" t="b">
        <f t="shared" si="37"/>
        <v>0</v>
      </c>
      <c r="O66" s="15" t="b">
        <f t="shared" si="38"/>
        <v>0</v>
      </c>
      <c r="P66" s="18" t="b">
        <f t="shared" si="17"/>
        <v>1</v>
      </c>
      <c r="Q66" s="24" t="b">
        <f t="shared" si="20"/>
        <v>0</v>
      </c>
      <c r="R66" s="7" t="b">
        <f t="shared" si="39"/>
        <v>0</v>
      </c>
      <c r="S66" s="10" t="b">
        <f t="shared" ref="S66:S97" si="40">IF($P66,K66,IF((D66="1"),OR(AR$2,AR$9,AV$2,L66)))</f>
        <v>0</v>
      </c>
      <c r="T66" s="12" t="b">
        <f t="shared" ref="T66:T97" si="41">IF($P66,L66,IF((E66="1"),OR(AU$2,K66,AW$2,M66)))</f>
        <v>1</v>
      </c>
      <c r="U66" s="17" t="b">
        <f t="shared" ref="U66:U97" si="42">IF($P66,M66,IF((F66="1"),OR(AV$2,L66,AX$2,N66)))</f>
        <v>0</v>
      </c>
      <c r="V66" s="13" t="b">
        <f t="shared" ref="V66:V97" si="43">IF($P66,N66,IF((G66="1"),OR(AW$2,M66,AY$2,O66)))</f>
        <v>0</v>
      </c>
      <c r="W66" s="15" t="b">
        <f t="shared" ref="W66:W97" si="44">IF($P66,O66,IF((H66="1"),OR(AX$2,N66)))</f>
        <v>0</v>
      </c>
      <c r="X66" s="6">
        <f>IF(W66,LOOKUP(A66,Load_Switch_NFET[PARTNUMBER],Load_Switch_NFET[RDSON10])*1000,IF(V66,LOOKUP(A66,Load_Switch_NFET[PARTNUMBER],Load_Switch_NFET[RDSON8])*1000,IF(U66,LOOKUP(A66,Load_Switch_NFET[PARTNUMBER],Load_Switch_NFET[RDSON6])*1000,IF(T66,LOOKUP(A66,Load_Switch_NFET[PARTNUMBER],Load_Switch_NFET[RDSON45])*1000,IF(S66,LOOKUP(A66,Load_Switch_NFET[PARTNUMBER],Load_Switch_NFET[RDSON3])*1000,IF(R66,LOOKUP(A66,Load_Switch_NFET[PARTNUMBER],Load_Switch_NFET[RDSON25])*1000,IF(Q66,LOOKUP(A66,Load_Switch_NFET[PARTNUMBER],Load_Switch_NFET[RDSON18])*1000,"")))))))</f>
        <v>1.8</v>
      </c>
      <c r="Y66" s="19">
        <f>IF(AND(A66&lt;&gt;0,A66&lt;&gt;""),X66*(1+(Tj-25)*(LOOKUP(A66,Load_Switch_NFET[PARTNUMBER],Load_Switch_NFET[RDSDELTA])/((LOOKUP(A66,Load_Switch_NFET[PARTNUMBER],Load_Switch_NFET[TJMAX])-25)))),"")</f>
        <v>2.3400000000000003</v>
      </c>
      <c r="Z66" s="6">
        <f>IF(AND(A66&lt;&gt;0,A66&lt;&gt;""),LOOKUP(A66,Load_Switch_NFET[PARTNUMBER],Load_Switch_NFET[VTHMAX]),"")</f>
        <v>1.65</v>
      </c>
      <c r="AA66" s="6">
        <f>IF(AND(A66&lt;&gt;0,A66&lt;&gt;""),LOOKUP(A66,Load_Switch_NFET[PARTNUMBER],Load_Switch_NFET[VTHMIN]),"")</f>
        <v>1.1499999999999999</v>
      </c>
      <c r="AB66" s="6">
        <f t="shared" ref="AB66:AB97" si="45">IF(AND(A66&lt;&gt;0,A66&lt;&gt;""),IF(B66="1",1.8,IF(C66="1",2.5,IF(D66="1",3,IF(E66="1",4.5,IF(F66="1",6,IF(G66="1",8,IF(H66="1",10))))))),"#N/A")</f>
        <v>4.5</v>
      </c>
      <c r="AC66" s="6">
        <f>IF(AND(A66&lt;&gt;0,A66&lt;&gt;""),LOOKUP(A66,Load_Switch_NFET[PARTNUMBER],Load_Switch_NFET[RGIMAX]),"")</f>
        <v>1.4</v>
      </c>
      <c r="AD66" s="6">
        <f>IF(AND($A66&lt;&gt;0,$A66&lt;&gt;""),LOOKUP($A66,Load_Switch_NFET[PARTNUMBER],Load_Switch_NFET[QGTYP]),"")</f>
        <v>30</v>
      </c>
      <c r="AE66" s="6">
        <f>IF(AND($A66&lt;&gt;0,$A66&lt;&gt;""),LOOKUP($A66,Load_Switch_NFET[PARTNUMBER],Load_Switch_NFET[QGS]),"")</f>
        <v>11</v>
      </c>
      <c r="AF66" s="6">
        <f>IF(AND($A66&lt;&gt;0,$A66&lt;&gt;""),LOOKUP($A66,Load_Switch_NFET[PARTNUMBER],Load_Switch_NFET[QGD]),"")</f>
        <v>7.5</v>
      </c>
      <c r="AG66" s="6">
        <f>IF(AND($A66&lt;&gt;0,$A66&lt;&gt;""),LOOKUP($A66,Load_Switch_NFET[PARTNUMBER],Load_Switch_NFET[QGTH]),"")</f>
        <v>6.1</v>
      </c>
      <c r="AH66" s="6">
        <f>IF(AND($A66&lt;&gt;0,$A66&lt;&gt;""),LOOKUP($A66,Load_Switch_NFET[PARTNUMBER],Load_Switch_NFET[VMILLER]),"")</f>
        <v>2.4</v>
      </c>
      <c r="AI66" s="6">
        <f>IF(AND($A66&lt;&gt;0,$A66&lt;&gt;""),LOOKUP($A66,Load_Switch_NFET[PARTNUMBER],Load_Switch_NFET[COSS_AT_VDSSPEC]),"")</f>
        <v>1.77</v>
      </c>
      <c r="AJ66" s="6">
        <f t="shared" ref="AJ66:AJ97" si="46">IF(AND(A66&lt;&gt;0,A66&lt;&gt;""),AE66+AF66-AG66,"")</f>
        <v>12.4</v>
      </c>
      <c r="AK66" s="6">
        <f t="shared" ref="AK66:AK97" si="47">IF(AND(A66&lt;&gt;0,A66&lt;&gt;""),(Z66+AA66)/2,"")</f>
        <v>1.4</v>
      </c>
      <c r="AL66" s="6">
        <f t="shared" ref="AL66:AL97" si="48">IF(AND($A66&lt;&gt;0,$A66&lt;&gt;""),Io^2*Y66*m,"")</f>
        <v>9.360000000000002E-3</v>
      </c>
      <c r="AM66" s="49">
        <f t="shared" ref="AM66:AM97" si="49">IF(AND($A66&lt;&gt;0,$A66&lt;&gt;""),ROUND(SUM(AL66:AL66),3),"")</f>
        <v>8.9999999999999993E-3</v>
      </c>
      <c r="AN66" s="46">
        <f>IF(AND($A66&lt;&gt;0,$A66&lt;&gt;""),LOOKUP($A66,Load_Switch_NFET[PARTNUMBER],Load_Switch_NFET[1KPRICE]),"")</f>
        <v>0.80600000000000005</v>
      </c>
      <c r="AO66" s="6" t="str">
        <f>IF(AND($A66&lt;&gt;0,$A66&lt;&gt;""),LOOKUP(A66,Load_Switch_NFET[PARTNUMBER],Load_Switch_NFET[TI_EQ_PACKAGE]),"")</f>
        <v>SON5x6</v>
      </c>
      <c r="AP66" s="6" t="str">
        <f t="shared" ref="AP66:AP97" si="50">IF(AND($A66&lt;&gt;0,$A66&lt;&gt;""),CONCATENATE(A66,", ",AO66,", ",AM66,"W, $",AN66),"Invalid Part")</f>
        <v>CSD17556Q5B, SON5x6, 0.009W, $0.806</v>
      </c>
    </row>
    <row r="67" spans="1:42" ht="30" x14ac:dyDescent="0.25">
      <c r="A67" s="6" t="str">
        <f>IF(CH="N",NLogic!B67,"")</f>
        <v>CSD17559Q5</v>
      </c>
      <c r="B67" s="23" t="str">
        <f>IF(OR($A67=0,$A67=""),"0",IF(LOOKUP($A67,Load_Switch_NFET[PARTNUMBER],Load_Switch_NFET[RDSON18])="(NULL)","0","1"))</f>
        <v>0</v>
      </c>
      <c r="C67" s="8" t="str">
        <f>IF(OR($A67=0,$A67=""),"0",IF(LOOKUP($A67,Load_Switch_NFET[PARTNUMBER],Load_Switch_NFET[RDSON25])="(NULL)","0","1"))</f>
        <v>0</v>
      </c>
      <c r="D67" s="9" t="str">
        <f>IF(OR($A67=0,$A67=""),"0",IF(LOOKUP($A67,Load_Switch_NFET[PARTNUMBER],Load_Switch_NFET[RDSON3])="(NULL)","0","1"))</f>
        <v>0</v>
      </c>
      <c r="E67" s="11" t="str">
        <f>IF(OR($A67=0,$A67=""),"0",IF(LOOKUP($A67,Load_Switch_NFET[PARTNUMBER],Load_Switch_NFET[RDSON45])="(NULL)","0","1"))</f>
        <v>1</v>
      </c>
      <c r="F67" s="16" t="str">
        <f>IF(OR($A67=0,$A67=""),"0",IF(LOOKUP($A67,Load_Switch_NFET[PARTNUMBER],Load_Switch_NFET[RDSON6])="(NULL)","0","1"))</f>
        <v>0</v>
      </c>
      <c r="G67" s="3" t="str">
        <f>IF(OR($A67=0,$A67=""),"0",IF(LOOKUP($A67,Load_Switch_NFET[PARTNUMBER],Load_Switch_NFET[RDSON8])="(NULL)","0","1"))</f>
        <v>0</v>
      </c>
      <c r="H67" s="14" t="str">
        <f>IF(OR($A67=0,$A67=""),"0",IF(LOOKUP($A67,Load_Switch_NFET[PARTNUMBER],Load_Switch_NFET[RDSON10])="(NULL)","0","1"))</f>
        <v>1</v>
      </c>
      <c r="I67" s="24" t="b">
        <f t="shared" ref="I67:I130" si="51">AND(AS$2,B67="1")</f>
        <v>0</v>
      </c>
      <c r="J67" s="7" t="b">
        <f t="shared" ref="J67:J98" si="52">AND(AT$2,C67="1")</f>
        <v>0</v>
      </c>
      <c r="K67" s="10" t="b">
        <f t="shared" ref="K67:K98" si="53">AND(AU$2,D67="1")</f>
        <v>0</v>
      </c>
      <c r="L67" s="12" t="b">
        <f t="shared" ref="L67:L98" si="54">AND(AV$2,E67="1")</f>
        <v>1</v>
      </c>
      <c r="M67" s="17" t="b">
        <f t="shared" ref="M67:M98" si="55">AND(AW$2,F67="1")</f>
        <v>0</v>
      </c>
      <c r="N67" s="13" t="b">
        <f t="shared" ref="N67:N98" si="56">AND(AX$2,G67="1")</f>
        <v>0</v>
      </c>
      <c r="O67" s="15" t="b">
        <f t="shared" ref="O67:O98" si="57">AND(AY$2,H67="1")</f>
        <v>0</v>
      </c>
      <c r="P67" s="18" t="b">
        <f t="shared" ref="P67:P130" si="58">OR(I67:O67)</f>
        <v>1</v>
      </c>
      <c r="Q67" s="24" t="b">
        <f t="shared" si="20"/>
        <v>0</v>
      </c>
      <c r="R67" s="7" t="b">
        <f t="shared" si="39"/>
        <v>0</v>
      </c>
      <c r="S67" s="10" t="b">
        <f t="shared" si="40"/>
        <v>0</v>
      </c>
      <c r="T67" s="12" t="b">
        <f t="shared" si="41"/>
        <v>1</v>
      </c>
      <c r="U67" s="17" t="b">
        <f t="shared" si="42"/>
        <v>0</v>
      </c>
      <c r="V67" s="13" t="b">
        <f t="shared" si="43"/>
        <v>0</v>
      </c>
      <c r="W67" s="15" t="b">
        <f t="shared" si="44"/>
        <v>0</v>
      </c>
      <c r="X67" s="6">
        <f>IF(W67,LOOKUP(A67,Load_Switch_NFET[PARTNUMBER],Load_Switch_NFET[RDSON10])*1000,IF(V67,LOOKUP(A67,Load_Switch_NFET[PARTNUMBER],Load_Switch_NFET[RDSON8])*1000,IF(U67,LOOKUP(A67,Load_Switch_NFET[PARTNUMBER],Load_Switch_NFET[RDSON6])*1000,IF(T67,LOOKUP(A67,Load_Switch_NFET[PARTNUMBER],Load_Switch_NFET[RDSON45])*1000,IF(S67,LOOKUP(A67,Load_Switch_NFET[PARTNUMBER],Load_Switch_NFET[RDSON3])*1000,IF(R67,LOOKUP(A67,Load_Switch_NFET[PARTNUMBER],Load_Switch_NFET[RDSON25])*1000,IF(Q67,LOOKUP(A67,Load_Switch_NFET[PARTNUMBER],Load_Switch_NFET[RDSON18])*1000,"")))))))</f>
        <v>1.5</v>
      </c>
      <c r="Y67" s="19">
        <f>IF(AND(A67&lt;&gt;0,A67&lt;&gt;""),X67*(1+(Tj-25)*(LOOKUP(A67,Load_Switch_NFET[PARTNUMBER],Load_Switch_NFET[RDSDELTA])/((LOOKUP(A67,Load_Switch_NFET[PARTNUMBER],Load_Switch_NFET[TJMAX])-25)))),"")</f>
        <v>1.92</v>
      </c>
      <c r="Z67" s="6">
        <f>IF(AND(A67&lt;&gt;0,A67&lt;&gt;""),LOOKUP(A67,Load_Switch_NFET[PARTNUMBER],Load_Switch_NFET[VTHMAX]),"")</f>
        <v>1.7</v>
      </c>
      <c r="AA67" s="6">
        <f>IF(AND(A67&lt;&gt;0,A67&lt;&gt;""),LOOKUP(A67,Load_Switch_NFET[PARTNUMBER],Load_Switch_NFET[VTHMIN]),"")</f>
        <v>1.2</v>
      </c>
      <c r="AB67" s="6">
        <f t="shared" si="45"/>
        <v>4.5</v>
      </c>
      <c r="AC67" s="6">
        <f>IF(AND(A67&lt;&gt;0,A67&lt;&gt;""),LOOKUP(A67,Load_Switch_NFET[PARTNUMBER],Load_Switch_NFET[RGIMAX]),"")</f>
        <v>2.4</v>
      </c>
      <c r="AD67" s="6">
        <f>IF(AND($A67&lt;&gt;0,$A67&lt;&gt;""),LOOKUP($A67,Load_Switch_NFET[PARTNUMBER],Load_Switch_NFET[QGTYP]),"")</f>
        <v>39</v>
      </c>
      <c r="AE67" s="6">
        <f>IF(AND($A67&lt;&gt;0,$A67&lt;&gt;""),LOOKUP($A67,Load_Switch_NFET[PARTNUMBER],Load_Switch_NFET[QGS]),"")</f>
        <v>14.4</v>
      </c>
      <c r="AF67" s="6">
        <f>IF(AND($A67&lt;&gt;0,$A67&lt;&gt;""),LOOKUP($A67,Load_Switch_NFET[PARTNUMBER],Load_Switch_NFET[QGD]),"")</f>
        <v>9.3000000000000007</v>
      </c>
      <c r="AG67" s="6">
        <f>IF(AND($A67&lt;&gt;0,$A67&lt;&gt;""),LOOKUP($A67,Load_Switch_NFET[PARTNUMBER],Load_Switch_NFET[QGTH]),"")</f>
        <v>8.3000000000000007</v>
      </c>
      <c r="AH67" s="6">
        <f>IF(AND($A67&lt;&gt;0,$A67&lt;&gt;""),LOOKUP($A67,Load_Switch_NFET[PARTNUMBER],Load_Switch_NFET[VMILLER]),"")</f>
        <v>2.2999999999999998</v>
      </c>
      <c r="AI67" s="6">
        <f>IF(AND($A67&lt;&gt;0,$A67&lt;&gt;""),LOOKUP($A67,Load_Switch_NFET[PARTNUMBER],Load_Switch_NFET[COSS_AT_VDSSPEC]),"")</f>
        <v>1.78</v>
      </c>
      <c r="AJ67" s="6">
        <f t="shared" si="46"/>
        <v>15.400000000000002</v>
      </c>
      <c r="AK67" s="6">
        <f t="shared" si="47"/>
        <v>1.45</v>
      </c>
      <c r="AL67" s="6">
        <f t="shared" si="48"/>
        <v>7.6800000000000002E-3</v>
      </c>
      <c r="AM67" s="49">
        <f t="shared" si="49"/>
        <v>8.0000000000000002E-3</v>
      </c>
      <c r="AN67" s="46">
        <f>IF(AND($A67&lt;&gt;0,$A67&lt;&gt;""),LOOKUP($A67,Load_Switch_NFET[PARTNUMBER],Load_Switch_NFET[1KPRICE]),"")</f>
        <v>0.89800000000000002</v>
      </c>
      <c r="AO67" s="6" t="str">
        <f>IF(AND($A67&lt;&gt;0,$A67&lt;&gt;""),LOOKUP(A67,Load_Switch_NFET[PARTNUMBER],Load_Switch_NFET[TI_EQ_PACKAGE]),"")</f>
        <v>SON5X6</v>
      </c>
      <c r="AP67" s="6" t="str">
        <f t="shared" si="50"/>
        <v>CSD17559Q5, SON5X6, 0.008W, $0.898</v>
      </c>
    </row>
    <row r="68" spans="1:42" ht="30" x14ac:dyDescent="0.25">
      <c r="A68" s="6" t="str">
        <f>IF(CH="N",NLogic!B68,"")</f>
        <v>CSD17570Q5B</v>
      </c>
      <c r="B68" s="23" t="str">
        <f>IF(OR($A68=0,$A68=""),"0",IF(LOOKUP($A68,Load_Switch_NFET[PARTNUMBER],Load_Switch_NFET[RDSON18])="(NULL)","0","1"))</f>
        <v>0</v>
      </c>
      <c r="C68" s="8" t="str">
        <f>IF(OR($A68=0,$A68=""),"0",IF(LOOKUP($A68,Load_Switch_NFET[PARTNUMBER],Load_Switch_NFET[RDSON25])="(NULL)","0","1"))</f>
        <v>0</v>
      </c>
      <c r="D68" s="9" t="str">
        <f>IF(OR($A68=0,$A68=""),"0",IF(LOOKUP($A68,Load_Switch_NFET[PARTNUMBER],Load_Switch_NFET[RDSON3])="(NULL)","0","1"))</f>
        <v>0</v>
      </c>
      <c r="E68" s="11" t="str">
        <f>IF(OR($A68=0,$A68=""),"0",IF(LOOKUP($A68,Load_Switch_NFET[PARTNUMBER],Load_Switch_NFET[RDSON45])="(NULL)","0","1"))</f>
        <v>1</v>
      </c>
      <c r="F68" s="16" t="str">
        <f>IF(OR($A68=0,$A68=""),"0",IF(LOOKUP($A68,Load_Switch_NFET[PARTNUMBER],Load_Switch_NFET[RDSON6])="(NULL)","0","1"))</f>
        <v>0</v>
      </c>
      <c r="G68" s="3" t="str">
        <f>IF(OR($A68=0,$A68=""),"0",IF(LOOKUP($A68,Load_Switch_NFET[PARTNUMBER],Load_Switch_NFET[RDSON8])="(NULL)","0","1"))</f>
        <v>0</v>
      </c>
      <c r="H68" s="14" t="str">
        <f>IF(OR($A68=0,$A68=""),"0",IF(LOOKUP($A68,Load_Switch_NFET[PARTNUMBER],Load_Switch_NFET[RDSON10])="(NULL)","0","1"))</f>
        <v>1</v>
      </c>
      <c r="I68" s="24" t="b">
        <f t="shared" si="51"/>
        <v>0</v>
      </c>
      <c r="J68" s="7" t="b">
        <f t="shared" si="52"/>
        <v>0</v>
      </c>
      <c r="K68" s="10" t="b">
        <f t="shared" si="53"/>
        <v>0</v>
      </c>
      <c r="L68" s="12" t="b">
        <f t="shared" si="54"/>
        <v>1</v>
      </c>
      <c r="M68" s="17" t="b">
        <f t="shared" si="55"/>
        <v>0</v>
      </c>
      <c r="N68" s="13" t="b">
        <f t="shared" si="56"/>
        <v>0</v>
      </c>
      <c r="O68" s="15" t="b">
        <f t="shared" si="57"/>
        <v>0</v>
      </c>
      <c r="P68" s="18" t="b">
        <f t="shared" si="58"/>
        <v>1</v>
      </c>
      <c r="Q68" s="24" t="b">
        <f t="shared" ref="Q68:Q130" si="59">IF($P68,I68,IF((B68="1"),OR($AR$2,$AR$9)))</f>
        <v>0</v>
      </c>
      <c r="R68" s="7" t="b">
        <f t="shared" ref="R68:R99" si="60">IF($P68,J68,IF((C68="1"),OR($AR$2,$AR$9)))</f>
        <v>0</v>
      </c>
      <c r="S68" s="10" t="b">
        <f t="shared" si="40"/>
        <v>0</v>
      </c>
      <c r="T68" s="12" t="b">
        <f t="shared" si="41"/>
        <v>1</v>
      </c>
      <c r="U68" s="17" t="b">
        <f t="shared" si="42"/>
        <v>0</v>
      </c>
      <c r="V68" s="13" t="b">
        <f t="shared" si="43"/>
        <v>0</v>
      </c>
      <c r="W68" s="15" t="b">
        <f t="shared" si="44"/>
        <v>0</v>
      </c>
      <c r="X68" s="6">
        <f>IF(W68,LOOKUP(A68,Load_Switch_NFET[PARTNUMBER],Load_Switch_NFET[RDSON10])*1000,IF(V68,LOOKUP(A68,Load_Switch_NFET[PARTNUMBER],Load_Switch_NFET[RDSON8])*1000,IF(U68,LOOKUP(A68,Load_Switch_NFET[PARTNUMBER],Load_Switch_NFET[RDSON6])*1000,IF(T68,LOOKUP(A68,Load_Switch_NFET[PARTNUMBER],Load_Switch_NFET[RDSON45])*1000,IF(S68,LOOKUP(A68,Load_Switch_NFET[PARTNUMBER],Load_Switch_NFET[RDSON3])*1000,IF(R68,LOOKUP(A68,Load_Switch_NFET[PARTNUMBER],Load_Switch_NFET[RDSON25])*1000,IF(Q68,LOOKUP(A68,Load_Switch_NFET[PARTNUMBER],Load_Switch_NFET[RDSON18])*1000,"")))))))</f>
        <v>0.9</v>
      </c>
      <c r="Y68" s="19">
        <f>IF(AND(A68&lt;&gt;0,A68&lt;&gt;""),X68*(1+(Tj-25)*(LOOKUP(A68,Load_Switch_NFET[PARTNUMBER],Load_Switch_NFET[RDSDELTA])/((LOOKUP(A68,Load_Switch_NFET[PARTNUMBER],Load_Switch_NFET[TJMAX])-25)))),"")</f>
        <v>1.1448</v>
      </c>
      <c r="Z68" s="6">
        <f>IF(AND(A68&lt;&gt;0,A68&lt;&gt;""),LOOKUP(A68,Load_Switch_NFET[PARTNUMBER],Load_Switch_NFET[VTHMAX]),"")</f>
        <v>1.9</v>
      </c>
      <c r="AA68" s="6">
        <f>IF(AND(A68&lt;&gt;0,A68&lt;&gt;""),LOOKUP(A68,Load_Switch_NFET[PARTNUMBER],Load_Switch_NFET[VTHMIN]),"")</f>
        <v>1.1000000000000001</v>
      </c>
      <c r="AB68" s="6">
        <f t="shared" si="45"/>
        <v>4.5</v>
      </c>
      <c r="AC68" s="6">
        <f>IF(AND(A68&lt;&gt;0,A68&lt;&gt;""),LOOKUP(A68,Load_Switch_NFET[PARTNUMBER],Load_Switch_NFET[RGIMAX]),"")</f>
        <v>3.6</v>
      </c>
      <c r="AD68" s="6">
        <f>IF(AND($A68&lt;&gt;0,$A68&lt;&gt;""),LOOKUP($A68,Load_Switch_NFET[PARTNUMBER],Load_Switch_NFET[QGTYP]),"")</f>
        <v>93</v>
      </c>
      <c r="AE68" s="6">
        <f>IF(AND($A68&lt;&gt;0,$A68&lt;&gt;""),LOOKUP($A68,Load_Switch_NFET[PARTNUMBER],Load_Switch_NFET[QGS]),"")</f>
        <v>27</v>
      </c>
      <c r="AF68" s="6">
        <f>IF(AND($A68&lt;&gt;0,$A68&lt;&gt;""),LOOKUP($A68,Load_Switch_NFET[PARTNUMBER],Load_Switch_NFET[QGD]),"")</f>
        <v>34</v>
      </c>
      <c r="AG68" s="6">
        <f>IF(AND($A68&lt;&gt;0,$A68&lt;&gt;""),LOOKUP($A68,Load_Switch_NFET[PARTNUMBER],Load_Switch_NFET[QGTH]),"")</f>
        <v>17</v>
      </c>
      <c r="AH68" s="6">
        <f>IF(AND($A68&lt;&gt;0,$A68&lt;&gt;""),LOOKUP($A68,Load_Switch_NFET[PARTNUMBER],Load_Switch_NFET[VMILLER]),"")</f>
        <v>2.4</v>
      </c>
      <c r="AI68" s="6">
        <f>IF(AND($A68&lt;&gt;0,$A68&lt;&gt;""),LOOKUP($A68,Load_Switch_NFET[PARTNUMBER],Load_Switch_NFET[COSS_AT_VDSSPEC]),"")</f>
        <v>1.45</v>
      </c>
      <c r="AJ68" s="6">
        <f t="shared" si="46"/>
        <v>44</v>
      </c>
      <c r="AK68" s="6">
        <f t="shared" si="47"/>
        <v>1.5</v>
      </c>
      <c r="AL68" s="6">
        <f t="shared" si="48"/>
        <v>4.5792000000000003E-3</v>
      </c>
      <c r="AM68" s="49">
        <f t="shared" si="49"/>
        <v>5.0000000000000001E-3</v>
      </c>
      <c r="AN68" s="46">
        <f>IF(AND($A68&lt;&gt;0,$A68&lt;&gt;""),LOOKUP($A68,Load_Switch_NFET[PARTNUMBER],Load_Switch_NFET[1KPRICE]),"")</f>
        <v>0.76200000000000001</v>
      </c>
      <c r="AO68" s="6" t="str">
        <f>IF(AND($A68&lt;&gt;0,$A68&lt;&gt;""),LOOKUP(A68,Load_Switch_NFET[PARTNUMBER],Load_Switch_NFET[TI_EQ_PACKAGE]),"")</f>
        <v>SON5X6</v>
      </c>
      <c r="AP68" s="6" t="str">
        <f t="shared" si="50"/>
        <v>CSD17570Q5B, SON5X6, 0.005W, $0.762</v>
      </c>
    </row>
    <row r="69" spans="1:42" ht="30" x14ac:dyDescent="0.25">
      <c r="A69" s="6" t="str">
        <f>IF(CH="N",NLogic!B69,"")</f>
        <v>CSD17571Q2</v>
      </c>
      <c r="B69" s="23" t="str">
        <f>IF(OR($A69=0,$A69=""),"0",IF(LOOKUP($A69,Load_Switch_NFET[PARTNUMBER],Load_Switch_NFET[RDSON18])="(NULL)","0","1"))</f>
        <v>0</v>
      </c>
      <c r="C69" s="8" t="str">
        <f>IF(OR($A69=0,$A69=""),"0",IF(LOOKUP($A69,Load_Switch_NFET[PARTNUMBER],Load_Switch_NFET[RDSON25])="(NULL)","0","1"))</f>
        <v>0</v>
      </c>
      <c r="D69" s="9" t="str">
        <f>IF(OR($A69=0,$A69=""),"0",IF(LOOKUP($A69,Load_Switch_NFET[PARTNUMBER],Load_Switch_NFET[RDSON3])="(NULL)","0","1"))</f>
        <v>0</v>
      </c>
      <c r="E69" s="11" t="str">
        <f>IF(OR($A69=0,$A69=""),"0",IF(LOOKUP($A69,Load_Switch_NFET[PARTNUMBER],Load_Switch_NFET[RDSON45])="(NULL)","0","1"))</f>
        <v>1</v>
      </c>
      <c r="F69" s="16" t="str">
        <f>IF(OR($A69=0,$A69=""),"0",IF(LOOKUP($A69,Load_Switch_NFET[PARTNUMBER],Load_Switch_NFET[RDSON6])="(NULL)","0","1"))</f>
        <v>0</v>
      </c>
      <c r="G69" s="3" t="str">
        <f>IF(OR($A69=0,$A69=""),"0",IF(LOOKUP($A69,Load_Switch_NFET[PARTNUMBER],Load_Switch_NFET[RDSON8])="(NULL)","0","1"))</f>
        <v>0</v>
      </c>
      <c r="H69" s="14" t="str">
        <f>IF(OR($A69=0,$A69=""),"0",IF(LOOKUP($A69,Load_Switch_NFET[PARTNUMBER],Load_Switch_NFET[RDSON10])="(NULL)","0","1"))</f>
        <v>1</v>
      </c>
      <c r="I69" s="24" t="b">
        <f t="shared" si="51"/>
        <v>0</v>
      </c>
      <c r="J69" s="7" t="b">
        <f t="shared" si="52"/>
        <v>0</v>
      </c>
      <c r="K69" s="10" t="b">
        <f t="shared" si="53"/>
        <v>0</v>
      </c>
      <c r="L69" s="12" t="b">
        <f t="shared" si="54"/>
        <v>1</v>
      </c>
      <c r="M69" s="17" t="b">
        <f t="shared" si="55"/>
        <v>0</v>
      </c>
      <c r="N69" s="13" t="b">
        <f t="shared" si="56"/>
        <v>0</v>
      </c>
      <c r="O69" s="15" t="b">
        <f t="shared" si="57"/>
        <v>0</v>
      </c>
      <c r="P69" s="18" t="b">
        <f t="shared" si="58"/>
        <v>1</v>
      </c>
      <c r="Q69" s="24" t="b">
        <f t="shared" si="59"/>
        <v>0</v>
      </c>
      <c r="R69" s="7" t="b">
        <f t="shared" si="60"/>
        <v>0</v>
      </c>
      <c r="S69" s="10" t="b">
        <f t="shared" si="40"/>
        <v>0</v>
      </c>
      <c r="T69" s="12" t="b">
        <f t="shared" si="41"/>
        <v>1</v>
      </c>
      <c r="U69" s="17" t="b">
        <f t="shared" si="42"/>
        <v>0</v>
      </c>
      <c r="V69" s="13" t="b">
        <f t="shared" si="43"/>
        <v>0</v>
      </c>
      <c r="W69" s="15" t="b">
        <f t="shared" si="44"/>
        <v>0</v>
      </c>
      <c r="X69" s="6">
        <f>IF(W69,LOOKUP(A69,Load_Switch_NFET[PARTNUMBER],Load_Switch_NFET[RDSON10])*1000,IF(V69,LOOKUP(A69,Load_Switch_NFET[PARTNUMBER],Load_Switch_NFET[RDSON8])*1000,IF(U69,LOOKUP(A69,Load_Switch_NFET[PARTNUMBER],Load_Switch_NFET[RDSON6])*1000,IF(T69,LOOKUP(A69,Load_Switch_NFET[PARTNUMBER],Load_Switch_NFET[RDSON45])*1000,IF(S69,LOOKUP(A69,Load_Switch_NFET[PARTNUMBER],Load_Switch_NFET[RDSON3])*1000,IF(R69,LOOKUP(A69,Load_Switch_NFET[PARTNUMBER],Load_Switch_NFET[RDSON25])*1000,IF(Q69,LOOKUP(A69,Load_Switch_NFET[PARTNUMBER],Load_Switch_NFET[RDSON18])*1000,"")))))))</f>
        <v>29</v>
      </c>
      <c r="Y69" s="19">
        <f>IF(AND(A69&lt;&gt;0,A69&lt;&gt;""),X69*(1+(Tj-25)*(LOOKUP(A69,Load_Switch_NFET[PARTNUMBER],Load_Switch_NFET[RDSDELTA])/((LOOKUP(A69,Load_Switch_NFET[PARTNUMBER],Load_Switch_NFET[TJMAX])-25)))),"")</f>
        <v>38.048000000000002</v>
      </c>
      <c r="Z69" s="6">
        <f>IF(AND(A69&lt;&gt;0,A69&lt;&gt;""),LOOKUP(A69,Load_Switch_NFET[PARTNUMBER],Load_Switch_NFET[VTHMAX]),"")</f>
        <v>2</v>
      </c>
      <c r="AA69" s="6">
        <f>IF(AND(A69&lt;&gt;0,A69&lt;&gt;""),LOOKUP(A69,Load_Switch_NFET[PARTNUMBER],Load_Switch_NFET[VTHMIN]),"")</f>
        <v>1.3</v>
      </c>
      <c r="AB69" s="6">
        <f t="shared" si="45"/>
        <v>4.5</v>
      </c>
      <c r="AC69" s="6">
        <f>IF(AND(A69&lt;&gt;0,A69&lt;&gt;""),LOOKUP(A69,Load_Switch_NFET[PARTNUMBER],Load_Switch_NFET[RGIMAX]),"")</f>
        <v>7.6</v>
      </c>
      <c r="AD69" s="6">
        <f>IF(AND($A69&lt;&gt;0,$A69&lt;&gt;""),LOOKUP($A69,Load_Switch_NFET[PARTNUMBER],Load_Switch_NFET[QGTYP]),"")</f>
        <v>2.4</v>
      </c>
      <c r="AE69" s="6">
        <f>IF(AND($A69&lt;&gt;0,$A69&lt;&gt;""),LOOKUP($A69,Load_Switch_NFET[PARTNUMBER],Load_Switch_NFET[QGS]),"")</f>
        <v>0.6</v>
      </c>
      <c r="AF69" s="6">
        <f>IF(AND($A69&lt;&gt;0,$A69&lt;&gt;""),LOOKUP($A69,Load_Switch_NFET[PARTNUMBER],Load_Switch_NFET[QGD]),"")</f>
        <v>0.9</v>
      </c>
      <c r="AG69" s="6">
        <f>IF(AND($A69&lt;&gt;0,$A69&lt;&gt;""),LOOKUP($A69,Load_Switch_NFET[PARTNUMBER],Load_Switch_NFET[QGTH]),"")</f>
        <v>0.6</v>
      </c>
      <c r="AH69" s="6">
        <f>IF(AND($A69&lt;&gt;0,$A69&lt;&gt;""),LOOKUP($A69,Load_Switch_NFET[PARTNUMBER],Load_Switch_NFET[VMILLER]),"")</f>
        <v>2.5</v>
      </c>
      <c r="AI69" s="6">
        <f>IF(AND($A69&lt;&gt;0,$A69&lt;&gt;""),LOOKUP($A69,Load_Switch_NFET[PARTNUMBER],Load_Switch_NFET[COSS_AT_VDSSPEC]),"")</f>
        <v>0.10100000000000001</v>
      </c>
      <c r="AJ69" s="6">
        <f t="shared" si="46"/>
        <v>0.9</v>
      </c>
      <c r="AK69" s="6">
        <f t="shared" si="47"/>
        <v>1.65</v>
      </c>
      <c r="AL69" s="6">
        <f t="shared" si="48"/>
        <v>0.15219200000000002</v>
      </c>
      <c r="AM69" s="49">
        <f t="shared" si="49"/>
        <v>0.152</v>
      </c>
      <c r="AN69" s="46">
        <f>IF(AND($A69&lt;&gt;0,$A69&lt;&gt;""),LOOKUP($A69,Load_Switch_NFET[PARTNUMBER],Load_Switch_NFET[1KPRICE]),"")</f>
        <v>0.109</v>
      </c>
      <c r="AO69" s="6" t="str">
        <f>IF(AND($A69&lt;&gt;0,$A69&lt;&gt;""),LOOKUP(A69,Load_Switch_NFET[PARTNUMBER],Load_Switch_NFET[TI_EQ_PACKAGE]),"")</f>
        <v>SON2X2</v>
      </c>
      <c r="AP69" s="6" t="str">
        <f t="shared" si="50"/>
        <v>CSD17571Q2, SON2X2, 0.152W, $0.109</v>
      </c>
    </row>
    <row r="70" spans="1:42" ht="30" x14ac:dyDescent="0.25">
      <c r="A70" s="6" t="str">
        <f>IF(CH="N",NLogic!B70,"")</f>
        <v>CSD17573Q5B</v>
      </c>
      <c r="B70" s="23" t="str">
        <f>IF(OR($A70=0,$A70=""),"0",IF(LOOKUP($A70,Load_Switch_NFET[PARTNUMBER],Load_Switch_NFET[RDSON18])="(NULL)","0","1"))</f>
        <v>0</v>
      </c>
      <c r="C70" s="8" t="str">
        <f>IF(OR($A70=0,$A70=""),"0",IF(LOOKUP($A70,Load_Switch_NFET[PARTNUMBER],Load_Switch_NFET[RDSON25])="(NULL)","0","1"))</f>
        <v>0</v>
      </c>
      <c r="D70" s="9" t="str">
        <f>IF(OR($A70=0,$A70=""),"0",IF(LOOKUP($A70,Load_Switch_NFET[PARTNUMBER],Load_Switch_NFET[RDSON3])="(NULL)","0","1"))</f>
        <v>0</v>
      </c>
      <c r="E70" s="11" t="str">
        <f>IF(OR($A70=0,$A70=""),"0",IF(LOOKUP($A70,Load_Switch_NFET[PARTNUMBER],Load_Switch_NFET[RDSON45])="(NULL)","0","1"))</f>
        <v>1</v>
      </c>
      <c r="F70" s="16" t="str">
        <f>IF(OR($A70=0,$A70=""),"0",IF(LOOKUP($A70,Load_Switch_NFET[PARTNUMBER],Load_Switch_NFET[RDSON6])="(NULL)","0","1"))</f>
        <v>0</v>
      </c>
      <c r="G70" s="3" t="str">
        <f>IF(OR($A70=0,$A70=""),"0",IF(LOOKUP($A70,Load_Switch_NFET[PARTNUMBER],Load_Switch_NFET[RDSON8])="(NULL)","0","1"))</f>
        <v>0</v>
      </c>
      <c r="H70" s="14" t="str">
        <f>IF(OR($A70=0,$A70=""),"0",IF(LOOKUP($A70,Load_Switch_NFET[PARTNUMBER],Load_Switch_NFET[RDSON10])="(NULL)","0","1"))</f>
        <v>1</v>
      </c>
      <c r="I70" s="24" t="b">
        <f t="shared" si="51"/>
        <v>0</v>
      </c>
      <c r="J70" s="7" t="b">
        <f t="shared" si="52"/>
        <v>0</v>
      </c>
      <c r="K70" s="10" t="b">
        <f t="shared" si="53"/>
        <v>0</v>
      </c>
      <c r="L70" s="12" t="b">
        <f t="shared" si="54"/>
        <v>1</v>
      </c>
      <c r="M70" s="17" t="b">
        <f t="shared" si="55"/>
        <v>0</v>
      </c>
      <c r="N70" s="13" t="b">
        <f t="shared" si="56"/>
        <v>0</v>
      </c>
      <c r="O70" s="15" t="b">
        <f t="shared" si="57"/>
        <v>0</v>
      </c>
      <c r="P70" s="18" t="b">
        <f t="shared" si="58"/>
        <v>1</v>
      </c>
      <c r="Q70" s="24" t="b">
        <f t="shared" si="59"/>
        <v>0</v>
      </c>
      <c r="R70" s="7" t="b">
        <f t="shared" si="60"/>
        <v>0</v>
      </c>
      <c r="S70" s="10" t="b">
        <f t="shared" si="40"/>
        <v>0</v>
      </c>
      <c r="T70" s="12" t="b">
        <f t="shared" si="41"/>
        <v>1</v>
      </c>
      <c r="U70" s="17" t="b">
        <f t="shared" si="42"/>
        <v>0</v>
      </c>
      <c r="V70" s="13" t="b">
        <f t="shared" si="43"/>
        <v>0</v>
      </c>
      <c r="W70" s="15" t="b">
        <f t="shared" si="44"/>
        <v>0</v>
      </c>
      <c r="X70" s="6">
        <f>IF(W70,LOOKUP(A70,Load_Switch_NFET[PARTNUMBER],Load_Switch_NFET[RDSON10])*1000,IF(V70,LOOKUP(A70,Load_Switch_NFET[PARTNUMBER],Load_Switch_NFET[RDSON8])*1000,IF(U70,LOOKUP(A70,Load_Switch_NFET[PARTNUMBER],Load_Switch_NFET[RDSON6])*1000,IF(T70,LOOKUP(A70,Load_Switch_NFET[PARTNUMBER],Load_Switch_NFET[RDSON45])*1000,IF(S70,LOOKUP(A70,Load_Switch_NFET[PARTNUMBER],Load_Switch_NFET[RDSON3])*1000,IF(R70,LOOKUP(A70,Load_Switch_NFET[PARTNUMBER],Load_Switch_NFET[RDSON25])*1000,IF(Q70,LOOKUP(A70,Load_Switch_NFET[PARTNUMBER],Load_Switch_NFET[RDSON18])*1000,"")))))))</f>
        <v>1.4</v>
      </c>
      <c r="Y70" s="19">
        <f>IF(AND(A70&lt;&gt;0,A70&lt;&gt;""),X70*(1+(Tj-25)*(LOOKUP(A70,Load_Switch_NFET[PARTNUMBER],Load_Switch_NFET[RDSDELTA])/((LOOKUP(A70,Load_Switch_NFET[PARTNUMBER],Load_Switch_NFET[TJMAX])-25)))),"")</f>
        <v>1.8311999999999999</v>
      </c>
      <c r="Z70" s="6">
        <f>IF(AND(A70&lt;&gt;0,A70&lt;&gt;""),LOOKUP(A70,Load_Switch_NFET[PARTNUMBER],Load_Switch_NFET[VTHMAX]),"")</f>
        <v>1.8</v>
      </c>
      <c r="AA70" s="6">
        <f>IF(AND(A70&lt;&gt;0,A70&lt;&gt;""),LOOKUP(A70,Load_Switch_NFET[PARTNUMBER],Load_Switch_NFET[VTHMIN]),"")</f>
        <v>1.1000000000000001</v>
      </c>
      <c r="AB70" s="6">
        <f t="shared" si="45"/>
        <v>4.5</v>
      </c>
      <c r="AC70" s="6">
        <f>IF(AND(A70&lt;&gt;0,A70&lt;&gt;""),LOOKUP(A70,Load_Switch_NFET[PARTNUMBER],Load_Switch_NFET[RGIMAX]),"")</f>
        <v>1.8</v>
      </c>
      <c r="AD70" s="6">
        <f>IF(AND($A70&lt;&gt;0,$A70&lt;&gt;""),LOOKUP($A70,Load_Switch_NFET[PARTNUMBER],Load_Switch_NFET[QGTYP]),"")</f>
        <v>49</v>
      </c>
      <c r="AE70" s="6">
        <f>IF(AND($A70&lt;&gt;0,$A70&lt;&gt;""),LOOKUP($A70,Load_Switch_NFET[PARTNUMBER],Load_Switch_NFET[QGS]),"")</f>
        <v>17.100000000000001</v>
      </c>
      <c r="AF70" s="6">
        <f>IF(AND($A70&lt;&gt;0,$A70&lt;&gt;""),LOOKUP($A70,Load_Switch_NFET[PARTNUMBER],Load_Switch_NFET[QGD]),"")</f>
        <v>11.9</v>
      </c>
      <c r="AG70" s="6">
        <f>IF(AND($A70&lt;&gt;0,$A70&lt;&gt;""),LOOKUP($A70,Load_Switch_NFET[PARTNUMBER],Load_Switch_NFET[QGTH]),"")</f>
        <v>8.6</v>
      </c>
      <c r="AH70" s="6">
        <f>IF(AND($A70&lt;&gt;0,$A70&lt;&gt;""),LOOKUP($A70,Load_Switch_NFET[PARTNUMBER],Load_Switch_NFET[VMILLER]),"")</f>
        <v>2.4</v>
      </c>
      <c r="AI70" s="6">
        <f>IF(AND($A70&lt;&gt;0,$A70&lt;&gt;""),LOOKUP($A70,Load_Switch_NFET[PARTNUMBER],Load_Switch_NFET[COSS_AT_VDSSPEC]),"")</f>
        <v>0.76900000000000002</v>
      </c>
      <c r="AJ70" s="6">
        <f t="shared" si="46"/>
        <v>20.399999999999999</v>
      </c>
      <c r="AK70" s="6">
        <f t="shared" si="47"/>
        <v>1.4500000000000002</v>
      </c>
      <c r="AL70" s="6">
        <f t="shared" si="48"/>
        <v>7.3248000000000002E-3</v>
      </c>
      <c r="AM70" s="49">
        <f t="shared" si="49"/>
        <v>7.0000000000000001E-3</v>
      </c>
      <c r="AN70" s="46">
        <f>IF(AND($A70&lt;&gt;0,$A70&lt;&gt;""),LOOKUP($A70,Load_Switch_NFET[PARTNUMBER],Load_Switch_NFET[1KPRICE]),"")</f>
        <v>0.55000000000000004</v>
      </c>
      <c r="AO70" s="6" t="str">
        <f>IF(AND($A70&lt;&gt;0,$A70&lt;&gt;""),LOOKUP(A70,Load_Switch_NFET[PARTNUMBER],Load_Switch_NFET[TI_EQ_PACKAGE]),"")</f>
        <v>SON5x6</v>
      </c>
      <c r="AP70" s="6" t="str">
        <f t="shared" si="50"/>
        <v>CSD17573Q5B, SON5x6, 0.007W, $0.55</v>
      </c>
    </row>
    <row r="71" spans="1:42" ht="30" x14ac:dyDescent="0.25">
      <c r="A71" s="6" t="str">
        <f>IF(CH="N",NLogic!B71,"")</f>
        <v>CSD17575Q3</v>
      </c>
      <c r="B71" s="23" t="str">
        <f>IF(OR($A71=0,$A71=""),"0",IF(LOOKUP($A71,Load_Switch_NFET[PARTNUMBER],Load_Switch_NFET[RDSON18])="(NULL)","0","1"))</f>
        <v>0</v>
      </c>
      <c r="C71" s="8" t="str">
        <f>IF(OR($A71=0,$A71=""),"0",IF(LOOKUP($A71,Load_Switch_NFET[PARTNUMBER],Load_Switch_NFET[RDSON25])="(NULL)","0","1"))</f>
        <v>0</v>
      </c>
      <c r="D71" s="9" t="str">
        <f>IF(OR($A71=0,$A71=""),"0",IF(LOOKUP($A71,Load_Switch_NFET[PARTNUMBER],Load_Switch_NFET[RDSON3])="(NULL)","0","1"))</f>
        <v>0</v>
      </c>
      <c r="E71" s="11" t="str">
        <f>IF(OR($A71=0,$A71=""),"0",IF(LOOKUP($A71,Load_Switch_NFET[PARTNUMBER],Load_Switch_NFET[RDSON45])="(NULL)","0","1"))</f>
        <v>1</v>
      </c>
      <c r="F71" s="16" t="str">
        <f>IF(OR($A71=0,$A71=""),"0",IF(LOOKUP($A71,Load_Switch_NFET[PARTNUMBER],Load_Switch_NFET[RDSON6])="(NULL)","0","1"))</f>
        <v>0</v>
      </c>
      <c r="G71" s="3" t="str">
        <f>IF(OR($A71=0,$A71=""),"0",IF(LOOKUP($A71,Load_Switch_NFET[PARTNUMBER],Load_Switch_NFET[RDSON8])="(NULL)","0","1"))</f>
        <v>0</v>
      </c>
      <c r="H71" s="14" t="str">
        <f>IF(OR($A71=0,$A71=""),"0",IF(LOOKUP($A71,Load_Switch_NFET[PARTNUMBER],Load_Switch_NFET[RDSON10])="(NULL)","0","1"))</f>
        <v>1</v>
      </c>
      <c r="I71" s="24" t="b">
        <f t="shared" si="51"/>
        <v>0</v>
      </c>
      <c r="J71" s="7" t="b">
        <f t="shared" si="52"/>
        <v>0</v>
      </c>
      <c r="K71" s="10" t="b">
        <f t="shared" si="53"/>
        <v>0</v>
      </c>
      <c r="L71" s="12" t="b">
        <f t="shared" si="54"/>
        <v>1</v>
      </c>
      <c r="M71" s="17" t="b">
        <f t="shared" si="55"/>
        <v>0</v>
      </c>
      <c r="N71" s="13" t="b">
        <f t="shared" si="56"/>
        <v>0</v>
      </c>
      <c r="O71" s="15" t="b">
        <f t="shared" si="57"/>
        <v>0</v>
      </c>
      <c r="P71" s="18" t="b">
        <f t="shared" si="58"/>
        <v>1</v>
      </c>
      <c r="Q71" s="24" t="b">
        <f t="shared" si="59"/>
        <v>0</v>
      </c>
      <c r="R71" s="7" t="b">
        <f t="shared" si="60"/>
        <v>0</v>
      </c>
      <c r="S71" s="10" t="b">
        <f t="shared" si="40"/>
        <v>0</v>
      </c>
      <c r="T71" s="12" t="b">
        <f t="shared" si="41"/>
        <v>1</v>
      </c>
      <c r="U71" s="17" t="b">
        <f t="shared" si="42"/>
        <v>0</v>
      </c>
      <c r="V71" s="13" t="b">
        <f t="shared" si="43"/>
        <v>0</v>
      </c>
      <c r="W71" s="15" t="b">
        <f t="shared" si="44"/>
        <v>0</v>
      </c>
      <c r="X71" s="6">
        <f>IF(W71,LOOKUP(A71,Load_Switch_NFET[PARTNUMBER],Load_Switch_NFET[RDSON10])*1000,IF(V71,LOOKUP(A71,Load_Switch_NFET[PARTNUMBER],Load_Switch_NFET[RDSON8])*1000,IF(U71,LOOKUP(A71,Load_Switch_NFET[PARTNUMBER],Load_Switch_NFET[RDSON6])*1000,IF(T71,LOOKUP(A71,Load_Switch_NFET[PARTNUMBER],Load_Switch_NFET[RDSON45])*1000,IF(S71,LOOKUP(A71,Load_Switch_NFET[PARTNUMBER],Load_Switch_NFET[RDSON3])*1000,IF(R71,LOOKUP(A71,Load_Switch_NFET[PARTNUMBER],Load_Switch_NFET[RDSON25])*1000,IF(Q71,LOOKUP(A71,Load_Switch_NFET[PARTNUMBER],Load_Switch_NFET[RDSON18])*1000,"")))))))</f>
        <v>3.2</v>
      </c>
      <c r="Y71" s="19">
        <f>IF(AND(A71&lt;&gt;0,A71&lt;&gt;""),X71*(1+(Tj-25)*(LOOKUP(A71,Load_Switch_NFET[PARTNUMBER],Load_Switch_NFET[RDSDELTA])/((LOOKUP(A71,Load_Switch_NFET[PARTNUMBER],Load_Switch_NFET[TJMAX])-25)))),"")</f>
        <v>4.16</v>
      </c>
      <c r="Z71" s="6">
        <f>IF(AND(A71&lt;&gt;0,A71&lt;&gt;""),LOOKUP(A71,Load_Switch_NFET[PARTNUMBER],Load_Switch_NFET[VTHMAX]),"")</f>
        <v>1.8</v>
      </c>
      <c r="AA71" s="6">
        <f>IF(AND(A71&lt;&gt;0,A71&lt;&gt;""),LOOKUP(A71,Load_Switch_NFET[PARTNUMBER],Load_Switch_NFET[VTHMIN]),"")</f>
        <v>1.1000000000000001</v>
      </c>
      <c r="AB71" s="6">
        <f t="shared" si="45"/>
        <v>4.5</v>
      </c>
      <c r="AC71" s="6">
        <f>IF(AND(A71&lt;&gt;0,A71&lt;&gt;""),LOOKUP(A71,Load_Switch_NFET[PARTNUMBER],Load_Switch_NFET[RGIMAX]),"")</f>
        <v>1.8</v>
      </c>
      <c r="AD71" s="6">
        <f>IF(AND($A71&lt;&gt;0,$A71&lt;&gt;""),LOOKUP($A71,Load_Switch_NFET[PARTNUMBER],Load_Switch_NFET[QGTYP]),"")</f>
        <v>23</v>
      </c>
      <c r="AE71" s="6">
        <f>IF(AND($A71&lt;&gt;0,$A71&lt;&gt;""),LOOKUP($A71,Load_Switch_NFET[PARTNUMBER],Load_Switch_NFET[QGS]),"")</f>
        <v>8.5</v>
      </c>
      <c r="AF71" s="6">
        <f>IF(AND($A71&lt;&gt;0,$A71&lt;&gt;""),LOOKUP($A71,Load_Switch_NFET[PARTNUMBER],Load_Switch_NFET[QGD]),"")</f>
        <v>5.4</v>
      </c>
      <c r="AG71" s="6">
        <f>IF(AND($A71&lt;&gt;0,$A71&lt;&gt;""),LOOKUP($A71,Load_Switch_NFET[PARTNUMBER],Load_Switch_NFET[QGTH]),"")</f>
        <v>4.5999999999999996</v>
      </c>
      <c r="AH71" s="6">
        <f>IF(AND($A71&lt;&gt;0,$A71&lt;&gt;""),LOOKUP($A71,Load_Switch_NFET[PARTNUMBER],Load_Switch_NFET[VMILLER]),"")</f>
        <v>2.5</v>
      </c>
      <c r="AI71" s="6">
        <f>IF(AND($A71&lt;&gt;0,$A71&lt;&gt;""),LOOKUP($A71,Load_Switch_NFET[PARTNUMBER],Load_Switch_NFET[COSS_AT_VDSSPEC]),"")</f>
        <v>0.39300000000000002</v>
      </c>
      <c r="AJ71" s="6">
        <f t="shared" si="46"/>
        <v>9.3000000000000007</v>
      </c>
      <c r="AK71" s="6">
        <f t="shared" si="47"/>
        <v>1.4500000000000002</v>
      </c>
      <c r="AL71" s="6">
        <f t="shared" si="48"/>
        <v>1.6640000000000002E-2</v>
      </c>
      <c r="AM71" s="49">
        <f t="shared" si="49"/>
        <v>1.7000000000000001E-2</v>
      </c>
      <c r="AN71" s="46">
        <f>IF(AND($A71&lt;&gt;0,$A71&lt;&gt;""),LOOKUP($A71,Load_Switch_NFET[PARTNUMBER],Load_Switch_NFET[1KPRICE]),"")</f>
        <v>0.32400000000000001</v>
      </c>
      <c r="AO71" s="6" t="str">
        <f>IF(AND($A71&lt;&gt;0,$A71&lt;&gt;""),LOOKUP(A71,Load_Switch_NFET[PARTNUMBER],Load_Switch_NFET[TI_EQ_PACKAGE]),"")</f>
        <v>SON5X6</v>
      </c>
      <c r="AP71" s="6" t="str">
        <f t="shared" si="50"/>
        <v>CSD17575Q3, SON5X6, 0.017W, $0.324</v>
      </c>
    </row>
    <row r="72" spans="1:42" ht="30" x14ac:dyDescent="0.25">
      <c r="A72" s="6" t="str">
        <f>IF(CH="N",NLogic!B72,"")</f>
        <v>CSD17576Q5B</v>
      </c>
      <c r="B72" s="23" t="str">
        <f>IF(OR($A72=0,$A72=""),"0",IF(LOOKUP($A72,Load_Switch_NFET[PARTNUMBER],Load_Switch_NFET[RDSON18])="(NULL)","0","1"))</f>
        <v>0</v>
      </c>
      <c r="C72" s="8" t="str">
        <f>IF(OR($A72=0,$A72=""),"0",IF(LOOKUP($A72,Load_Switch_NFET[PARTNUMBER],Load_Switch_NFET[RDSON25])="(NULL)","0","1"))</f>
        <v>0</v>
      </c>
      <c r="D72" s="9" t="str">
        <f>IF(OR($A72=0,$A72=""),"0",IF(LOOKUP($A72,Load_Switch_NFET[PARTNUMBER],Load_Switch_NFET[RDSON3])="(NULL)","0","1"))</f>
        <v>0</v>
      </c>
      <c r="E72" s="11" t="str">
        <f>IF(OR($A72=0,$A72=""),"0",IF(LOOKUP($A72,Load_Switch_NFET[PARTNUMBER],Load_Switch_NFET[RDSON45])="(NULL)","0","1"))</f>
        <v>1</v>
      </c>
      <c r="F72" s="16" t="str">
        <f>IF(OR($A72=0,$A72=""),"0",IF(LOOKUP($A72,Load_Switch_NFET[PARTNUMBER],Load_Switch_NFET[RDSON6])="(NULL)","0","1"))</f>
        <v>0</v>
      </c>
      <c r="G72" s="3" t="str">
        <f>IF(OR($A72=0,$A72=""),"0",IF(LOOKUP($A72,Load_Switch_NFET[PARTNUMBER],Load_Switch_NFET[RDSON8])="(NULL)","0","1"))</f>
        <v>0</v>
      </c>
      <c r="H72" s="14" t="str">
        <f>IF(OR($A72=0,$A72=""),"0",IF(LOOKUP($A72,Load_Switch_NFET[PARTNUMBER],Load_Switch_NFET[RDSON10])="(NULL)","0","1"))</f>
        <v>1</v>
      </c>
      <c r="I72" s="24" t="b">
        <f t="shared" si="51"/>
        <v>0</v>
      </c>
      <c r="J72" s="7" t="b">
        <f t="shared" si="52"/>
        <v>0</v>
      </c>
      <c r="K72" s="10" t="b">
        <f t="shared" si="53"/>
        <v>0</v>
      </c>
      <c r="L72" s="12" t="b">
        <f t="shared" si="54"/>
        <v>1</v>
      </c>
      <c r="M72" s="17" t="b">
        <f t="shared" si="55"/>
        <v>0</v>
      </c>
      <c r="N72" s="13" t="b">
        <f t="shared" si="56"/>
        <v>0</v>
      </c>
      <c r="O72" s="15" t="b">
        <f t="shared" si="57"/>
        <v>0</v>
      </c>
      <c r="P72" s="18" t="b">
        <f t="shared" si="58"/>
        <v>1</v>
      </c>
      <c r="Q72" s="24" t="b">
        <f t="shared" si="59"/>
        <v>0</v>
      </c>
      <c r="R72" s="7" t="b">
        <f t="shared" si="60"/>
        <v>0</v>
      </c>
      <c r="S72" s="10" t="b">
        <f t="shared" si="40"/>
        <v>0</v>
      </c>
      <c r="T72" s="12" t="b">
        <f t="shared" si="41"/>
        <v>1</v>
      </c>
      <c r="U72" s="17" t="b">
        <f t="shared" si="42"/>
        <v>0</v>
      </c>
      <c r="V72" s="13" t="b">
        <f t="shared" si="43"/>
        <v>0</v>
      </c>
      <c r="W72" s="15" t="b">
        <f t="shared" si="44"/>
        <v>0</v>
      </c>
      <c r="X72" s="6">
        <f>IF(W72,LOOKUP(A72,Load_Switch_NFET[PARTNUMBER],Load_Switch_NFET[RDSON10])*1000,IF(V72,LOOKUP(A72,Load_Switch_NFET[PARTNUMBER],Load_Switch_NFET[RDSON8])*1000,IF(U72,LOOKUP(A72,Load_Switch_NFET[PARTNUMBER],Load_Switch_NFET[RDSON6])*1000,IF(T72,LOOKUP(A72,Load_Switch_NFET[PARTNUMBER],Load_Switch_NFET[RDSON45])*1000,IF(S72,LOOKUP(A72,Load_Switch_NFET[PARTNUMBER],Load_Switch_NFET[RDSON3])*1000,IF(R72,LOOKUP(A72,Load_Switch_NFET[PARTNUMBER],Load_Switch_NFET[RDSON25])*1000,IF(Q72,LOOKUP(A72,Load_Switch_NFET[PARTNUMBER],Load_Switch_NFET[RDSON18])*1000,"")))))))</f>
        <v>2.9</v>
      </c>
      <c r="Y72" s="19">
        <f>IF(AND(A72&lt;&gt;0,A72&lt;&gt;""),X72*(1+(Tj-25)*(LOOKUP(A72,Load_Switch_NFET[PARTNUMBER],Load_Switch_NFET[RDSDELTA])/((LOOKUP(A72,Load_Switch_NFET[PARTNUMBER],Load_Switch_NFET[TJMAX])-25)))),"")</f>
        <v>3.8859999999999997</v>
      </c>
      <c r="Z72" s="6">
        <f>IF(AND(A72&lt;&gt;0,A72&lt;&gt;""),LOOKUP(A72,Load_Switch_NFET[PARTNUMBER],Load_Switch_NFET[VTHMAX]),"")</f>
        <v>1.8</v>
      </c>
      <c r="AA72" s="6">
        <f>IF(AND(A72&lt;&gt;0,A72&lt;&gt;""),LOOKUP(A72,Load_Switch_NFET[PARTNUMBER],Load_Switch_NFET[VTHMIN]),"")</f>
        <v>1.1000000000000001</v>
      </c>
      <c r="AB72" s="6">
        <f t="shared" si="45"/>
        <v>4.5</v>
      </c>
      <c r="AC72" s="6">
        <f>IF(AND(A72&lt;&gt;0,A72&lt;&gt;""),LOOKUP(A72,Load_Switch_NFET[PARTNUMBER],Load_Switch_NFET[RGIMAX]),"")</f>
        <v>2</v>
      </c>
      <c r="AD72" s="6">
        <f>IF(AND($A72&lt;&gt;0,$A72&lt;&gt;""),LOOKUP($A72,Load_Switch_NFET[PARTNUMBER],Load_Switch_NFET[QGTYP]),"")</f>
        <v>25</v>
      </c>
      <c r="AE72" s="6">
        <f>IF(AND($A72&lt;&gt;0,$A72&lt;&gt;""),LOOKUP($A72,Load_Switch_NFET[PARTNUMBER],Load_Switch_NFET[QGS]),"")</f>
        <v>8.9</v>
      </c>
      <c r="AF72" s="6">
        <f>IF(AND($A72&lt;&gt;0,$A72&lt;&gt;""),LOOKUP($A72,Load_Switch_NFET[PARTNUMBER],Load_Switch_NFET[QGD]),"")</f>
        <v>5.4</v>
      </c>
      <c r="AG72" s="6">
        <f>IF(AND($A72&lt;&gt;0,$A72&lt;&gt;""),LOOKUP($A72,Load_Switch_NFET[PARTNUMBER],Load_Switch_NFET[QGTH]),"")</f>
        <v>4.7</v>
      </c>
      <c r="AH72" s="6">
        <f>IF(AND($A72&lt;&gt;0,$A72&lt;&gt;""),LOOKUP($A72,Load_Switch_NFET[PARTNUMBER],Load_Switch_NFET[VMILLER]),"")</f>
        <v>2.4</v>
      </c>
      <c r="AI72" s="6">
        <f>IF(AND($A72&lt;&gt;0,$A72&lt;&gt;""),LOOKUP($A72,Load_Switch_NFET[PARTNUMBER],Load_Switch_NFET[COSS_AT_VDSSPEC]),"")</f>
        <v>0.38900000000000001</v>
      </c>
      <c r="AJ72" s="6">
        <f t="shared" si="46"/>
        <v>9.6000000000000014</v>
      </c>
      <c r="AK72" s="6">
        <f t="shared" si="47"/>
        <v>1.4500000000000002</v>
      </c>
      <c r="AL72" s="6">
        <f t="shared" si="48"/>
        <v>1.5543999999999999E-2</v>
      </c>
      <c r="AM72" s="49">
        <f t="shared" si="49"/>
        <v>1.6E-2</v>
      </c>
      <c r="AN72" s="46">
        <f>IF(AND($A72&lt;&gt;0,$A72&lt;&gt;""),LOOKUP($A72,Load_Switch_NFET[PARTNUMBER],Load_Switch_NFET[1KPRICE]),"")</f>
        <v>0.39700000000000002</v>
      </c>
      <c r="AO72" s="6" t="str">
        <f>IF(AND($A72&lt;&gt;0,$A72&lt;&gt;""),LOOKUP(A72,Load_Switch_NFET[PARTNUMBER],Load_Switch_NFET[TI_EQ_PACKAGE]),"")</f>
        <v>SON5X6</v>
      </c>
      <c r="AP72" s="6" t="str">
        <f t="shared" si="50"/>
        <v>CSD17576Q5B, SON5X6, 0.016W, $0.397</v>
      </c>
    </row>
    <row r="73" spans="1:42" ht="30" x14ac:dyDescent="0.25">
      <c r="A73" s="6" t="str">
        <f>IF(CH="N",NLogic!B73,"")</f>
        <v>CSD17577Q3A</v>
      </c>
      <c r="B73" s="23" t="str">
        <f>IF(OR($A73=0,$A73=""),"0",IF(LOOKUP($A73,Load_Switch_NFET[PARTNUMBER],Load_Switch_NFET[RDSON18])="(NULL)","0","1"))</f>
        <v>0</v>
      </c>
      <c r="C73" s="8" t="str">
        <f>IF(OR($A73=0,$A73=""),"0",IF(LOOKUP($A73,Load_Switch_NFET[PARTNUMBER],Load_Switch_NFET[RDSON25])="(NULL)","0","1"))</f>
        <v>0</v>
      </c>
      <c r="D73" s="9" t="str">
        <f>IF(OR($A73=0,$A73=""),"0",IF(LOOKUP($A73,Load_Switch_NFET[PARTNUMBER],Load_Switch_NFET[RDSON3])="(NULL)","0","1"))</f>
        <v>0</v>
      </c>
      <c r="E73" s="11" t="str">
        <f>IF(OR($A73=0,$A73=""),"0",IF(LOOKUP($A73,Load_Switch_NFET[PARTNUMBER],Load_Switch_NFET[RDSON45])="(NULL)","0","1"))</f>
        <v>1</v>
      </c>
      <c r="F73" s="16" t="str">
        <f>IF(OR($A73=0,$A73=""),"0",IF(LOOKUP($A73,Load_Switch_NFET[PARTNUMBER],Load_Switch_NFET[RDSON6])="(NULL)","0","1"))</f>
        <v>0</v>
      </c>
      <c r="G73" s="3" t="str">
        <f>IF(OR($A73=0,$A73=""),"0",IF(LOOKUP($A73,Load_Switch_NFET[PARTNUMBER],Load_Switch_NFET[RDSON8])="(NULL)","0","1"))</f>
        <v>0</v>
      </c>
      <c r="H73" s="14" t="str">
        <f>IF(OR($A73=0,$A73=""),"0",IF(LOOKUP($A73,Load_Switch_NFET[PARTNUMBER],Load_Switch_NFET[RDSON10])="(NULL)","0","1"))</f>
        <v>1</v>
      </c>
      <c r="I73" s="24" t="b">
        <f t="shared" si="51"/>
        <v>0</v>
      </c>
      <c r="J73" s="7" t="b">
        <f t="shared" si="52"/>
        <v>0</v>
      </c>
      <c r="K73" s="10" t="b">
        <f t="shared" si="53"/>
        <v>0</v>
      </c>
      <c r="L73" s="12" t="b">
        <f t="shared" si="54"/>
        <v>1</v>
      </c>
      <c r="M73" s="17" t="b">
        <f t="shared" si="55"/>
        <v>0</v>
      </c>
      <c r="N73" s="13" t="b">
        <f t="shared" si="56"/>
        <v>0</v>
      </c>
      <c r="O73" s="15" t="b">
        <f t="shared" si="57"/>
        <v>0</v>
      </c>
      <c r="P73" s="18" t="b">
        <f t="shared" si="58"/>
        <v>1</v>
      </c>
      <c r="Q73" s="24" t="b">
        <f t="shared" si="59"/>
        <v>0</v>
      </c>
      <c r="R73" s="7" t="b">
        <f t="shared" si="60"/>
        <v>0</v>
      </c>
      <c r="S73" s="10" t="b">
        <f t="shared" si="40"/>
        <v>0</v>
      </c>
      <c r="T73" s="12" t="b">
        <f t="shared" si="41"/>
        <v>1</v>
      </c>
      <c r="U73" s="17" t="b">
        <f t="shared" si="42"/>
        <v>0</v>
      </c>
      <c r="V73" s="13" t="b">
        <f t="shared" si="43"/>
        <v>0</v>
      </c>
      <c r="W73" s="15" t="b">
        <f t="shared" si="44"/>
        <v>0</v>
      </c>
      <c r="X73" s="6">
        <f>IF(W73,LOOKUP(A73,Load_Switch_NFET[PARTNUMBER],Load_Switch_NFET[RDSON10])*1000,IF(V73,LOOKUP(A73,Load_Switch_NFET[PARTNUMBER],Load_Switch_NFET[RDSON8])*1000,IF(U73,LOOKUP(A73,Load_Switch_NFET[PARTNUMBER],Load_Switch_NFET[RDSON6])*1000,IF(T73,LOOKUP(A73,Load_Switch_NFET[PARTNUMBER],Load_Switch_NFET[RDSON45])*1000,IF(S73,LOOKUP(A73,Load_Switch_NFET[PARTNUMBER],Load_Switch_NFET[RDSON3])*1000,IF(R73,LOOKUP(A73,Load_Switch_NFET[PARTNUMBER],Load_Switch_NFET[RDSON25])*1000,IF(Q73,LOOKUP(A73,Load_Switch_NFET[PARTNUMBER],Load_Switch_NFET[RDSON18])*1000,"")))))))</f>
        <v>6.4</v>
      </c>
      <c r="Y73" s="19">
        <f>IF(AND(A73&lt;&gt;0,A73&lt;&gt;""),X73*(1+(Tj-25)*(LOOKUP(A73,Load_Switch_NFET[PARTNUMBER],Load_Switch_NFET[RDSDELTA])/((LOOKUP(A73,Load_Switch_NFET[PARTNUMBER],Load_Switch_NFET[TJMAX])-25)))),"")</f>
        <v>7.9359999999999999</v>
      </c>
      <c r="Z73" s="6">
        <f>IF(AND(A73&lt;&gt;0,A73&lt;&gt;""),LOOKUP(A73,Load_Switch_NFET[PARTNUMBER],Load_Switch_NFET[VTHMAX]),"")</f>
        <v>1.8</v>
      </c>
      <c r="AA73" s="6">
        <f>IF(AND(A73&lt;&gt;0,A73&lt;&gt;""),LOOKUP(A73,Load_Switch_NFET[PARTNUMBER],Load_Switch_NFET[VTHMIN]),"")</f>
        <v>1.1000000000000001</v>
      </c>
      <c r="AB73" s="6">
        <f t="shared" si="45"/>
        <v>4.5</v>
      </c>
      <c r="AC73" s="6">
        <f>IF(AND(A73&lt;&gt;0,A73&lt;&gt;""),LOOKUP(A73,Load_Switch_NFET[PARTNUMBER],Load_Switch_NFET[RGIMAX]),"")</f>
        <v>2.8</v>
      </c>
      <c r="AD73" s="6">
        <f>IF(AND($A73&lt;&gt;0,$A73&lt;&gt;""),LOOKUP($A73,Load_Switch_NFET[PARTNUMBER],Load_Switch_NFET[QGTYP]),"")</f>
        <v>13</v>
      </c>
      <c r="AE73" s="6">
        <f>IF(AND($A73&lt;&gt;0,$A73&lt;&gt;""),LOOKUP($A73,Load_Switch_NFET[PARTNUMBER],Load_Switch_NFET[QGS]),"")</f>
        <v>5.0999999999999996</v>
      </c>
      <c r="AF73" s="6">
        <f>IF(AND($A73&lt;&gt;0,$A73&lt;&gt;""),LOOKUP($A73,Load_Switch_NFET[PARTNUMBER],Load_Switch_NFET[QGD]),"")</f>
        <v>2.8</v>
      </c>
      <c r="AG73" s="6">
        <f>IF(AND($A73&lt;&gt;0,$A73&lt;&gt;""),LOOKUP($A73,Load_Switch_NFET[PARTNUMBER],Load_Switch_NFET[QGTH]),"")</f>
        <v>2.5</v>
      </c>
      <c r="AH73" s="6">
        <f>IF(AND($A73&lt;&gt;0,$A73&lt;&gt;""),LOOKUP($A73,Load_Switch_NFET[PARTNUMBER],Load_Switch_NFET[VMILLER]),"")</f>
        <v>2.7</v>
      </c>
      <c r="AI73" s="6">
        <f>IF(AND($A73&lt;&gt;0,$A73&lt;&gt;""),LOOKUP($A73,Load_Switch_NFET[PARTNUMBER],Load_Switch_NFET[COSS_AT_VDSSPEC]),"")</f>
        <v>0.2</v>
      </c>
      <c r="AJ73" s="6">
        <f t="shared" si="46"/>
        <v>5.3999999999999995</v>
      </c>
      <c r="AK73" s="6">
        <f t="shared" si="47"/>
        <v>1.4500000000000002</v>
      </c>
      <c r="AL73" s="6">
        <f t="shared" si="48"/>
        <v>3.1744000000000001E-2</v>
      </c>
      <c r="AM73" s="49">
        <f t="shared" si="49"/>
        <v>3.2000000000000001E-2</v>
      </c>
      <c r="AN73" s="46">
        <f>IF(AND($A73&lt;&gt;0,$A73&lt;&gt;""),LOOKUP($A73,Load_Switch_NFET[PARTNUMBER],Load_Switch_NFET[1KPRICE]),"")</f>
        <v>0.193</v>
      </c>
      <c r="AO73" s="6" t="str">
        <f>IF(AND($A73&lt;&gt;0,$A73&lt;&gt;""),LOOKUP(A73,Load_Switch_NFET[PARTNUMBER],Load_Switch_NFET[TI_EQ_PACKAGE]),"")</f>
        <v>SON3x3</v>
      </c>
      <c r="AP73" s="6" t="str">
        <f t="shared" si="50"/>
        <v>CSD17577Q3A, SON3x3, 0.032W, $0.193</v>
      </c>
    </row>
    <row r="74" spans="1:42" ht="30" x14ac:dyDescent="0.25">
      <c r="A74" s="6" t="str">
        <f>IF(CH="N",NLogic!B74,"")</f>
        <v>CSD17577Q5A</v>
      </c>
      <c r="B74" s="23" t="str">
        <f>IF(OR($A74=0,$A74=""),"0",IF(LOOKUP($A74,Load_Switch_NFET[PARTNUMBER],Load_Switch_NFET[RDSON18])="(NULL)","0","1"))</f>
        <v>0</v>
      </c>
      <c r="C74" s="8" t="str">
        <f>IF(OR($A74=0,$A74=""),"0",IF(LOOKUP($A74,Load_Switch_NFET[PARTNUMBER],Load_Switch_NFET[RDSON25])="(NULL)","0","1"))</f>
        <v>0</v>
      </c>
      <c r="D74" s="9" t="str">
        <f>IF(OR($A74=0,$A74=""),"0",IF(LOOKUP($A74,Load_Switch_NFET[PARTNUMBER],Load_Switch_NFET[RDSON3])="(NULL)","0","1"))</f>
        <v>0</v>
      </c>
      <c r="E74" s="11" t="str">
        <f>IF(OR($A74=0,$A74=""),"0",IF(LOOKUP($A74,Load_Switch_NFET[PARTNUMBER],Load_Switch_NFET[RDSON45])="(NULL)","0","1"))</f>
        <v>1</v>
      </c>
      <c r="F74" s="16" t="str">
        <f>IF(OR($A74=0,$A74=""),"0",IF(LOOKUP($A74,Load_Switch_NFET[PARTNUMBER],Load_Switch_NFET[RDSON6])="(NULL)","0","1"))</f>
        <v>0</v>
      </c>
      <c r="G74" s="3" t="str">
        <f>IF(OR($A74=0,$A74=""),"0",IF(LOOKUP($A74,Load_Switch_NFET[PARTNUMBER],Load_Switch_NFET[RDSON8])="(NULL)","0","1"))</f>
        <v>0</v>
      </c>
      <c r="H74" s="14" t="str">
        <f>IF(OR($A74=0,$A74=""),"0",IF(LOOKUP($A74,Load_Switch_NFET[PARTNUMBER],Load_Switch_NFET[RDSON10])="(NULL)","0","1"))</f>
        <v>1</v>
      </c>
      <c r="I74" s="24" t="b">
        <f t="shared" si="51"/>
        <v>0</v>
      </c>
      <c r="J74" s="7" t="b">
        <f t="shared" si="52"/>
        <v>0</v>
      </c>
      <c r="K74" s="10" t="b">
        <f t="shared" si="53"/>
        <v>0</v>
      </c>
      <c r="L74" s="12" t="b">
        <f t="shared" si="54"/>
        <v>1</v>
      </c>
      <c r="M74" s="17" t="b">
        <f t="shared" si="55"/>
        <v>0</v>
      </c>
      <c r="N74" s="13" t="b">
        <f t="shared" si="56"/>
        <v>0</v>
      </c>
      <c r="O74" s="15" t="b">
        <f t="shared" si="57"/>
        <v>0</v>
      </c>
      <c r="P74" s="18" t="b">
        <f t="shared" si="58"/>
        <v>1</v>
      </c>
      <c r="Q74" s="24" t="b">
        <f t="shared" si="59"/>
        <v>0</v>
      </c>
      <c r="R74" s="7" t="b">
        <f t="shared" si="60"/>
        <v>0</v>
      </c>
      <c r="S74" s="10" t="b">
        <f t="shared" si="40"/>
        <v>0</v>
      </c>
      <c r="T74" s="12" t="b">
        <f t="shared" si="41"/>
        <v>1</v>
      </c>
      <c r="U74" s="17" t="b">
        <f t="shared" si="42"/>
        <v>0</v>
      </c>
      <c r="V74" s="13" t="b">
        <f t="shared" si="43"/>
        <v>0</v>
      </c>
      <c r="W74" s="15" t="b">
        <f t="shared" si="44"/>
        <v>0</v>
      </c>
      <c r="X74" s="6">
        <f>IF(W74,LOOKUP(A74,Load_Switch_NFET[PARTNUMBER],Load_Switch_NFET[RDSON10])*1000,IF(V74,LOOKUP(A74,Load_Switch_NFET[PARTNUMBER],Load_Switch_NFET[RDSON8])*1000,IF(U74,LOOKUP(A74,Load_Switch_NFET[PARTNUMBER],Load_Switch_NFET[RDSON6])*1000,IF(T74,LOOKUP(A74,Load_Switch_NFET[PARTNUMBER],Load_Switch_NFET[RDSON45])*1000,IF(S74,LOOKUP(A74,Load_Switch_NFET[PARTNUMBER],Load_Switch_NFET[RDSON3])*1000,IF(R74,LOOKUP(A74,Load_Switch_NFET[PARTNUMBER],Load_Switch_NFET[RDSON25])*1000,IF(Q74,LOOKUP(A74,Load_Switch_NFET[PARTNUMBER],Load_Switch_NFET[RDSON18])*1000,"")))))))</f>
        <v>5.8</v>
      </c>
      <c r="Y74" s="19">
        <f>IF(AND(A74&lt;&gt;0,A74&lt;&gt;""),X74*(1+(Tj-25)*(LOOKUP(A74,Load_Switch_NFET[PARTNUMBER],Load_Switch_NFET[RDSDELTA])/((LOOKUP(A74,Load_Switch_NFET[PARTNUMBER],Load_Switch_NFET[TJMAX])-25)))),"")</f>
        <v>7.1920000000000002</v>
      </c>
      <c r="Z74" s="6">
        <f>IF(AND(A74&lt;&gt;0,A74&lt;&gt;""),LOOKUP(A74,Load_Switch_NFET[PARTNUMBER],Load_Switch_NFET[VTHMAX]),"")</f>
        <v>1.8</v>
      </c>
      <c r="AA74" s="6">
        <f>IF(AND(A74&lt;&gt;0,A74&lt;&gt;""),LOOKUP(A74,Load_Switch_NFET[PARTNUMBER],Load_Switch_NFET[VTHMIN]),"")</f>
        <v>1.1000000000000001</v>
      </c>
      <c r="AB74" s="6">
        <f t="shared" si="45"/>
        <v>4.5</v>
      </c>
      <c r="AC74" s="6">
        <f>IF(AND(A74&lt;&gt;0,A74&lt;&gt;""),LOOKUP(A74,Load_Switch_NFET[PARTNUMBER],Load_Switch_NFET[RGIMAX]),"")</f>
        <v>2.8</v>
      </c>
      <c r="AD74" s="6">
        <f>IF(AND($A74&lt;&gt;0,$A74&lt;&gt;""),LOOKUP($A74,Load_Switch_NFET[PARTNUMBER],Load_Switch_NFET[QGTYP]),"")</f>
        <v>13</v>
      </c>
      <c r="AE74" s="6">
        <f>IF(AND($A74&lt;&gt;0,$A74&lt;&gt;""),LOOKUP($A74,Load_Switch_NFET[PARTNUMBER],Load_Switch_NFET[QGS]),"")</f>
        <v>5.0999999999999996</v>
      </c>
      <c r="AF74" s="6">
        <f>IF(AND($A74&lt;&gt;0,$A74&lt;&gt;""),LOOKUP($A74,Load_Switch_NFET[PARTNUMBER],Load_Switch_NFET[QGD]),"")</f>
        <v>2.8</v>
      </c>
      <c r="AG74" s="6">
        <f>IF(AND($A74&lt;&gt;0,$A74&lt;&gt;""),LOOKUP($A74,Load_Switch_NFET[PARTNUMBER],Load_Switch_NFET[QGTH]),"")</f>
        <v>2.5</v>
      </c>
      <c r="AH74" s="6">
        <f>IF(AND($A74&lt;&gt;0,$A74&lt;&gt;""),LOOKUP($A74,Load_Switch_NFET[PARTNUMBER],Load_Switch_NFET[VMILLER]),"")</f>
        <v>2.7</v>
      </c>
      <c r="AI74" s="6">
        <f>IF(AND($A74&lt;&gt;0,$A74&lt;&gt;""),LOOKUP($A74,Load_Switch_NFET[PARTNUMBER],Load_Switch_NFET[COSS_AT_VDSSPEC]),"")</f>
        <v>0.20799999999999999</v>
      </c>
      <c r="AJ74" s="6">
        <f t="shared" si="46"/>
        <v>5.3999999999999995</v>
      </c>
      <c r="AK74" s="6">
        <f t="shared" si="47"/>
        <v>1.4500000000000002</v>
      </c>
      <c r="AL74" s="6">
        <f t="shared" si="48"/>
        <v>2.8768000000000002E-2</v>
      </c>
      <c r="AM74" s="49">
        <f t="shared" si="49"/>
        <v>2.9000000000000001E-2</v>
      </c>
      <c r="AN74" s="46">
        <f>IF(AND($A74&lt;&gt;0,$A74&lt;&gt;""),LOOKUP($A74,Load_Switch_NFET[PARTNUMBER],Load_Switch_NFET[1KPRICE]),"")</f>
        <v>0.21199999999999999</v>
      </c>
      <c r="AO74" s="6" t="str">
        <f>IF(AND($A74&lt;&gt;0,$A74&lt;&gt;""),LOOKUP(A74,Load_Switch_NFET[PARTNUMBER],Load_Switch_NFET[TI_EQ_PACKAGE]),"")</f>
        <v>SON5x6</v>
      </c>
      <c r="AP74" s="6" t="str">
        <f t="shared" si="50"/>
        <v>CSD17577Q5A, SON5x6, 0.029W, $0.212</v>
      </c>
    </row>
    <row r="75" spans="1:42" ht="30" x14ac:dyDescent="0.25">
      <c r="A75" s="6" t="str">
        <f>IF(CH="N",NLogic!B75,"")</f>
        <v>CSD17578Q3A</v>
      </c>
      <c r="B75" s="23" t="str">
        <f>IF(OR($A75=0,$A75=""),"0",IF(LOOKUP($A75,Load_Switch_NFET[PARTNUMBER],Load_Switch_NFET[RDSON18])="(NULL)","0","1"))</f>
        <v>0</v>
      </c>
      <c r="C75" s="8" t="str">
        <f>IF(OR($A75=0,$A75=""),"0",IF(LOOKUP($A75,Load_Switch_NFET[PARTNUMBER],Load_Switch_NFET[RDSON25])="(NULL)","0","1"))</f>
        <v>0</v>
      </c>
      <c r="D75" s="9" t="str">
        <f>IF(OR($A75=0,$A75=""),"0",IF(LOOKUP($A75,Load_Switch_NFET[PARTNUMBER],Load_Switch_NFET[RDSON3])="(NULL)","0","1"))</f>
        <v>0</v>
      </c>
      <c r="E75" s="11" t="str">
        <f>IF(OR($A75=0,$A75=""),"0",IF(LOOKUP($A75,Load_Switch_NFET[PARTNUMBER],Load_Switch_NFET[RDSON45])="(NULL)","0","1"))</f>
        <v>1</v>
      </c>
      <c r="F75" s="16" t="str">
        <f>IF(OR($A75=0,$A75=""),"0",IF(LOOKUP($A75,Load_Switch_NFET[PARTNUMBER],Load_Switch_NFET[RDSON6])="(NULL)","0","1"))</f>
        <v>0</v>
      </c>
      <c r="G75" s="3" t="str">
        <f>IF(OR($A75=0,$A75=""),"0",IF(LOOKUP($A75,Load_Switch_NFET[PARTNUMBER],Load_Switch_NFET[RDSON8])="(NULL)","0","1"))</f>
        <v>0</v>
      </c>
      <c r="H75" s="14" t="str">
        <f>IF(OR($A75=0,$A75=""),"0",IF(LOOKUP($A75,Load_Switch_NFET[PARTNUMBER],Load_Switch_NFET[RDSON10])="(NULL)","0","1"))</f>
        <v>1</v>
      </c>
      <c r="I75" s="24" t="b">
        <f t="shared" si="51"/>
        <v>0</v>
      </c>
      <c r="J75" s="7" t="b">
        <f t="shared" si="52"/>
        <v>0</v>
      </c>
      <c r="K75" s="10" t="b">
        <f t="shared" si="53"/>
        <v>0</v>
      </c>
      <c r="L75" s="12" t="b">
        <f t="shared" si="54"/>
        <v>1</v>
      </c>
      <c r="M75" s="17" t="b">
        <f t="shared" si="55"/>
        <v>0</v>
      </c>
      <c r="N75" s="13" t="b">
        <f t="shared" si="56"/>
        <v>0</v>
      </c>
      <c r="O75" s="15" t="b">
        <f t="shared" si="57"/>
        <v>0</v>
      </c>
      <c r="P75" s="18" t="b">
        <f t="shared" si="58"/>
        <v>1</v>
      </c>
      <c r="Q75" s="24" t="b">
        <f t="shared" si="59"/>
        <v>0</v>
      </c>
      <c r="R75" s="7" t="b">
        <f t="shared" si="60"/>
        <v>0</v>
      </c>
      <c r="S75" s="10" t="b">
        <f t="shared" si="40"/>
        <v>0</v>
      </c>
      <c r="T75" s="12" t="b">
        <f t="shared" si="41"/>
        <v>1</v>
      </c>
      <c r="U75" s="17" t="b">
        <f t="shared" si="42"/>
        <v>0</v>
      </c>
      <c r="V75" s="13" t="b">
        <f t="shared" si="43"/>
        <v>0</v>
      </c>
      <c r="W75" s="15" t="b">
        <f t="shared" si="44"/>
        <v>0</v>
      </c>
      <c r="X75" s="6">
        <f>IF(W75,LOOKUP(A75,Load_Switch_NFET[PARTNUMBER],Load_Switch_NFET[RDSON10])*1000,IF(V75,LOOKUP(A75,Load_Switch_NFET[PARTNUMBER],Load_Switch_NFET[RDSON8])*1000,IF(U75,LOOKUP(A75,Load_Switch_NFET[PARTNUMBER],Load_Switch_NFET[RDSON6])*1000,IF(T75,LOOKUP(A75,Load_Switch_NFET[PARTNUMBER],Load_Switch_NFET[RDSON45])*1000,IF(S75,LOOKUP(A75,Load_Switch_NFET[PARTNUMBER],Load_Switch_NFET[RDSON3])*1000,IF(R75,LOOKUP(A75,Load_Switch_NFET[PARTNUMBER],Load_Switch_NFET[RDSON25])*1000,IF(Q75,LOOKUP(A75,Load_Switch_NFET[PARTNUMBER],Load_Switch_NFET[RDSON18])*1000,"")))))))</f>
        <v>9.4</v>
      </c>
      <c r="Y75" s="19">
        <f>IF(AND(A75&lt;&gt;0,A75&lt;&gt;""),X75*(1+(Tj-25)*(LOOKUP(A75,Load_Switch_NFET[PARTNUMBER],Load_Switch_NFET[RDSDELTA])/((LOOKUP(A75,Load_Switch_NFET[PARTNUMBER],Load_Switch_NFET[TJMAX])-25)))),"")</f>
        <v>12.032</v>
      </c>
      <c r="Z75" s="6">
        <f>IF(AND(A75&lt;&gt;0,A75&lt;&gt;""),LOOKUP(A75,Load_Switch_NFET[PARTNUMBER],Load_Switch_NFET[VTHMAX]),"")</f>
        <v>1.9</v>
      </c>
      <c r="AA75" s="6">
        <f>IF(AND(A75&lt;&gt;0,A75&lt;&gt;""),LOOKUP(A75,Load_Switch_NFET[PARTNUMBER],Load_Switch_NFET[VTHMIN]),"")</f>
        <v>1.1000000000000001</v>
      </c>
      <c r="AB75" s="6">
        <f t="shared" si="45"/>
        <v>4.5</v>
      </c>
      <c r="AC75" s="6">
        <f>IF(AND(A75&lt;&gt;0,A75&lt;&gt;""),LOOKUP(A75,Load_Switch_NFET[PARTNUMBER],Load_Switch_NFET[RGIMAX]),"")</f>
        <v>3.6</v>
      </c>
      <c r="AD75" s="6">
        <f>IF(AND($A75&lt;&gt;0,$A75&lt;&gt;""),LOOKUP($A75,Load_Switch_NFET[PARTNUMBER],Load_Switch_NFET[QGTYP]),"")</f>
        <v>7.9</v>
      </c>
      <c r="AE75" s="6">
        <f>IF(AND($A75&lt;&gt;0,$A75&lt;&gt;""),LOOKUP($A75,Load_Switch_NFET[PARTNUMBER],Load_Switch_NFET[QGS]),"")</f>
        <v>3.3</v>
      </c>
      <c r="AF75" s="6">
        <f>IF(AND($A75&lt;&gt;0,$A75&lt;&gt;""),LOOKUP($A75,Load_Switch_NFET[PARTNUMBER],Load_Switch_NFET[QGD]),"")</f>
        <v>1.7</v>
      </c>
      <c r="AG75" s="6">
        <f>IF(AND($A75&lt;&gt;0,$A75&lt;&gt;""),LOOKUP($A75,Load_Switch_NFET[PARTNUMBER],Load_Switch_NFET[QGTH]),"")</f>
        <v>1.7</v>
      </c>
      <c r="AH75" s="6">
        <f>IF(AND($A75&lt;&gt;0,$A75&lt;&gt;""),LOOKUP($A75,Load_Switch_NFET[PARTNUMBER],Load_Switch_NFET[VMILLER]),"")</f>
        <v>2.8</v>
      </c>
      <c r="AI75" s="6">
        <f>IF(AND($A75&lt;&gt;0,$A75&lt;&gt;""),LOOKUP($A75,Load_Switch_NFET[PARTNUMBER],Load_Switch_NFET[COSS_AT_VDSSPEC]),"")</f>
        <v>0.13</v>
      </c>
      <c r="AJ75" s="6">
        <f t="shared" si="46"/>
        <v>3.3</v>
      </c>
      <c r="AK75" s="6">
        <f t="shared" si="47"/>
        <v>1.5</v>
      </c>
      <c r="AL75" s="6">
        <f t="shared" si="48"/>
        <v>4.8128000000000004E-2</v>
      </c>
      <c r="AM75" s="49">
        <f t="shared" si="49"/>
        <v>4.8000000000000001E-2</v>
      </c>
      <c r="AN75" s="46">
        <f>IF(AND($A75&lt;&gt;0,$A75&lt;&gt;""),LOOKUP($A75,Load_Switch_NFET[PARTNUMBER],Load_Switch_NFET[1KPRICE]),"")</f>
        <v>0.17299999999999999</v>
      </c>
      <c r="AO75" s="6" t="str">
        <f>IF(AND($A75&lt;&gt;0,$A75&lt;&gt;""),LOOKUP(A75,Load_Switch_NFET[PARTNUMBER],Load_Switch_NFET[TI_EQ_PACKAGE]),"")</f>
        <v>SON3x3</v>
      </c>
      <c r="AP75" s="6" t="str">
        <f t="shared" si="50"/>
        <v>CSD17578Q3A, SON3x3, 0.048W, $0.173</v>
      </c>
    </row>
    <row r="76" spans="1:42" ht="30" x14ac:dyDescent="0.25">
      <c r="A76" s="6" t="str">
        <f>IF(CH="N",NLogic!B76,"")</f>
        <v>CSD17578Q5A</v>
      </c>
      <c r="B76" s="23" t="str">
        <f>IF(OR($A76=0,$A76=""),"0",IF(LOOKUP($A76,Load_Switch_NFET[PARTNUMBER],Load_Switch_NFET[RDSON18])="(NULL)","0","1"))</f>
        <v>0</v>
      </c>
      <c r="C76" s="8" t="str">
        <f>IF(OR($A76=0,$A76=""),"0",IF(LOOKUP($A76,Load_Switch_NFET[PARTNUMBER],Load_Switch_NFET[RDSON25])="(NULL)","0","1"))</f>
        <v>0</v>
      </c>
      <c r="D76" s="9" t="str">
        <f>IF(OR($A76=0,$A76=""),"0",IF(LOOKUP($A76,Load_Switch_NFET[PARTNUMBER],Load_Switch_NFET[RDSON3])="(NULL)","0","1"))</f>
        <v>0</v>
      </c>
      <c r="E76" s="11" t="str">
        <f>IF(OR($A76=0,$A76=""),"0",IF(LOOKUP($A76,Load_Switch_NFET[PARTNUMBER],Load_Switch_NFET[RDSON45])="(NULL)","0","1"))</f>
        <v>1</v>
      </c>
      <c r="F76" s="16" t="str">
        <f>IF(OR($A76=0,$A76=""),"0",IF(LOOKUP($A76,Load_Switch_NFET[PARTNUMBER],Load_Switch_NFET[RDSON6])="(NULL)","0","1"))</f>
        <v>0</v>
      </c>
      <c r="G76" s="3" t="str">
        <f>IF(OR($A76=0,$A76=""),"0",IF(LOOKUP($A76,Load_Switch_NFET[PARTNUMBER],Load_Switch_NFET[RDSON8])="(NULL)","0","1"))</f>
        <v>0</v>
      </c>
      <c r="H76" s="14" t="str">
        <f>IF(OR($A76=0,$A76=""),"0",IF(LOOKUP($A76,Load_Switch_NFET[PARTNUMBER],Load_Switch_NFET[RDSON10])="(NULL)","0","1"))</f>
        <v>1</v>
      </c>
      <c r="I76" s="24" t="b">
        <f t="shared" si="51"/>
        <v>0</v>
      </c>
      <c r="J76" s="7" t="b">
        <f t="shared" si="52"/>
        <v>0</v>
      </c>
      <c r="K76" s="10" t="b">
        <f t="shared" si="53"/>
        <v>0</v>
      </c>
      <c r="L76" s="12" t="b">
        <f t="shared" si="54"/>
        <v>1</v>
      </c>
      <c r="M76" s="17" t="b">
        <f t="shared" si="55"/>
        <v>0</v>
      </c>
      <c r="N76" s="13" t="b">
        <f t="shared" si="56"/>
        <v>0</v>
      </c>
      <c r="O76" s="15" t="b">
        <f t="shared" si="57"/>
        <v>0</v>
      </c>
      <c r="P76" s="18" t="b">
        <f t="shared" si="58"/>
        <v>1</v>
      </c>
      <c r="Q76" s="24" t="b">
        <f t="shared" si="59"/>
        <v>0</v>
      </c>
      <c r="R76" s="7" t="b">
        <f t="shared" si="60"/>
        <v>0</v>
      </c>
      <c r="S76" s="10" t="b">
        <f t="shared" si="40"/>
        <v>0</v>
      </c>
      <c r="T76" s="12" t="b">
        <f t="shared" si="41"/>
        <v>1</v>
      </c>
      <c r="U76" s="17" t="b">
        <f t="shared" si="42"/>
        <v>0</v>
      </c>
      <c r="V76" s="13" t="b">
        <f t="shared" si="43"/>
        <v>0</v>
      </c>
      <c r="W76" s="15" t="b">
        <f t="shared" si="44"/>
        <v>0</v>
      </c>
      <c r="X76" s="6">
        <f>IF(W76,LOOKUP(A76,Load_Switch_NFET[PARTNUMBER],Load_Switch_NFET[RDSON10])*1000,IF(V76,LOOKUP(A76,Load_Switch_NFET[PARTNUMBER],Load_Switch_NFET[RDSON8])*1000,IF(U76,LOOKUP(A76,Load_Switch_NFET[PARTNUMBER],Load_Switch_NFET[RDSON6])*1000,IF(T76,LOOKUP(A76,Load_Switch_NFET[PARTNUMBER],Load_Switch_NFET[RDSON45])*1000,IF(S76,LOOKUP(A76,Load_Switch_NFET[PARTNUMBER],Load_Switch_NFET[RDSON3])*1000,IF(R76,LOOKUP(A76,Load_Switch_NFET[PARTNUMBER],Load_Switch_NFET[RDSON25])*1000,IF(Q76,LOOKUP(A76,Load_Switch_NFET[PARTNUMBER],Load_Switch_NFET[RDSON18])*1000,"")))))))</f>
        <v>9.2999999999999989</v>
      </c>
      <c r="Y76" s="19">
        <f>IF(AND(A76&lt;&gt;0,A76&lt;&gt;""),X76*(1+(Tj-25)*(LOOKUP(A76,Load_Switch_NFET[PARTNUMBER],Load_Switch_NFET[RDSDELTA])/((LOOKUP(A76,Load_Switch_NFET[PARTNUMBER],Load_Switch_NFET[TJMAX])-25)))),"")</f>
        <v>12.09</v>
      </c>
      <c r="Z76" s="6">
        <f>IF(AND(A76&lt;&gt;0,A76&lt;&gt;""),LOOKUP(A76,Load_Switch_NFET[PARTNUMBER],Load_Switch_NFET[VTHMAX]),"")</f>
        <v>1.9</v>
      </c>
      <c r="AA76" s="6">
        <f>IF(AND(A76&lt;&gt;0,A76&lt;&gt;""),LOOKUP(A76,Load_Switch_NFET[PARTNUMBER],Load_Switch_NFET[VTHMIN]),"")</f>
        <v>1.1000000000000001</v>
      </c>
      <c r="AB76" s="6">
        <f t="shared" si="45"/>
        <v>4.5</v>
      </c>
      <c r="AC76" s="6">
        <f>IF(AND(A76&lt;&gt;0,A76&lt;&gt;""),LOOKUP(A76,Load_Switch_NFET[PARTNUMBER],Load_Switch_NFET[RGIMAX]),"")</f>
        <v>3.6</v>
      </c>
      <c r="AD76" s="6">
        <f>IF(AND($A76&lt;&gt;0,$A76&lt;&gt;""),LOOKUP($A76,Load_Switch_NFET[PARTNUMBER],Load_Switch_NFET[QGTYP]),"")</f>
        <v>7.9</v>
      </c>
      <c r="AE76" s="6">
        <f>IF(AND($A76&lt;&gt;0,$A76&lt;&gt;""),LOOKUP($A76,Load_Switch_NFET[PARTNUMBER],Load_Switch_NFET[QGS]),"")</f>
        <v>3.1</v>
      </c>
      <c r="AF76" s="6">
        <f>IF(AND($A76&lt;&gt;0,$A76&lt;&gt;""),LOOKUP($A76,Load_Switch_NFET[PARTNUMBER],Load_Switch_NFET[QGD]),"")</f>
        <v>2</v>
      </c>
      <c r="AG76" s="6">
        <f>IF(AND($A76&lt;&gt;0,$A76&lt;&gt;""),LOOKUP($A76,Load_Switch_NFET[PARTNUMBER],Load_Switch_NFET[QGTH]),"")</f>
        <v>1.7</v>
      </c>
      <c r="AH76" s="6">
        <f>IF(AND($A76&lt;&gt;0,$A76&lt;&gt;""),LOOKUP($A76,Load_Switch_NFET[PARTNUMBER],Load_Switch_NFET[VMILLER]),"")</f>
        <v>2.7</v>
      </c>
      <c r="AI76" s="6">
        <f>IF(AND($A76&lt;&gt;0,$A76&lt;&gt;""),LOOKUP($A76,Load_Switch_NFET[PARTNUMBER],Load_Switch_NFET[COSS_AT_VDSSPEC]),"")</f>
        <v>0.13600000000000001</v>
      </c>
      <c r="AJ76" s="6">
        <f t="shared" si="46"/>
        <v>3.3999999999999995</v>
      </c>
      <c r="AK76" s="6">
        <f t="shared" si="47"/>
        <v>1.5</v>
      </c>
      <c r="AL76" s="6">
        <f t="shared" si="48"/>
        <v>4.836E-2</v>
      </c>
      <c r="AM76" s="49">
        <f t="shared" si="49"/>
        <v>4.8000000000000001E-2</v>
      </c>
      <c r="AN76" s="46">
        <f>IF(AND($A76&lt;&gt;0,$A76&lt;&gt;""),LOOKUP($A76,Load_Switch_NFET[PARTNUMBER],Load_Switch_NFET[1KPRICE]),"")</f>
        <v>0.191</v>
      </c>
      <c r="AO76" s="6" t="str">
        <f>IF(AND($A76&lt;&gt;0,$A76&lt;&gt;""),LOOKUP(A76,Load_Switch_NFET[PARTNUMBER],Load_Switch_NFET[TI_EQ_PACKAGE]),"")</f>
        <v>SON5x6</v>
      </c>
      <c r="AP76" s="6" t="str">
        <f t="shared" si="50"/>
        <v>CSD17578Q5A, SON5x6, 0.048W, $0.191</v>
      </c>
    </row>
    <row r="77" spans="1:42" ht="30" x14ac:dyDescent="0.25">
      <c r="A77" s="6" t="str">
        <f>IF(CH="N",NLogic!B77,"")</f>
        <v>CSD17579Q3A</v>
      </c>
      <c r="B77" s="23" t="str">
        <f>IF(OR($A77=0,$A77=""),"0",IF(LOOKUP($A77,Load_Switch_NFET[PARTNUMBER],Load_Switch_NFET[RDSON18])="(NULL)","0","1"))</f>
        <v>0</v>
      </c>
      <c r="C77" s="8" t="str">
        <f>IF(OR($A77=0,$A77=""),"0",IF(LOOKUP($A77,Load_Switch_NFET[PARTNUMBER],Load_Switch_NFET[RDSON25])="(NULL)","0","1"))</f>
        <v>0</v>
      </c>
      <c r="D77" s="9" t="str">
        <f>IF(OR($A77=0,$A77=""),"0",IF(LOOKUP($A77,Load_Switch_NFET[PARTNUMBER],Load_Switch_NFET[RDSON3])="(NULL)","0","1"))</f>
        <v>0</v>
      </c>
      <c r="E77" s="11" t="str">
        <f>IF(OR($A77=0,$A77=""),"0",IF(LOOKUP($A77,Load_Switch_NFET[PARTNUMBER],Load_Switch_NFET[RDSON45])="(NULL)","0","1"))</f>
        <v>1</v>
      </c>
      <c r="F77" s="16" t="str">
        <f>IF(OR($A77=0,$A77=""),"0",IF(LOOKUP($A77,Load_Switch_NFET[PARTNUMBER],Load_Switch_NFET[RDSON6])="(NULL)","0","1"))</f>
        <v>0</v>
      </c>
      <c r="G77" s="3" t="str">
        <f>IF(OR($A77=0,$A77=""),"0",IF(LOOKUP($A77,Load_Switch_NFET[PARTNUMBER],Load_Switch_NFET[RDSON8])="(NULL)","0","1"))</f>
        <v>0</v>
      </c>
      <c r="H77" s="14" t="str">
        <f>IF(OR($A77=0,$A77=""),"0",IF(LOOKUP($A77,Load_Switch_NFET[PARTNUMBER],Load_Switch_NFET[RDSON10])="(NULL)","0","1"))</f>
        <v>1</v>
      </c>
      <c r="I77" s="24" t="b">
        <f t="shared" si="51"/>
        <v>0</v>
      </c>
      <c r="J77" s="7" t="b">
        <f t="shared" si="52"/>
        <v>0</v>
      </c>
      <c r="K77" s="10" t="b">
        <f t="shared" si="53"/>
        <v>0</v>
      </c>
      <c r="L77" s="12" t="b">
        <f t="shared" si="54"/>
        <v>1</v>
      </c>
      <c r="M77" s="17" t="b">
        <f t="shared" si="55"/>
        <v>0</v>
      </c>
      <c r="N77" s="13" t="b">
        <f t="shared" si="56"/>
        <v>0</v>
      </c>
      <c r="O77" s="15" t="b">
        <f t="shared" si="57"/>
        <v>0</v>
      </c>
      <c r="P77" s="18" t="b">
        <f t="shared" si="58"/>
        <v>1</v>
      </c>
      <c r="Q77" s="24" t="b">
        <f t="shared" si="59"/>
        <v>0</v>
      </c>
      <c r="R77" s="7" t="b">
        <f t="shared" si="60"/>
        <v>0</v>
      </c>
      <c r="S77" s="10" t="b">
        <f t="shared" si="40"/>
        <v>0</v>
      </c>
      <c r="T77" s="12" t="b">
        <f t="shared" si="41"/>
        <v>1</v>
      </c>
      <c r="U77" s="17" t="b">
        <f t="shared" si="42"/>
        <v>0</v>
      </c>
      <c r="V77" s="13" t="b">
        <f t="shared" si="43"/>
        <v>0</v>
      </c>
      <c r="W77" s="15" t="b">
        <f t="shared" si="44"/>
        <v>0</v>
      </c>
      <c r="X77" s="6">
        <f>IF(W77,LOOKUP(A77,Load_Switch_NFET[PARTNUMBER],Load_Switch_NFET[RDSON10])*1000,IF(V77,LOOKUP(A77,Load_Switch_NFET[PARTNUMBER],Load_Switch_NFET[RDSON8])*1000,IF(U77,LOOKUP(A77,Load_Switch_NFET[PARTNUMBER],Load_Switch_NFET[RDSON6])*1000,IF(T77,LOOKUP(A77,Load_Switch_NFET[PARTNUMBER],Load_Switch_NFET[RDSON45])*1000,IF(S77,LOOKUP(A77,Load_Switch_NFET[PARTNUMBER],Load_Switch_NFET[RDSON3])*1000,IF(R77,LOOKUP(A77,Load_Switch_NFET[PARTNUMBER],Load_Switch_NFET[RDSON25])*1000,IF(Q77,LOOKUP(A77,Load_Switch_NFET[PARTNUMBER],Load_Switch_NFET[RDSON18])*1000,"")))))))</f>
        <v>14.200000000000001</v>
      </c>
      <c r="Y77" s="19">
        <f>IF(AND(A77&lt;&gt;0,A77&lt;&gt;""),X77*(1+(Tj-25)*(LOOKUP(A77,Load_Switch_NFET[PARTNUMBER],Load_Switch_NFET[RDSDELTA])/((LOOKUP(A77,Load_Switch_NFET[PARTNUMBER],Load_Switch_NFET[TJMAX])-25)))),"")</f>
        <v>18.2896</v>
      </c>
      <c r="Z77" s="6">
        <f>IF(AND(A77&lt;&gt;0,A77&lt;&gt;""),LOOKUP(A77,Load_Switch_NFET[PARTNUMBER],Load_Switch_NFET[VTHMAX]),"")</f>
        <v>1.9</v>
      </c>
      <c r="AA77" s="6">
        <f>IF(AND(A77&lt;&gt;0,A77&lt;&gt;""),LOOKUP(A77,Load_Switch_NFET[PARTNUMBER],Load_Switch_NFET[VTHMIN]),"")</f>
        <v>1.1000000000000001</v>
      </c>
      <c r="AB77" s="6">
        <f t="shared" si="45"/>
        <v>4.5</v>
      </c>
      <c r="AC77" s="6">
        <f>IF(AND(A77&lt;&gt;0,A77&lt;&gt;""),LOOKUP(A77,Load_Switch_NFET[PARTNUMBER],Load_Switch_NFET[RGIMAX]),"")</f>
        <v>3.8</v>
      </c>
      <c r="AD77" s="6">
        <f>IF(AND($A77&lt;&gt;0,$A77&lt;&gt;""),LOOKUP($A77,Load_Switch_NFET[PARTNUMBER],Load_Switch_NFET[QGTYP]),"")</f>
        <v>5.3</v>
      </c>
      <c r="AE77" s="6">
        <f>IF(AND($A77&lt;&gt;0,$A77&lt;&gt;""),LOOKUP($A77,Load_Switch_NFET[PARTNUMBER],Load_Switch_NFET[QGS]),"")</f>
        <v>2.2000000000000002</v>
      </c>
      <c r="AF77" s="6">
        <f>IF(AND($A77&lt;&gt;0,$A77&lt;&gt;""),LOOKUP($A77,Load_Switch_NFET[PARTNUMBER],Load_Switch_NFET[QGD]),"")</f>
        <v>1.2</v>
      </c>
      <c r="AG77" s="6">
        <f>IF(AND($A77&lt;&gt;0,$A77&lt;&gt;""),LOOKUP($A77,Load_Switch_NFET[PARTNUMBER],Load_Switch_NFET[QGTH]),"")</f>
        <v>1.1000000000000001</v>
      </c>
      <c r="AH77" s="6">
        <f>IF(AND($A77&lt;&gt;0,$A77&lt;&gt;""),LOOKUP($A77,Load_Switch_NFET[PARTNUMBER],Load_Switch_NFET[VMILLER]),"")</f>
        <v>2.8</v>
      </c>
      <c r="AI77" s="6">
        <f>IF(AND($A77&lt;&gt;0,$A77&lt;&gt;""),LOOKUP($A77,Load_Switch_NFET[PARTNUMBER],Load_Switch_NFET[COSS_AT_VDSSPEC]),"")</f>
        <v>0.09</v>
      </c>
      <c r="AJ77" s="6">
        <f t="shared" si="46"/>
        <v>2.3000000000000003</v>
      </c>
      <c r="AK77" s="6">
        <f t="shared" si="47"/>
        <v>1.5</v>
      </c>
      <c r="AL77" s="6">
        <f t="shared" si="48"/>
        <v>7.3158399999999998E-2</v>
      </c>
      <c r="AM77" s="49">
        <f t="shared" si="49"/>
        <v>7.2999999999999995E-2</v>
      </c>
      <c r="AN77" s="46">
        <f>IF(AND($A77&lt;&gt;0,$A77&lt;&gt;""),LOOKUP($A77,Load_Switch_NFET[PARTNUMBER],Load_Switch_NFET[1KPRICE]),"")</f>
        <v>0.153</v>
      </c>
      <c r="AO77" s="6" t="str">
        <f>IF(AND($A77&lt;&gt;0,$A77&lt;&gt;""),LOOKUP(A77,Load_Switch_NFET[PARTNUMBER],Load_Switch_NFET[TI_EQ_PACKAGE]),"")</f>
        <v>SON3x3</v>
      </c>
      <c r="AP77" s="6" t="str">
        <f t="shared" si="50"/>
        <v>CSD17579Q3A, SON3x3, 0.073W, $0.153</v>
      </c>
    </row>
    <row r="78" spans="1:42" ht="30" x14ac:dyDescent="0.25">
      <c r="A78" s="6" t="str">
        <f>IF(CH="N",NLogic!B78,"")</f>
        <v>CSD17579Q5A</v>
      </c>
      <c r="B78" s="23" t="str">
        <f>IF(OR($A78=0,$A78=""),"0",IF(LOOKUP($A78,Load_Switch_NFET[PARTNUMBER],Load_Switch_NFET[RDSON18])="(NULL)","0","1"))</f>
        <v>0</v>
      </c>
      <c r="C78" s="8" t="str">
        <f>IF(OR($A78=0,$A78=""),"0",IF(LOOKUP($A78,Load_Switch_NFET[PARTNUMBER],Load_Switch_NFET[RDSON25])="(NULL)","0","1"))</f>
        <v>0</v>
      </c>
      <c r="D78" s="9" t="str">
        <f>IF(OR($A78=0,$A78=""),"0",IF(LOOKUP($A78,Load_Switch_NFET[PARTNUMBER],Load_Switch_NFET[RDSON3])="(NULL)","0","1"))</f>
        <v>0</v>
      </c>
      <c r="E78" s="11" t="str">
        <f>IF(OR($A78=0,$A78=""),"0",IF(LOOKUP($A78,Load_Switch_NFET[PARTNUMBER],Load_Switch_NFET[RDSON45])="(NULL)","0","1"))</f>
        <v>1</v>
      </c>
      <c r="F78" s="16" t="str">
        <f>IF(OR($A78=0,$A78=""),"0",IF(LOOKUP($A78,Load_Switch_NFET[PARTNUMBER],Load_Switch_NFET[RDSON6])="(NULL)","0","1"))</f>
        <v>0</v>
      </c>
      <c r="G78" s="3" t="str">
        <f>IF(OR($A78=0,$A78=""),"0",IF(LOOKUP($A78,Load_Switch_NFET[PARTNUMBER],Load_Switch_NFET[RDSON8])="(NULL)","0","1"))</f>
        <v>0</v>
      </c>
      <c r="H78" s="14" t="str">
        <f>IF(OR($A78=0,$A78=""),"0",IF(LOOKUP($A78,Load_Switch_NFET[PARTNUMBER],Load_Switch_NFET[RDSON10])="(NULL)","0","1"))</f>
        <v>1</v>
      </c>
      <c r="I78" s="24" t="b">
        <f t="shared" si="51"/>
        <v>0</v>
      </c>
      <c r="J78" s="7" t="b">
        <f t="shared" si="52"/>
        <v>0</v>
      </c>
      <c r="K78" s="10" t="b">
        <f t="shared" si="53"/>
        <v>0</v>
      </c>
      <c r="L78" s="12" t="b">
        <f t="shared" si="54"/>
        <v>1</v>
      </c>
      <c r="M78" s="17" t="b">
        <f t="shared" si="55"/>
        <v>0</v>
      </c>
      <c r="N78" s="13" t="b">
        <f t="shared" si="56"/>
        <v>0</v>
      </c>
      <c r="O78" s="15" t="b">
        <f t="shared" si="57"/>
        <v>0</v>
      </c>
      <c r="P78" s="18" t="b">
        <f t="shared" si="58"/>
        <v>1</v>
      </c>
      <c r="Q78" s="24" t="b">
        <f t="shared" si="59"/>
        <v>0</v>
      </c>
      <c r="R78" s="7" t="b">
        <f t="shared" si="60"/>
        <v>0</v>
      </c>
      <c r="S78" s="10" t="b">
        <f t="shared" si="40"/>
        <v>0</v>
      </c>
      <c r="T78" s="12" t="b">
        <f t="shared" si="41"/>
        <v>1</v>
      </c>
      <c r="U78" s="17" t="b">
        <f t="shared" si="42"/>
        <v>0</v>
      </c>
      <c r="V78" s="13" t="b">
        <f t="shared" si="43"/>
        <v>0</v>
      </c>
      <c r="W78" s="15" t="b">
        <f t="shared" si="44"/>
        <v>0</v>
      </c>
      <c r="X78" s="6">
        <f>IF(W78,LOOKUP(A78,Load_Switch_NFET[PARTNUMBER],Load_Switch_NFET[RDSON10])*1000,IF(V78,LOOKUP(A78,Load_Switch_NFET[PARTNUMBER],Load_Switch_NFET[RDSON8])*1000,IF(U78,LOOKUP(A78,Load_Switch_NFET[PARTNUMBER],Load_Switch_NFET[RDSON6])*1000,IF(T78,LOOKUP(A78,Load_Switch_NFET[PARTNUMBER],Load_Switch_NFET[RDSON45])*1000,IF(S78,LOOKUP(A78,Load_Switch_NFET[PARTNUMBER],Load_Switch_NFET[RDSON3])*1000,IF(R78,LOOKUP(A78,Load_Switch_NFET[PARTNUMBER],Load_Switch_NFET[RDSON25])*1000,IF(Q78,LOOKUP(A78,Load_Switch_NFET[PARTNUMBER],Load_Switch_NFET[RDSON18])*1000,"")))))))</f>
        <v>13.299999999999999</v>
      </c>
      <c r="Y78" s="19">
        <f>IF(AND(A78&lt;&gt;0,A78&lt;&gt;""),X78*(1+(Tj-25)*(LOOKUP(A78,Load_Switch_NFET[PARTNUMBER],Load_Switch_NFET[RDSDELTA])/((LOOKUP(A78,Load_Switch_NFET[PARTNUMBER],Load_Switch_NFET[TJMAX])-25)))),"")</f>
        <v>17.29</v>
      </c>
      <c r="Z78" s="6">
        <f>IF(AND(A78&lt;&gt;0,A78&lt;&gt;""),LOOKUP(A78,Load_Switch_NFET[PARTNUMBER],Load_Switch_NFET[VTHMAX]),"")</f>
        <v>2</v>
      </c>
      <c r="AA78" s="6">
        <f>IF(AND(A78&lt;&gt;0,A78&lt;&gt;""),LOOKUP(A78,Load_Switch_NFET[PARTNUMBER],Load_Switch_NFET[VTHMIN]),"")</f>
        <v>1</v>
      </c>
      <c r="AB78" s="6">
        <f t="shared" si="45"/>
        <v>4.5</v>
      </c>
      <c r="AC78" s="6">
        <f>IF(AND(A78&lt;&gt;0,A78&lt;&gt;""),LOOKUP(A78,Load_Switch_NFET[PARTNUMBER],Load_Switch_NFET[RGIMAX]),"")</f>
        <v>3.8</v>
      </c>
      <c r="AD78" s="6">
        <f>IF(AND($A78&lt;&gt;0,$A78&lt;&gt;""),LOOKUP($A78,Load_Switch_NFET[PARTNUMBER],Load_Switch_NFET[QGTYP]),"")</f>
        <v>5.4</v>
      </c>
      <c r="AE78" s="6">
        <f>IF(AND($A78&lt;&gt;0,$A78&lt;&gt;""),LOOKUP($A78,Load_Switch_NFET[PARTNUMBER],Load_Switch_NFET[QGS]),"")</f>
        <v>2.2999999999999998</v>
      </c>
      <c r="AF78" s="6">
        <f>IF(AND($A78&lt;&gt;0,$A78&lt;&gt;""),LOOKUP($A78,Load_Switch_NFET[PARTNUMBER],Load_Switch_NFET[QGD]),"")</f>
        <v>1.2</v>
      </c>
      <c r="AG78" s="6">
        <f>IF(AND($A78&lt;&gt;0,$A78&lt;&gt;""),LOOKUP($A78,Load_Switch_NFET[PARTNUMBER],Load_Switch_NFET[QGTH]),"")</f>
        <v>1.1000000000000001</v>
      </c>
      <c r="AH78" s="6">
        <f>IF(AND($A78&lt;&gt;0,$A78&lt;&gt;""),LOOKUP($A78,Load_Switch_NFET[PARTNUMBER],Load_Switch_NFET[VMILLER]),"")</f>
        <v>2.9</v>
      </c>
      <c r="AI78" s="6">
        <f>IF(AND($A78&lt;&gt;0,$A78&lt;&gt;""),LOOKUP($A78,Load_Switch_NFET[PARTNUMBER],Load_Switch_NFET[COSS_AT_VDSSPEC]),"")</f>
        <v>9.5000000000000001E-2</v>
      </c>
      <c r="AJ78" s="6">
        <f t="shared" si="46"/>
        <v>2.4</v>
      </c>
      <c r="AK78" s="6">
        <f t="shared" si="47"/>
        <v>1.5</v>
      </c>
      <c r="AL78" s="6">
        <f t="shared" si="48"/>
        <v>6.9159999999999999E-2</v>
      </c>
      <c r="AM78" s="49">
        <f t="shared" si="49"/>
        <v>6.9000000000000006E-2</v>
      </c>
      <c r="AN78" s="46">
        <f>IF(AND($A78&lt;&gt;0,$A78&lt;&gt;""),LOOKUP($A78,Load_Switch_NFET[PARTNUMBER],Load_Switch_NFET[1KPRICE]),"")</f>
        <v>0.17199999999999999</v>
      </c>
      <c r="AO78" s="6" t="str">
        <f>IF(AND($A78&lt;&gt;0,$A78&lt;&gt;""),LOOKUP(A78,Load_Switch_NFET[PARTNUMBER],Load_Switch_NFET[TI_EQ_PACKAGE]),"")</f>
        <v>SON5x6</v>
      </c>
      <c r="AP78" s="6" t="str">
        <f t="shared" si="50"/>
        <v>CSD17579Q5A, SON5x6, 0.069W, $0.172</v>
      </c>
    </row>
    <row r="79" spans="1:42" ht="30" x14ac:dyDescent="0.25">
      <c r="A79" s="6" t="str">
        <f>IF(CH="N",NLogic!B79,"")</f>
        <v>CSD17581Q3A</v>
      </c>
      <c r="B79" s="23" t="str">
        <f>IF(OR($A79=0,$A79=""),"0",IF(LOOKUP($A79,Load_Switch_NFET[PARTNUMBER],Load_Switch_NFET[RDSON18])="(NULL)","0","1"))</f>
        <v>0</v>
      </c>
      <c r="C79" s="8" t="str">
        <f>IF(OR($A79=0,$A79=""),"0",IF(LOOKUP($A79,Load_Switch_NFET[PARTNUMBER],Load_Switch_NFET[RDSON25])="(NULL)","0","1"))</f>
        <v>0</v>
      </c>
      <c r="D79" s="9" t="str">
        <f>IF(OR($A79=0,$A79=""),"0",IF(LOOKUP($A79,Load_Switch_NFET[PARTNUMBER],Load_Switch_NFET[RDSON3])="(NULL)","0","1"))</f>
        <v>0</v>
      </c>
      <c r="E79" s="11" t="str">
        <f>IF(OR($A79=0,$A79=""),"0",IF(LOOKUP($A79,Load_Switch_NFET[PARTNUMBER],Load_Switch_NFET[RDSON45])="(NULL)","0","1"))</f>
        <v>1</v>
      </c>
      <c r="F79" s="16" t="str">
        <f>IF(OR($A79=0,$A79=""),"0",IF(LOOKUP($A79,Load_Switch_NFET[PARTNUMBER],Load_Switch_NFET[RDSON6])="(NULL)","0","1"))</f>
        <v>0</v>
      </c>
      <c r="G79" s="3" t="str">
        <f>IF(OR($A79=0,$A79=""),"0",IF(LOOKUP($A79,Load_Switch_NFET[PARTNUMBER],Load_Switch_NFET[RDSON8])="(NULL)","0","1"))</f>
        <v>0</v>
      </c>
      <c r="H79" s="14" t="str">
        <f>IF(OR($A79=0,$A79=""),"0",IF(LOOKUP($A79,Load_Switch_NFET[PARTNUMBER],Load_Switch_NFET[RDSON10])="(NULL)","0","1"))</f>
        <v>1</v>
      </c>
      <c r="I79" s="24" t="b">
        <f t="shared" si="51"/>
        <v>0</v>
      </c>
      <c r="J79" s="7" t="b">
        <f t="shared" si="52"/>
        <v>0</v>
      </c>
      <c r="K79" s="10" t="b">
        <f t="shared" si="53"/>
        <v>0</v>
      </c>
      <c r="L79" s="12" t="b">
        <f t="shared" si="54"/>
        <v>1</v>
      </c>
      <c r="M79" s="17" t="b">
        <f t="shared" si="55"/>
        <v>0</v>
      </c>
      <c r="N79" s="13" t="b">
        <f t="shared" si="56"/>
        <v>0</v>
      </c>
      <c r="O79" s="15" t="b">
        <f t="shared" si="57"/>
        <v>0</v>
      </c>
      <c r="P79" s="18" t="b">
        <f t="shared" si="58"/>
        <v>1</v>
      </c>
      <c r="Q79" s="24" t="b">
        <f t="shared" si="59"/>
        <v>0</v>
      </c>
      <c r="R79" s="7" t="b">
        <f t="shared" si="60"/>
        <v>0</v>
      </c>
      <c r="S79" s="10" t="b">
        <f t="shared" si="40"/>
        <v>0</v>
      </c>
      <c r="T79" s="12" t="b">
        <f t="shared" si="41"/>
        <v>1</v>
      </c>
      <c r="U79" s="17" t="b">
        <f t="shared" si="42"/>
        <v>0</v>
      </c>
      <c r="V79" s="13" t="b">
        <f t="shared" si="43"/>
        <v>0</v>
      </c>
      <c r="W79" s="15" t="b">
        <f t="shared" si="44"/>
        <v>0</v>
      </c>
      <c r="X79" s="6">
        <f>IF(W79,LOOKUP(A79,Load_Switch_NFET[PARTNUMBER],Load_Switch_NFET[RDSON10])*1000,IF(V79,LOOKUP(A79,Load_Switch_NFET[PARTNUMBER],Load_Switch_NFET[RDSON8])*1000,IF(U79,LOOKUP(A79,Load_Switch_NFET[PARTNUMBER],Load_Switch_NFET[RDSON6])*1000,IF(T79,LOOKUP(A79,Load_Switch_NFET[PARTNUMBER],Load_Switch_NFET[RDSON45])*1000,IF(S79,LOOKUP(A79,Load_Switch_NFET[PARTNUMBER],Load_Switch_NFET[RDSON3])*1000,IF(R79,LOOKUP(A79,Load_Switch_NFET[PARTNUMBER],Load_Switch_NFET[RDSON25])*1000,IF(Q79,LOOKUP(A79,Load_Switch_NFET[PARTNUMBER],Load_Switch_NFET[RDSON18])*1000,"")))))))</f>
        <v>4.7</v>
      </c>
      <c r="Y79" s="19">
        <f>IF(AND(A79&lt;&gt;0,A79&lt;&gt;""),X79*(1+(Tj-25)*(LOOKUP(A79,Load_Switch_NFET[PARTNUMBER],Load_Switch_NFET[RDSDELTA])/((LOOKUP(A79,Load_Switch_NFET[PARTNUMBER],Load_Switch_NFET[TJMAX])-25)))),"")</f>
        <v>5.8280000000000003</v>
      </c>
      <c r="Z79" s="6">
        <f>IF(AND(A79&lt;&gt;0,A79&lt;&gt;""),LOOKUP(A79,Load_Switch_NFET[PARTNUMBER],Load_Switch_NFET[VTHMAX]),"")</f>
        <v>1.7</v>
      </c>
      <c r="AA79" s="6">
        <f>IF(AND(A79&lt;&gt;0,A79&lt;&gt;""),LOOKUP(A79,Load_Switch_NFET[PARTNUMBER],Load_Switch_NFET[VTHMIN]),"")</f>
        <v>1</v>
      </c>
      <c r="AB79" s="6">
        <f t="shared" si="45"/>
        <v>4.5</v>
      </c>
      <c r="AC79" s="6">
        <f>IF(AND(A79&lt;&gt;0,A79&lt;&gt;""),LOOKUP(A79,Load_Switch_NFET[PARTNUMBER],Load_Switch_NFET[RGIMAX]),"")</f>
        <v>3.6</v>
      </c>
      <c r="AD79" s="6">
        <f>IF(AND($A79&lt;&gt;0,$A79&lt;&gt;""),LOOKUP($A79,Load_Switch_NFET[PARTNUMBER],Load_Switch_NFET[QGTYP]),"")</f>
        <v>20</v>
      </c>
      <c r="AE79" s="6">
        <f>IF(AND($A79&lt;&gt;0,$A79&lt;&gt;""),LOOKUP($A79,Load_Switch_NFET[PARTNUMBER],Load_Switch_NFET[QGS]),"")</f>
        <v>6.9</v>
      </c>
      <c r="AF79" s="6">
        <f>IF(AND($A79&lt;&gt;0,$A79&lt;&gt;""),LOOKUP($A79,Load_Switch_NFET[PARTNUMBER],Load_Switch_NFET[QGD]),"")</f>
        <v>4</v>
      </c>
      <c r="AG79" s="6">
        <f>IF(AND($A79&lt;&gt;0,$A79&lt;&gt;""),LOOKUP($A79,Load_Switch_NFET[PARTNUMBER],Load_Switch_NFET[QGTH]),"")</f>
        <v>3.6</v>
      </c>
      <c r="AH79" s="6">
        <f>IF(AND($A79&lt;&gt;0,$A79&lt;&gt;""),LOOKUP($A79,Load_Switch_NFET[PARTNUMBER],Load_Switch_NFET[VMILLER]),"")</f>
        <v>2.4</v>
      </c>
      <c r="AI79" s="6">
        <f>IF(AND($A79&lt;&gt;0,$A79&lt;&gt;""),LOOKUP($A79,Load_Switch_NFET[PARTNUMBER],Load_Switch_NFET[COSS_AT_VDSSPEC]),"")</f>
        <v>0.35</v>
      </c>
      <c r="AJ79" s="6">
        <f t="shared" si="46"/>
        <v>7.3000000000000007</v>
      </c>
      <c r="AK79" s="6">
        <f t="shared" si="47"/>
        <v>1.35</v>
      </c>
      <c r="AL79" s="6">
        <f t="shared" si="48"/>
        <v>2.3312000000000003E-2</v>
      </c>
      <c r="AM79" s="49">
        <f t="shared" si="49"/>
        <v>2.3E-2</v>
      </c>
      <c r="AN79" s="46">
        <f>IF(AND($A79&lt;&gt;0,$A79&lt;&gt;""),LOOKUP($A79,Load_Switch_NFET[PARTNUMBER],Load_Switch_NFET[1KPRICE]),"")</f>
        <v>0.23400000000000001</v>
      </c>
      <c r="AO79" s="6" t="str">
        <f>IF(AND($A79&lt;&gt;0,$A79&lt;&gt;""),LOOKUP(A79,Load_Switch_NFET[PARTNUMBER],Load_Switch_NFET[TI_EQ_PACKAGE]),"")</f>
        <v>SON3X3</v>
      </c>
      <c r="AP79" s="6" t="str">
        <f t="shared" si="50"/>
        <v>CSD17581Q3A, SON3X3, 0.023W, $0.234</v>
      </c>
    </row>
    <row r="80" spans="1:42" ht="30" x14ac:dyDescent="0.25">
      <c r="A80" s="6" t="str">
        <f>IF(CH="N",NLogic!B80,"")</f>
        <v>CSD17581Q5A</v>
      </c>
      <c r="B80" s="23" t="str">
        <f>IF(OR($A80=0,$A80=""),"0",IF(LOOKUP($A80,Load_Switch_NFET[PARTNUMBER],Load_Switch_NFET[RDSON18])="(NULL)","0","1"))</f>
        <v>0</v>
      </c>
      <c r="C80" s="8" t="str">
        <f>IF(OR($A80=0,$A80=""),"0",IF(LOOKUP($A80,Load_Switch_NFET[PARTNUMBER],Load_Switch_NFET[RDSON25])="(NULL)","0","1"))</f>
        <v>0</v>
      </c>
      <c r="D80" s="9" t="str">
        <f>IF(OR($A80=0,$A80=""),"0",IF(LOOKUP($A80,Load_Switch_NFET[PARTNUMBER],Load_Switch_NFET[RDSON3])="(NULL)","0","1"))</f>
        <v>0</v>
      </c>
      <c r="E80" s="11" t="str">
        <f>IF(OR($A80=0,$A80=""),"0",IF(LOOKUP($A80,Load_Switch_NFET[PARTNUMBER],Load_Switch_NFET[RDSON45])="(NULL)","0","1"))</f>
        <v>1</v>
      </c>
      <c r="F80" s="16" t="str">
        <f>IF(OR($A80=0,$A80=""),"0",IF(LOOKUP($A80,Load_Switch_NFET[PARTNUMBER],Load_Switch_NFET[RDSON6])="(NULL)","0","1"))</f>
        <v>0</v>
      </c>
      <c r="G80" s="3" t="str">
        <f>IF(OR($A80=0,$A80=""),"0",IF(LOOKUP($A80,Load_Switch_NFET[PARTNUMBER],Load_Switch_NFET[RDSON8])="(NULL)","0","1"))</f>
        <v>0</v>
      </c>
      <c r="H80" s="14" t="str">
        <f>IF(OR($A80=0,$A80=""),"0",IF(LOOKUP($A80,Load_Switch_NFET[PARTNUMBER],Load_Switch_NFET[RDSON10])="(NULL)","0","1"))</f>
        <v>1</v>
      </c>
      <c r="I80" s="24" t="b">
        <f t="shared" si="51"/>
        <v>0</v>
      </c>
      <c r="J80" s="7" t="b">
        <f t="shared" si="52"/>
        <v>0</v>
      </c>
      <c r="K80" s="10" t="b">
        <f t="shared" si="53"/>
        <v>0</v>
      </c>
      <c r="L80" s="12" t="b">
        <f t="shared" si="54"/>
        <v>1</v>
      </c>
      <c r="M80" s="17" t="b">
        <f t="shared" si="55"/>
        <v>0</v>
      </c>
      <c r="N80" s="13" t="b">
        <f t="shared" si="56"/>
        <v>0</v>
      </c>
      <c r="O80" s="15" t="b">
        <f t="shared" si="57"/>
        <v>0</v>
      </c>
      <c r="P80" s="18" t="b">
        <f t="shared" si="58"/>
        <v>1</v>
      </c>
      <c r="Q80" s="24" t="b">
        <f t="shared" si="59"/>
        <v>0</v>
      </c>
      <c r="R80" s="7" t="b">
        <f t="shared" si="60"/>
        <v>0</v>
      </c>
      <c r="S80" s="10" t="b">
        <f t="shared" si="40"/>
        <v>0</v>
      </c>
      <c r="T80" s="12" t="b">
        <f t="shared" si="41"/>
        <v>1</v>
      </c>
      <c r="U80" s="17" t="b">
        <f t="shared" si="42"/>
        <v>0</v>
      </c>
      <c r="V80" s="13" t="b">
        <f t="shared" si="43"/>
        <v>0</v>
      </c>
      <c r="W80" s="15" t="b">
        <f t="shared" si="44"/>
        <v>0</v>
      </c>
      <c r="X80" s="6">
        <f>IF(W80,LOOKUP(A80,Load_Switch_NFET[PARTNUMBER],Load_Switch_NFET[RDSON10])*1000,IF(V80,LOOKUP(A80,Load_Switch_NFET[PARTNUMBER],Load_Switch_NFET[RDSON8])*1000,IF(U80,LOOKUP(A80,Load_Switch_NFET[PARTNUMBER],Load_Switch_NFET[RDSON6])*1000,IF(T80,LOOKUP(A80,Load_Switch_NFET[PARTNUMBER],Load_Switch_NFET[RDSON45])*1000,IF(S80,LOOKUP(A80,Load_Switch_NFET[PARTNUMBER],Load_Switch_NFET[RDSON3])*1000,IF(R80,LOOKUP(A80,Load_Switch_NFET[PARTNUMBER],Load_Switch_NFET[RDSON25])*1000,IF(Q80,LOOKUP(A80,Load_Switch_NFET[PARTNUMBER],Load_Switch_NFET[RDSON18])*1000,"")))))))</f>
        <v>4.2</v>
      </c>
      <c r="Y80" s="19">
        <f>IF(AND(A80&lt;&gt;0,A80&lt;&gt;""),X80*(1+(Tj-25)*(LOOKUP(A80,Load_Switch_NFET[PARTNUMBER],Load_Switch_NFET[RDSDELTA])/((LOOKUP(A80,Load_Switch_NFET[PARTNUMBER],Load_Switch_NFET[TJMAX])-25)))),"")</f>
        <v>5.2080000000000002</v>
      </c>
      <c r="Z80" s="6">
        <f>IF(AND(A80&lt;&gt;0,A80&lt;&gt;""),LOOKUP(A80,Load_Switch_NFET[PARTNUMBER],Load_Switch_NFET[VTHMAX]),"")</f>
        <v>1.7</v>
      </c>
      <c r="AA80" s="6">
        <f>IF(AND(A80&lt;&gt;0,A80&lt;&gt;""),LOOKUP(A80,Load_Switch_NFET[PARTNUMBER],Load_Switch_NFET[VTHMIN]),"")</f>
        <v>1</v>
      </c>
      <c r="AB80" s="6">
        <f t="shared" si="45"/>
        <v>4.5</v>
      </c>
      <c r="AC80" s="6">
        <f>IF(AND(A80&lt;&gt;0,A80&lt;&gt;""),LOOKUP(A80,Load_Switch_NFET[PARTNUMBER],Load_Switch_NFET[RGIMAX]),"")</f>
        <v>3.6</v>
      </c>
      <c r="AD80" s="6">
        <f>IF(AND($A80&lt;&gt;0,$A80&lt;&gt;""),LOOKUP($A80,Load_Switch_NFET[PARTNUMBER],Load_Switch_NFET[QGTYP]),"")</f>
        <v>20</v>
      </c>
      <c r="AE80" s="6">
        <f>IF(AND($A80&lt;&gt;0,$A80&lt;&gt;""),LOOKUP($A80,Load_Switch_NFET[PARTNUMBER],Load_Switch_NFET[QGS]),"")</f>
        <v>6.9</v>
      </c>
      <c r="AF80" s="6">
        <f>IF(AND($A80&lt;&gt;0,$A80&lt;&gt;""),LOOKUP($A80,Load_Switch_NFET[PARTNUMBER],Load_Switch_NFET[QGD]),"")</f>
        <v>4</v>
      </c>
      <c r="AG80" s="6">
        <f>IF(AND($A80&lt;&gt;0,$A80&lt;&gt;""),LOOKUP($A80,Load_Switch_NFET[PARTNUMBER],Load_Switch_NFET[QGTH]),"")</f>
        <v>3.6</v>
      </c>
      <c r="AH80" s="6">
        <f>IF(AND($A80&lt;&gt;0,$A80&lt;&gt;""),LOOKUP($A80,Load_Switch_NFET[PARTNUMBER],Load_Switch_NFET[VMILLER]),"")</f>
        <v>2.4</v>
      </c>
      <c r="AI80" s="6">
        <f>IF(AND($A80&lt;&gt;0,$A80&lt;&gt;""),LOOKUP($A80,Load_Switch_NFET[PARTNUMBER],Load_Switch_NFET[COSS_AT_VDSSPEC]),"")</f>
        <v>0.35</v>
      </c>
      <c r="AJ80" s="6">
        <f t="shared" si="46"/>
        <v>7.3000000000000007</v>
      </c>
      <c r="AK80" s="6">
        <f t="shared" si="47"/>
        <v>1.35</v>
      </c>
      <c r="AL80" s="6">
        <f t="shared" si="48"/>
        <v>2.0832E-2</v>
      </c>
      <c r="AM80" s="49">
        <f t="shared" si="49"/>
        <v>2.1000000000000001E-2</v>
      </c>
      <c r="AN80" s="46">
        <f>IF(AND($A80&lt;&gt;0,$A80&lt;&gt;""),LOOKUP($A80,Load_Switch_NFET[PARTNUMBER],Load_Switch_NFET[1KPRICE]),"")</f>
        <v>0.252</v>
      </c>
      <c r="AO80" s="6" t="str">
        <f>IF(AND($A80&lt;&gt;0,$A80&lt;&gt;""),LOOKUP(A80,Load_Switch_NFET[PARTNUMBER],Load_Switch_NFET[TI_EQ_PACKAGE]),"")</f>
        <v>SON5X6</v>
      </c>
      <c r="AP80" s="6" t="str">
        <f t="shared" si="50"/>
        <v>CSD17581Q5A, SON5X6, 0.021W, $0.252</v>
      </c>
    </row>
    <row r="81" spans="1:42" ht="30" x14ac:dyDescent="0.25">
      <c r="A81" s="6" t="str">
        <f>IF(CH="N",NLogic!B81,"")</f>
        <v>CSD17585F5</v>
      </c>
      <c r="B81" s="23" t="str">
        <f>IF(OR($A81=0,$A81=""),"0",IF(LOOKUP($A81,Load_Switch_NFET[PARTNUMBER],Load_Switch_NFET[RDSON18])="(NULL)","0","1"))</f>
        <v>0</v>
      </c>
      <c r="C81" s="8" t="str">
        <f>IF(OR($A81=0,$A81=""),"0",IF(LOOKUP($A81,Load_Switch_NFET[PARTNUMBER],Load_Switch_NFET[RDSON25])="(NULL)","0","1"))</f>
        <v>0</v>
      </c>
      <c r="D81" s="9" t="str">
        <f>IF(OR($A81=0,$A81=""),"0",IF(LOOKUP($A81,Load_Switch_NFET[PARTNUMBER],Load_Switch_NFET[RDSON3])="(NULL)","0","1"))</f>
        <v>0</v>
      </c>
      <c r="E81" s="11" t="str">
        <f>IF(OR($A81=0,$A81=""),"0",IF(LOOKUP($A81,Load_Switch_NFET[PARTNUMBER],Load_Switch_NFET[RDSON45])="(NULL)","0","1"))</f>
        <v>1</v>
      </c>
      <c r="F81" s="16" t="str">
        <f>IF(OR($A81=0,$A81=""),"0",IF(LOOKUP($A81,Load_Switch_NFET[PARTNUMBER],Load_Switch_NFET[RDSON6])="(NULL)","0","1"))</f>
        <v>0</v>
      </c>
      <c r="G81" s="3" t="str">
        <f>IF(OR($A81=0,$A81=""),"0",IF(LOOKUP($A81,Load_Switch_NFET[PARTNUMBER],Load_Switch_NFET[RDSON8])="(NULL)","0","1"))</f>
        <v>0</v>
      </c>
      <c r="H81" s="14" t="str">
        <f>IF(OR($A81=0,$A81=""),"0",IF(LOOKUP($A81,Load_Switch_NFET[PARTNUMBER],Load_Switch_NFET[RDSON10])="(NULL)","0","1"))</f>
        <v>1</v>
      </c>
      <c r="I81" s="24" t="b">
        <f t="shared" si="51"/>
        <v>0</v>
      </c>
      <c r="J81" s="7" t="b">
        <f t="shared" si="52"/>
        <v>0</v>
      </c>
      <c r="K81" s="10" t="b">
        <f t="shared" si="53"/>
        <v>0</v>
      </c>
      <c r="L81" s="12" t="b">
        <f t="shared" si="54"/>
        <v>1</v>
      </c>
      <c r="M81" s="17" t="b">
        <f t="shared" si="55"/>
        <v>0</v>
      </c>
      <c r="N81" s="13" t="b">
        <f t="shared" si="56"/>
        <v>0</v>
      </c>
      <c r="O81" s="15" t="b">
        <f t="shared" si="57"/>
        <v>0</v>
      </c>
      <c r="P81" s="18" t="b">
        <f t="shared" si="58"/>
        <v>1</v>
      </c>
      <c r="Q81" s="24" t="b">
        <f t="shared" si="59"/>
        <v>0</v>
      </c>
      <c r="R81" s="7" t="b">
        <f t="shared" si="60"/>
        <v>0</v>
      </c>
      <c r="S81" s="10" t="b">
        <f t="shared" si="40"/>
        <v>0</v>
      </c>
      <c r="T81" s="12" t="b">
        <f t="shared" si="41"/>
        <v>1</v>
      </c>
      <c r="U81" s="17" t="b">
        <f t="shared" si="42"/>
        <v>0</v>
      </c>
      <c r="V81" s="13" t="b">
        <f t="shared" si="43"/>
        <v>0</v>
      </c>
      <c r="W81" s="15" t="b">
        <f t="shared" si="44"/>
        <v>0</v>
      </c>
      <c r="X81" s="6">
        <f>IF(W81,LOOKUP(A81,Load_Switch_NFET[PARTNUMBER],Load_Switch_NFET[RDSON10])*1000,IF(V81,LOOKUP(A81,Load_Switch_NFET[PARTNUMBER],Load_Switch_NFET[RDSON8])*1000,IF(U81,LOOKUP(A81,Load_Switch_NFET[PARTNUMBER],Load_Switch_NFET[RDSON6])*1000,IF(T81,LOOKUP(A81,Load_Switch_NFET[PARTNUMBER],Load_Switch_NFET[RDSON45])*1000,IF(S81,LOOKUP(A81,Load_Switch_NFET[PARTNUMBER],Load_Switch_NFET[RDSON3])*1000,IF(R81,LOOKUP(A81,Load_Switch_NFET[PARTNUMBER],Load_Switch_NFET[RDSON25])*1000,IF(Q81,LOOKUP(A81,Load_Switch_NFET[PARTNUMBER],Load_Switch_NFET[RDSON18])*1000,"")))))))</f>
        <v>33</v>
      </c>
      <c r="Y81" s="19">
        <f>IF(AND(A81&lt;&gt;0,A81&lt;&gt;""),X81*(1+(Tj-25)*(LOOKUP(A81,Load_Switch_NFET[PARTNUMBER],Load_Switch_NFET[RDSDELTA])/((LOOKUP(A81,Load_Switch_NFET[PARTNUMBER],Load_Switch_NFET[TJMAX])-25)))),"")</f>
        <v>39.335999999999999</v>
      </c>
      <c r="Z81" s="6">
        <f>IF(AND(A81&lt;&gt;0,A81&lt;&gt;""),LOOKUP(A81,Load_Switch_NFET[PARTNUMBER],Load_Switch_NFET[VTHMAX]),"")</f>
        <v>1.7</v>
      </c>
      <c r="AA81" s="6">
        <f>IF(AND(A81&lt;&gt;0,A81&lt;&gt;""),LOOKUP(A81,Load_Switch_NFET[PARTNUMBER],Load_Switch_NFET[VTHMIN]),"")</f>
        <v>0.9</v>
      </c>
      <c r="AB81" s="6">
        <f t="shared" si="45"/>
        <v>4.5</v>
      </c>
      <c r="AC81" s="6" t="str">
        <f>IF(AND(A81&lt;&gt;0,A81&lt;&gt;""),LOOKUP(A81,Load_Switch_NFET[PARTNUMBER],Load_Switch_NFET[RGIMAX]),"")</f>
        <v>(NULL)</v>
      </c>
      <c r="AD81" s="6">
        <f>IF(AND($A81&lt;&gt;0,$A81&lt;&gt;""),LOOKUP($A81,Load_Switch_NFET[PARTNUMBER],Load_Switch_NFET[QGTYP]),"")</f>
        <v>1.9</v>
      </c>
      <c r="AE81" s="6">
        <f>IF(AND($A81&lt;&gt;0,$A81&lt;&gt;""),LOOKUP($A81,Load_Switch_NFET[PARTNUMBER],Load_Switch_NFET[QGS]),"")</f>
        <v>0.53</v>
      </c>
      <c r="AF81" s="6">
        <f>IF(AND($A81&lt;&gt;0,$A81&lt;&gt;""),LOOKUP($A81,Load_Switch_NFET[PARTNUMBER],Load_Switch_NFET[QGD]),"")</f>
        <v>0.39</v>
      </c>
      <c r="AG81" s="6">
        <f>IF(AND($A81&lt;&gt;0,$A81&lt;&gt;""),LOOKUP($A81,Load_Switch_NFET[PARTNUMBER],Load_Switch_NFET[QGTH]),"")</f>
        <v>0.42</v>
      </c>
      <c r="AH81" s="6" t="str">
        <f>IF(AND($A81&lt;&gt;0,$A81&lt;&gt;""),LOOKUP($A81,Load_Switch_NFET[PARTNUMBER],Load_Switch_NFET[VMILLER]),"")</f>
        <v>(NULL)</v>
      </c>
      <c r="AI81" s="6">
        <f>IF(AND($A81&lt;&gt;0,$A81&lt;&gt;""),LOOKUP($A81,Load_Switch_NFET[PARTNUMBER],Load_Switch_NFET[COSS_AT_VDSSPEC]),"")</f>
        <v>0.16600000000000001</v>
      </c>
      <c r="AJ81" s="6">
        <f t="shared" si="46"/>
        <v>0.5</v>
      </c>
      <c r="AK81" s="6">
        <f t="shared" si="47"/>
        <v>1.3</v>
      </c>
      <c r="AL81" s="6">
        <f t="shared" si="48"/>
        <v>0.15734399999999998</v>
      </c>
      <c r="AM81" s="49">
        <f t="shared" si="49"/>
        <v>0.157</v>
      </c>
      <c r="AN81" s="46">
        <f>IF(AND($A81&lt;&gt;0,$A81&lt;&gt;""),LOOKUP($A81,Load_Switch_NFET[PARTNUMBER],Load_Switch_NFET[1KPRICE]),"")</f>
        <v>0.08</v>
      </c>
      <c r="AO81" s="6" t="str">
        <f>IF(AND($A81&lt;&gt;0,$A81&lt;&gt;""),LOOKUP(A81,Load_Switch_NFET[PARTNUMBER],Load_Switch_NFET[TI_EQ_PACKAGE]),"")</f>
        <v>LGA1.5X0.8</v>
      </c>
      <c r="AP81" s="6" t="str">
        <f t="shared" si="50"/>
        <v>CSD17585F5, LGA1.5X0.8, 0.157W, $0.08</v>
      </c>
    </row>
    <row r="82" spans="1:42" x14ac:dyDescent="0.25">
      <c r="A82" s="6">
        <f>IF(CH="N",NLogic!B82,"")</f>
        <v>0</v>
      </c>
      <c r="B82" s="23" t="str">
        <f>IF(OR($A82=0,$A82=""),"0",IF(LOOKUP($A82,Load_Switch_NFET[PARTNUMBER],Load_Switch_NFET[RDSON18])="(NULL)","0","1"))</f>
        <v>0</v>
      </c>
      <c r="C82" s="8" t="str">
        <f>IF(OR($A82=0,$A82=""),"0",IF(LOOKUP($A82,Load_Switch_NFET[PARTNUMBER],Load_Switch_NFET[RDSON25])="(NULL)","0","1"))</f>
        <v>0</v>
      </c>
      <c r="D82" s="9" t="str">
        <f>IF(OR($A82=0,$A82=""),"0",IF(LOOKUP($A82,Load_Switch_NFET[PARTNUMBER],Load_Switch_NFET[RDSON3])="(NULL)","0","1"))</f>
        <v>0</v>
      </c>
      <c r="E82" s="11" t="str">
        <f>IF(OR($A82=0,$A82=""),"0",IF(LOOKUP($A82,Load_Switch_NFET[PARTNUMBER],Load_Switch_NFET[RDSON45])="(NULL)","0","1"))</f>
        <v>0</v>
      </c>
      <c r="F82" s="16" t="str">
        <f>IF(OR($A82=0,$A82=""),"0",IF(LOOKUP($A82,Load_Switch_NFET[PARTNUMBER],Load_Switch_NFET[RDSON6])="(NULL)","0","1"))</f>
        <v>0</v>
      </c>
      <c r="G82" s="3" t="str">
        <f>IF(OR($A82=0,$A82=""),"0",IF(LOOKUP($A82,Load_Switch_NFET[PARTNUMBER],Load_Switch_NFET[RDSON8])="(NULL)","0","1"))</f>
        <v>0</v>
      </c>
      <c r="H82" s="14" t="str">
        <f>IF(OR($A82=0,$A82=""),"0",IF(LOOKUP($A82,Load_Switch_NFET[PARTNUMBER],Load_Switch_NFET[RDSON10])="(NULL)","0","1"))</f>
        <v>0</v>
      </c>
      <c r="I82" s="24" t="b">
        <f t="shared" si="51"/>
        <v>0</v>
      </c>
      <c r="J82" s="7" t="b">
        <f t="shared" si="52"/>
        <v>0</v>
      </c>
      <c r="K82" s="10" t="b">
        <f t="shared" si="53"/>
        <v>0</v>
      </c>
      <c r="L82" s="12" t="b">
        <f t="shared" si="54"/>
        <v>0</v>
      </c>
      <c r="M82" s="17" t="b">
        <f t="shared" si="55"/>
        <v>0</v>
      </c>
      <c r="N82" s="13" t="b">
        <f t="shared" si="56"/>
        <v>0</v>
      </c>
      <c r="O82" s="15" t="b">
        <f t="shared" si="57"/>
        <v>0</v>
      </c>
      <c r="P82" s="18" t="b">
        <f t="shared" si="58"/>
        <v>0</v>
      </c>
      <c r="Q82" s="24" t="b">
        <f t="shared" si="59"/>
        <v>0</v>
      </c>
      <c r="R82" s="7" t="b">
        <f t="shared" si="60"/>
        <v>0</v>
      </c>
      <c r="S82" s="10" t="b">
        <f t="shared" si="40"/>
        <v>0</v>
      </c>
      <c r="T82" s="12" t="b">
        <f t="shared" si="41"/>
        <v>0</v>
      </c>
      <c r="U82" s="17" t="b">
        <f t="shared" si="42"/>
        <v>0</v>
      </c>
      <c r="V82" s="13" t="b">
        <f t="shared" si="43"/>
        <v>0</v>
      </c>
      <c r="W82" s="15" t="b">
        <f t="shared" si="44"/>
        <v>0</v>
      </c>
      <c r="X82" s="6" t="str">
        <f>IF(W82,LOOKUP(A82,Load_Switch_NFET[PARTNUMBER],Load_Switch_NFET[RDSON10])*1000,IF(V82,LOOKUP(A82,Load_Switch_NFET[PARTNUMBER],Load_Switch_NFET[RDSON8])*1000,IF(U82,LOOKUP(A82,Load_Switch_NFET[PARTNUMBER],Load_Switch_NFET[RDSON6])*1000,IF(T82,LOOKUP(A82,Load_Switch_NFET[PARTNUMBER],Load_Switch_NFET[RDSON45])*1000,IF(S82,LOOKUP(A82,Load_Switch_NFET[PARTNUMBER],Load_Switch_NFET[RDSON3])*1000,IF(R82,LOOKUP(A82,Load_Switch_NFET[PARTNUMBER],Load_Switch_NFET[RDSON25])*1000,IF(Q82,LOOKUP(A82,Load_Switch_NFET[PARTNUMBER],Load_Switch_NFET[RDSON18])*1000,"")))))))</f>
        <v/>
      </c>
      <c r="Y82" s="19" t="str">
        <f>IF(AND(A82&lt;&gt;0,A82&lt;&gt;""),X82*(1+(Tj-25)*(LOOKUP(A82,Load_Switch_NFET[PARTNUMBER],Load_Switch_NFET[RDSDELTA])/((LOOKUP(A82,Load_Switch_NFET[PARTNUMBER],Load_Switch_NFET[TJMAX])-25)))),"")</f>
        <v/>
      </c>
      <c r="Z82" s="6" t="str">
        <f>IF(AND(A82&lt;&gt;0,A82&lt;&gt;""),LOOKUP(A82,Load_Switch_NFET[PARTNUMBER],Load_Switch_NFET[VTHMAX]),"")</f>
        <v/>
      </c>
      <c r="AA82" s="6" t="str">
        <f>IF(AND(A82&lt;&gt;0,A82&lt;&gt;""),LOOKUP(A82,Load_Switch_NFET[PARTNUMBER],Load_Switch_NFET[VTHMIN]),"")</f>
        <v/>
      </c>
      <c r="AB82" s="6" t="str">
        <f t="shared" si="45"/>
        <v>#N/A</v>
      </c>
      <c r="AC82" s="6" t="str">
        <f>IF(AND(A82&lt;&gt;0,A82&lt;&gt;""),LOOKUP(A82,Load_Switch_NFET[PARTNUMBER],Load_Switch_NFET[RGIMAX]),"")</f>
        <v/>
      </c>
      <c r="AD82" s="6" t="str">
        <f>IF(AND($A82&lt;&gt;0,$A82&lt;&gt;""),LOOKUP($A82,Load_Switch_NFET[PARTNUMBER],Load_Switch_NFET[QGTYP]),"")</f>
        <v/>
      </c>
      <c r="AE82" s="6" t="str">
        <f>IF(AND($A82&lt;&gt;0,$A82&lt;&gt;""),LOOKUP($A82,Load_Switch_NFET[PARTNUMBER],Load_Switch_NFET[QGS]),"")</f>
        <v/>
      </c>
      <c r="AF82" s="6" t="str">
        <f>IF(AND($A82&lt;&gt;0,$A82&lt;&gt;""),LOOKUP($A82,Load_Switch_NFET[PARTNUMBER],Load_Switch_NFET[QGD]),"")</f>
        <v/>
      </c>
      <c r="AG82" s="6" t="str">
        <f>IF(AND($A82&lt;&gt;0,$A82&lt;&gt;""),LOOKUP($A82,Load_Switch_NFET[PARTNUMBER],Load_Switch_NFET[QGTH]),"")</f>
        <v/>
      </c>
      <c r="AH82" s="6" t="str">
        <f>IF(AND($A82&lt;&gt;0,$A82&lt;&gt;""),LOOKUP($A82,Load_Switch_NFET[PARTNUMBER],Load_Switch_NFET[VMILLER]),"")</f>
        <v/>
      </c>
      <c r="AI82" s="6" t="str">
        <f>IF(AND($A82&lt;&gt;0,$A82&lt;&gt;""),LOOKUP($A82,Load_Switch_NFET[PARTNUMBER],Load_Switch_NFET[COSS_AT_VDSSPEC]),"")</f>
        <v/>
      </c>
      <c r="AJ82" s="6" t="str">
        <f t="shared" si="46"/>
        <v/>
      </c>
      <c r="AK82" s="6" t="str">
        <f t="shared" si="47"/>
        <v/>
      </c>
      <c r="AL82" s="6" t="str">
        <f t="shared" si="48"/>
        <v/>
      </c>
      <c r="AM82" s="49" t="str">
        <f t="shared" si="49"/>
        <v/>
      </c>
      <c r="AN82" s="46" t="str">
        <f>IF(AND($A82&lt;&gt;0,$A82&lt;&gt;""),LOOKUP($A82,Load_Switch_NFET[PARTNUMBER],Load_Switch_NFET[1KPRICE]),"")</f>
        <v/>
      </c>
      <c r="AO82" s="6" t="str">
        <f>IF(AND($A82&lt;&gt;0,$A82&lt;&gt;""),LOOKUP(A82,Load_Switch_NFET[PARTNUMBER],Load_Switch_NFET[TI_EQ_PACKAGE]),"")</f>
        <v/>
      </c>
      <c r="AP82" s="6" t="str">
        <f t="shared" si="50"/>
        <v>Invalid Part</v>
      </c>
    </row>
    <row r="83" spans="1:42" x14ac:dyDescent="0.25">
      <c r="A83" s="6">
        <f>IF(CH="N",NLogic!B83,"")</f>
        <v>0</v>
      </c>
      <c r="B83" s="23" t="str">
        <f>IF(OR($A83=0,$A83=""),"0",IF(LOOKUP($A83,Load_Switch_NFET[PARTNUMBER],Load_Switch_NFET[RDSON18])="(NULL)","0","1"))</f>
        <v>0</v>
      </c>
      <c r="C83" s="8" t="str">
        <f>IF(OR($A83=0,$A83=""),"0",IF(LOOKUP($A83,Load_Switch_NFET[PARTNUMBER],Load_Switch_NFET[RDSON25])="(NULL)","0","1"))</f>
        <v>0</v>
      </c>
      <c r="D83" s="9" t="str">
        <f>IF(OR($A83=0,$A83=""),"0",IF(LOOKUP($A83,Load_Switch_NFET[PARTNUMBER],Load_Switch_NFET[RDSON3])="(NULL)","0","1"))</f>
        <v>0</v>
      </c>
      <c r="E83" s="11" t="str">
        <f>IF(OR($A83=0,$A83=""),"0",IF(LOOKUP($A83,Load_Switch_NFET[PARTNUMBER],Load_Switch_NFET[RDSON45])="(NULL)","0","1"))</f>
        <v>0</v>
      </c>
      <c r="F83" s="16" t="str">
        <f>IF(OR($A83=0,$A83=""),"0",IF(LOOKUP($A83,Load_Switch_NFET[PARTNUMBER],Load_Switch_NFET[RDSON6])="(NULL)","0","1"))</f>
        <v>0</v>
      </c>
      <c r="G83" s="3" t="str">
        <f>IF(OR($A83=0,$A83=""),"0",IF(LOOKUP($A83,Load_Switch_NFET[PARTNUMBER],Load_Switch_NFET[RDSON8])="(NULL)","0","1"))</f>
        <v>0</v>
      </c>
      <c r="H83" s="14" t="str">
        <f>IF(OR($A83=0,$A83=""),"0",IF(LOOKUP($A83,Load_Switch_NFET[PARTNUMBER],Load_Switch_NFET[RDSON10])="(NULL)","0","1"))</f>
        <v>0</v>
      </c>
      <c r="I83" s="24" t="b">
        <f t="shared" si="51"/>
        <v>0</v>
      </c>
      <c r="J83" s="7" t="b">
        <f t="shared" si="52"/>
        <v>0</v>
      </c>
      <c r="K83" s="10" t="b">
        <f t="shared" si="53"/>
        <v>0</v>
      </c>
      <c r="L83" s="12" t="b">
        <f t="shared" si="54"/>
        <v>0</v>
      </c>
      <c r="M83" s="17" t="b">
        <f t="shared" si="55"/>
        <v>0</v>
      </c>
      <c r="N83" s="13" t="b">
        <f t="shared" si="56"/>
        <v>0</v>
      </c>
      <c r="O83" s="15" t="b">
        <f t="shared" si="57"/>
        <v>0</v>
      </c>
      <c r="P83" s="18" t="b">
        <f t="shared" si="58"/>
        <v>0</v>
      </c>
      <c r="Q83" s="24" t="b">
        <f t="shared" si="59"/>
        <v>0</v>
      </c>
      <c r="R83" s="7" t="b">
        <f t="shared" si="60"/>
        <v>0</v>
      </c>
      <c r="S83" s="10" t="b">
        <f t="shared" si="40"/>
        <v>0</v>
      </c>
      <c r="T83" s="12" t="b">
        <f t="shared" si="41"/>
        <v>0</v>
      </c>
      <c r="U83" s="17" t="b">
        <f t="shared" si="42"/>
        <v>0</v>
      </c>
      <c r="V83" s="13" t="b">
        <f t="shared" si="43"/>
        <v>0</v>
      </c>
      <c r="W83" s="15" t="b">
        <f t="shared" si="44"/>
        <v>0</v>
      </c>
      <c r="X83" s="6" t="str">
        <f>IF(W83,LOOKUP(A83,Load_Switch_NFET[PARTNUMBER],Load_Switch_NFET[RDSON10])*1000,IF(V83,LOOKUP(A83,Load_Switch_NFET[PARTNUMBER],Load_Switch_NFET[RDSON8])*1000,IF(U83,LOOKUP(A83,Load_Switch_NFET[PARTNUMBER],Load_Switch_NFET[RDSON6])*1000,IF(T83,LOOKUP(A83,Load_Switch_NFET[PARTNUMBER],Load_Switch_NFET[RDSON45])*1000,IF(S83,LOOKUP(A83,Load_Switch_NFET[PARTNUMBER],Load_Switch_NFET[RDSON3])*1000,IF(R83,LOOKUP(A83,Load_Switch_NFET[PARTNUMBER],Load_Switch_NFET[RDSON25])*1000,IF(Q83,LOOKUP(A83,Load_Switch_NFET[PARTNUMBER],Load_Switch_NFET[RDSON18])*1000,"")))))))</f>
        <v/>
      </c>
      <c r="Y83" s="19" t="str">
        <f>IF(AND(A83&lt;&gt;0,A83&lt;&gt;""),X83*(1+(Tj-25)*(LOOKUP(A83,Load_Switch_NFET[PARTNUMBER],Load_Switch_NFET[RDSDELTA])/((LOOKUP(A83,Load_Switch_NFET[PARTNUMBER],Load_Switch_NFET[TJMAX])-25)))),"")</f>
        <v/>
      </c>
      <c r="Z83" s="6" t="str">
        <f>IF(AND(A83&lt;&gt;0,A83&lt;&gt;""),LOOKUP(A83,Load_Switch_NFET[PARTNUMBER],Load_Switch_NFET[VTHMAX]),"")</f>
        <v/>
      </c>
      <c r="AA83" s="6" t="str">
        <f>IF(AND(A83&lt;&gt;0,A83&lt;&gt;""),LOOKUP(A83,Load_Switch_NFET[PARTNUMBER],Load_Switch_NFET[VTHMIN]),"")</f>
        <v/>
      </c>
      <c r="AB83" s="6" t="str">
        <f t="shared" si="45"/>
        <v>#N/A</v>
      </c>
      <c r="AC83" s="6" t="str">
        <f>IF(AND(A83&lt;&gt;0,A83&lt;&gt;""),LOOKUP(A83,Load_Switch_NFET[PARTNUMBER],Load_Switch_NFET[RGIMAX]),"")</f>
        <v/>
      </c>
      <c r="AD83" s="6" t="str">
        <f>IF(AND($A83&lt;&gt;0,$A83&lt;&gt;""),LOOKUP($A83,Load_Switch_NFET[PARTNUMBER],Load_Switch_NFET[QGTYP]),"")</f>
        <v/>
      </c>
      <c r="AE83" s="6" t="str">
        <f>IF(AND($A83&lt;&gt;0,$A83&lt;&gt;""),LOOKUP($A83,Load_Switch_NFET[PARTNUMBER],Load_Switch_NFET[QGS]),"")</f>
        <v/>
      </c>
      <c r="AF83" s="6" t="str">
        <f>IF(AND($A83&lt;&gt;0,$A83&lt;&gt;""),LOOKUP($A83,Load_Switch_NFET[PARTNUMBER],Load_Switch_NFET[QGD]),"")</f>
        <v/>
      </c>
      <c r="AG83" s="6" t="str">
        <f>IF(AND($A83&lt;&gt;0,$A83&lt;&gt;""),LOOKUP($A83,Load_Switch_NFET[PARTNUMBER],Load_Switch_NFET[QGTH]),"")</f>
        <v/>
      </c>
      <c r="AH83" s="6" t="str">
        <f>IF(AND($A83&lt;&gt;0,$A83&lt;&gt;""),LOOKUP($A83,Load_Switch_NFET[PARTNUMBER],Load_Switch_NFET[VMILLER]),"")</f>
        <v/>
      </c>
      <c r="AI83" s="6" t="str">
        <f>IF(AND($A83&lt;&gt;0,$A83&lt;&gt;""),LOOKUP($A83,Load_Switch_NFET[PARTNUMBER],Load_Switch_NFET[COSS_AT_VDSSPEC]),"")</f>
        <v/>
      </c>
      <c r="AJ83" s="6" t="str">
        <f t="shared" si="46"/>
        <v/>
      </c>
      <c r="AK83" s="6" t="str">
        <f t="shared" si="47"/>
        <v/>
      </c>
      <c r="AL83" s="6" t="str">
        <f t="shared" si="48"/>
        <v/>
      </c>
      <c r="AM83" s="49" t="str">
        <f t="shared" si="49"/>
        <v/>
      </c>
      <c r="AN83" s="46" t="str">
        <f>IF(AND($A83&lt;&gt;0,$A83&lt;&gt;""),LOOKUP($A83,Load_Switch_NFET[PARTNUMBER],Load_Switch_NFET[1KPRICE]),"")</f>
        <v/>
      </c>
      <c r="AO83" s="6" t="str">
        <f>IF(AND($A83&lt;&gt;0,$A83&lt;&gt;""),LOOKUP(A83,Load_Switch_NFET[PARTNUMBER],Load_Switch_NFET[TI_EQ_PACKAGE]),"")</f>
        <v/>
      </c>
      <c r="AP83" s="6" t="str">
        <f t="shared" si="50"/>
        <v>Invalid Part</v>
      </c>
    </row>
    <row r="84" spans="1:42" x14ac:dyDescent="0.25">
      <c r="A84" s="6">
        <f>IF(CH="N",NLogic!B84,"")</f>
        <v>0</v>
      </c>
      <c r="B84" s="23" t="str">
        <f>IF(OR($A84=0,$A84=""),"0",IF(LOOKUP($A84,Load_Switch_NFET[PARTNUMBER],Load_Switch_NFET[RDSON18])="(NULL)","0","1"))</f>
        <v>0</v>
      </c>
      <c r="C84" s="8" t="str">
        <f>IF(OR($A84=0,$A84=""),"0",IF(LOOKUP($A84,Load_Switch_NFET[PARTNUMBER],Load_Switch_NFET[RDSON25])="(NULL)","0","1"))</f>
        <v>0</v>
      </c>
      <c r="D84" s="9" t="str">
        <f>IF(OR($A84=0,$A84=""),"0",IF(LOOKUP($A84,Load_Switch_NFET[PARTNUMBER],Load_Switch_NFET[RDSON3])="(NULL)","0","1"))</f>
        <v>0</v>
      </c>
      <c r="E84" s="11" t="str">
        <f>IF(OR($A84=0,$A84=""),"0",IF(LOOKUP($A84,Load_Switch_NFET[PARTNUMBER],Load_Switch_NFET[RDSON45])="(NULL)","0","1"))</f>
        <v>0</v>
      </c>
      <c r="F84" s="16" t="str">
        <f>IF(OR($A84=0,$A84=""),"0",IF(LOOKUP($A84,Load_Switch_NFET[PARTNUMBER],Load_Switch_NFET[RDSON6])="(NULL)","0","1"))</f>
        <v>0</v>
      </c>
      <c r="G84" s="3" t="str">
        <f>IF(OR($A84=0,$A84=""),"0",IF(LOOKUP($A84,Load_Switch_NFET[PARTNUMBER],Load_Switch_NFET[RDSON8])="(NULL)","0","1"))</f>
        <v>0</v>
      </c>
      <c r="H84" s="14" t="str">
        <f>IF(OR($A84=0,$A84=""),"0",IF(LOOKUP($A84,Load_Switch_NFET[PARTNUMBER],Load_Switch_NFET[RDSON10])="(NULL)","0","1"))</f>
        <v>0</v>
      </c>
      <c r="I84" s="24" t="b">
        <f t="shared" si="51"/>
        <v>0</v>
      </c>
      <c r="J84" s="7" t="b">
        <f t="shared" si="52"/>
        <v>0</v>
      </c>
      <c r="K84" s="10" t="b">
        <f t="shared" si="53"/>
        <v>0</v>
      </c>
      <c r="L84" s="12" t="b">
        <f t="shared" si="54"/>
        <v>0</v>
      </c>
      <c r="M84" s="17" t="b">
        <f t="shared" si="55"/>
        <v>0</v>
      </c>
      <c r="N84" s="13" t="b">
        <f t="shared" si="56"/>
        <v>0</v>
      </c>
      <c r="O84" s="15" t="b">
        <f t="shared" si="57"/>
        <v>0</v>
      </c>
      <c r="P84" s="18" t="b">
        <f t="shared" si="58"/>
        <v>0</v>
      </c>
      <c r="Q84" s="24" t="b">
        <f t="shared" si="59"/>
        <v>0</v>
      </c>
      <c r="R84" s="7" t="b">
        <f t="shared" si="60"/>
        <v>0</v>
      </c>
      <c r="S84" s="10" t="b">
        <f t="shared" si="40"/>
        <v>0</v>
      </c>
      <c r="T84" s="12" t="b">
        <f t="shared" si="41"/>
        <v>0</v>
      </c>
      <c r="U84" s="17" t="b">
        <f t="shared" si="42"/>
        <v>0</v>
      </c>
      <c r="V84" s="13" t="b">
        <f t="shared" si="43"/>
        <v>0</v>
      </c>
      <c r="W84" s="15" t="b">
        <f t="shared" si="44"/>
        <v>0</v>
      </c>
      <c r="X84" s="6" t="str">
        <f>IF(W84,LOOKUP(A84,Load_Switch_NFET[PARTNUMBER],Load_Switch_NFET[RDSON10])*1000,IF(V84,LOOKUP(A84,Load_Switch_NFET[PARTNUMBER],Load_Switch_NFET[RDSON8])*1000,IF(U84,LOOKUP(A84,Load_Switch_NFET[PARTNUMBER],Load_Switch_NFET[RDSON6])*1000,IF(T84,LOOKUP(A84,Load_Switch_NFET[PARTNUMBER],Load_Switch_NFET[RDSON45])*1000,IF(S84,LOOKUP(A84,Load_Switch_NFET[PARTNUMBER],Load_Switch_NFET[RDSON3])*1000,IF(R84,LOOKUP(A84,Load_Switch_NFET[PARTNUMBER],Load_Switch_NFET[RDSON25])*1000,IF(Q84,LOOKUP(A84,Load_Switch_NFET[PARTNUMBER],Load_Switch_NFET[RDSON18])*1000,"")))))))</f>
        <v/>
      </c>
      <c r="Y84" s="19" t="str">
        <f>IF(AND(A84&lt;&gt;0,A84&lt;&gt;""),X84*(1+(Tj-25)*(LOOKUP(A84,Load_Switch_NFET[PARTNUMBER],Load_Switch_NFET[RDSDELTA])/((LOOKUP(A84,Load_Switch_NFET[PARTNUMBER],Load_Switch_NFET[TJMAX])-25)))),"")</f>
        <v/>
      </c>
      <c r="Z84" s="6" t="str">
        <f>IF(AND(A84&lt;&gt;0,A84&lt;&gt;""),LOOKUP(A84,Load_Switch_NFET[PARTNUMBER],Load_Switch_NFET[VTHMAX]),"")</f>
        <v/>
      </c>
      <c r="AA84" s="6" t="str">
        <f>IF(AND(A84&lt;&gt;0,A84&lt;&gt;""),LOOKUP(A84,Load_Switch_NFET[PARTNUMBER],Load_Switch_NFET[VTHMIN]),"")</f>
        <v/>
      </c>
      <c r="AB84" s="6" t="str">
        <f t="shared" si="45"/>
        <v>#N/A</v>
      </c>
      <c r="AC84" s="6" t="str">
        <f>IF(AND(A84&lt;&gt;0,A84&lt;&gt;""),LOOKUP(A84,Load_Switch_NFET[PARTNUMBER],Load_Switch_NFET[RGIMAX]),"")</f>
        <v/>
      </c>
      <c r="AD84" s="6" t="str">
        <f>IF(AND($A84&lt;&gt;0,$A84&lt;&gt;""),LOOKUP($A84,Load_Switch_NFET[PARTNUMBER],Load_Switch_NFET[QGTYP]),"")</f>
        <v/>
      </c>
      <c r="AE84" s="6" t="str">
        <f>IF(AND($A84&lt;&gt;0,$A84&lt;&gt;""),LOOKUP($A84,Load_Switch_NFET[PARTNUMBER],Load_Switch_NFET[QGS]),"")</f>
        <v/>
      </c>
      <c r="AF84" s="6" t="str">
        <f>IF(AND($A84&lt;&gt;0,$A84&lt;&gt;""),LOOKUP($A84,Load_Switch_NFET[PARTNUMBER],Load_Switch_NFET[QGD]),"")</f>
        <v/>
      </c>
      <c r="AG84" s="6" t="str">
        <f>IF(AND($A84&lt;&gt;0,$A84&lt;&gt;""),LOOKUP($A84,Load_Switch_NFET[PARTNUMBER],Load_Switch_NFET[QGTH]),"")</f>
        <v/>
      </c>
      <c r="AH84" s="6" t="str">
        <f>IF(AND($A84&lt;&gt;0,$A84&lt;&gt;""),LOOKUP($A84,Load_Switch_NFET[PARTNUMBER],Load_Switch_NFET[VMILLER]),"")</f>
        <v/>
      </c>
      <c r="AI84" s="6" t="str">
        <f>IF(AND($A84&lt;&gt;0,$A84&lt;&gt;""),LOOKUP($A84,Load_Switch_NFET[PARTNUMBER],Load_Switch_NFET[COSS_AT_VDSSPEC]),"")</f>
        <v/>
      </c>
      <c r="AJ84" s="6" t="str">
        <f t="shared" si="46"/>
        <v/>
      </c>
      <c r="AK84" s="6" t="str">
        <f t="shared" si="47"/>
        <v/>
      </c>
      <c r="AL84" s="6" t="str">
        <f t="shared" si="48"/>
        <v/>
      </c>
      <c r="AM84" s="49" t="str">
        <f t="shared" si="49"/>
        <v/>
      </c>
      <c r="AN84" s="46" t="str">
        <f>IF(AND($A84&lt;&gt;0,$A84&lt;&gt;""),LOOKUP($A84,Load_Switch_NFET[PARTNUMBER],Load_Switch_NFET[1KPRICE]),"")</f>
        <v/>
      </c>
      <c r="AO84" s="6" t="str">
        <f>IF(AND($A84&lt;&gt;0,$A84&lt;&gt;""),LOOKUP(A84,Load_Switch_NFET[PARTNUMBER],Load_Switch_NFET[TI_EQ_PACKAGE]),"")</f>
        <v/>
      </c>
      <c r="AP84" s="6" t="str">
        <f t="shared" si="50"/>
        <v>Invalid Part</v>
      </c>
    </row>
    <row r="85" spans="1:42" x14ac:dyDescent="0.25">
      <c r="A85" s="6">
        <f>IF(CH="N",NLogic!B85,"")</f>
        <v>0</v>
      </c>
      <c r="B85" s="23" t="str">
        <f>IF(OR($A85=0,$A85=""),"0",IF(LOOKUP($A85,Load_Switch_NFET[PARTNUMBER],Load_Switch_NFET[RDSON18])="(NULL)","0","1"))</f>
        <v>0</v>
      </c>
      <c r="C85" s="8" t="str">
        <f>IF(OR($A85=0,$A85=""),"0",IF(LOOKUP($A85,Load_Switch_NFET[PARTNUMBER],Load_Switch_NFET[RDSON25])="(NULL)","0","1"))</f>
        <v>0</v>
      </c>
      <c r="D85" s="9" t="str">
        <f>IF(OR($A85=0,$A85=""),"0",IF(LOOKUP($A85,Load_Switch_NFET[PARTNUMBER],Load_Switch_NFET[RDSON3])="(NULL)","0","1"))</f>
        <v>0</v>
      </c>
      <c r="E85" s="11" t="str">
        <f>IF(OR($A85=0,$A85=""),"0",IF(LOOKUP($A85,Load_Switch_NFET[PARTNUMBER],Load_Switch_NFET[RDSON45])="(NULL)","0","1"))</f>
        <v>0</v>
      </c>
      <c r="F85" s="16" t="str">
        <f>IF(OR($A85=0,$A85=""),"0",IF(LOOKUP($A85,Load_Switch_NFET[PARTNUMBER],Load_Switch_NFET[RDSON6])="(NULL)","0","1"))</f>
        <v>0</v>
      </c>
      <c r="G85" s="3" t="str">
        <f>IF(OR($A85=0,$A85=""),"0",IF(LOOKUP($A85,Load_Switch_NFET[PARTNUMBER],Load_Switch_NFET[RDSON8])="(NULL)","0","1"))</f>
        <v>0</v>
      </c>
      <c r="H85" s="14" t="str">
        <f>IF(OR($A85=0,$A85=""),"0",IF(LOOKUP($A85,Load_Switch_NFET[PARTNUMBER],Load_Switch_NFET[RDSON10])="(NULL)","0","1"))</f>
        <v>0</v>
      </c>
      <c r="I85" s="24" t="b">
        <f t="shared" si="51"/>
        <v>0</v>
      </c>
      <c r="J85" s="7" t="b">
        <f t="shared" si="52"/>
        <v>0</v>
      </c>
      <c r="K85" s="10" t="b">
        <f t="shared" si="53"/>
        <v>0</v>
      </c>
      <c r="L85" s="12" t="b">
        <f t="shared" si="54"/>
        <v>0</v>
      </c>
      <c r="M85" s="17" t="b">
        <f t="shared" si="55"/>
        <v>0</v>
      </c>
      <c r="N85" s="13" t="b">
        <f t="shared" si="56"/>
        <v>0</v>
      </c>
      <c r="O85" s="15" t="b">
        <f t="shared" si="57"/>
        <v>0</v>
      </c>
      <c r="P85" s="18" t="b">
        <f t="shared" si="58"/>
        <v>0</v>
      </c>
      <c r="Q85" s="24" t="b">
        <f t="shared" si="59"/>
        <v>0</v>
      </c>
      <c r="R85" s="7" t="b">
        <f t="shared" si="60"/>
        <v>0</v>
      </c>
      <c r="S85" s="10" t="b">
        <f t="shared" si="40"/>
        <v>0</v>
      </c>
      <c r="T85" s="12" t="b">
        <f t="shared" si="41"/>
        <v>0</v>
      </c>
      <c r="U85" s="17" t="b">
        <f t="shared" si="42"/>
        <v>0</v>
      </c>
      <c r="V85" s="13" t="b">
        <f t="shared" si="43"/>
        <v>0</v>
      </c>
      <c r="W85" s="15" t="b">
        <f t="shared" si="44"/>
        <v>0</v>
      </c>
      <c r="X85" s="6" t="str">
        <f>IF(W85,LOOKUP(A85,Load_Switch_NFET[PARTNUMBER],Load_Switch_NFET[RDSON10])*1000,IF(V85,LOOKUP(A85,Load_Switch_NFET[PARTNUMBER],Load_Switch_NFET[RDSON8])*1000,IF(U85,LOOKUP(A85,Load_Switch_NFET[PARTNUMBER],Load_Switch_NFET[RDSON6])*1000,IF(T85,LOOKUP(A85,Load_Switch_NFET[PARTNUMBER],Load_Switch_NFET[RDSON45])*1000,IF(S85,LOOKUP(A85,Load_Switch_NFET[PARTNUMBER],Load_Switch_NFET[RDSON3])*1000,IF(R85,LOOKUP(A85,Load_Switch_NFET[PARTNUMBER],Load_Switch_NFET[RDSON25])*1000,IF(Q85,LOOKUP(A85,Load_Switch_NFET[PARTNUMBER],Load_Switch_NFET[RDSON18])*1000,"")))))))</f>
        <v/>
      </c>
      <c r="Y85" s="19" t="str">
        <f>IF(AND(A85&lt;&gt;0,A85&lt;&gt;""),X85*(1+(Tj-25)*(LOOKUP(A85,Load_Switch_NFET[PARTNUMBER],Load_Switch_NFET[RDSDELTA])/((LOOKUP(A85,Load_Switch_NFET[PARTNUMBER],Load_Switch_NFET[TJMAX])-25)))),"")</f>
        <v/>
      </c>
      <c r="Z85" s="6" t="str">
        <f>IF(AND(A85&lt;&gt;0,A85&lt;&gt;""),LOOKUP(A85,Load_Switch_NFET[PARTNUMBER],Load_Switch_NFET[VTHMAX]),"")</f>
        <v/>
      </c>
      <c r="AA85" s="6" t="str">
        <f>IF(AND(A85&lt;&gt;0,A85&lt;&gt;""),LOOKUP(A85,Load_Switch_NFET[PARTNUMBER],Load_Switch_NFET[VTHMIN]),"")</f>
        <v/>
      </c>
      <c r="AB85" s="6" t="str">
        <f t="shared" si="45"/>
        <v>#N/A</v>
      </c>
      <c r="AC85" s="6" t="str">
        <f>IF(AND(A85&lt;&gt;0,A85&lt;&gt;""),LOOKUP(A85,Load_Switch_NFET[PARTNUMBER],Load_Switch_NFET[RGIMAX]),"")</f>
        <v/>
      </c>
      <c r="AD85" s="6" t="str">
        <f>IF(AND($A85&lt;&gt;0,$A85&lt;&gt;""),LOOKUP($A85,Load_Switch_NFET[PARTNUMBER],Load_Switch_NFET[QGTYP]),"")</f>
        <v/>
      </c>
      <c r="AE85" s="6" t="str">
        <f>IF(AND($A85&lt;&gt;0,$A85&lt;&gt;""),LOOKUP($A85,Load_Switch_NFET[PARTNUMBER],Load_Switch_NFET[QGS]),"")</f>
        <v/>
      </c>
      <c r="AF85" s="6" t="str">
        <f>IF(AND($A85&lt;&gt;0,$A85&lt;&gt;""),LOOKUP($A85,Load_Switch_NFET[PARTNUMBER],Load_Switch_NFET[QGD]),"")</f>
        <v/>
      </c>
      <c r="AG85" s="6" t="str">
        <f>IF(AND($A85&lt;&gt;0,$A85&lt;&gt;""),LOOKUP($A85,Load_Switch_NFET[PARTNUMBER],Load_Switch_NFET[QGTH]),"")</f>
        <v/>
      </c>
      <c r="AH85" s="6" t="str">
        <f>IF(AND($A85&lt;&gt;0,$A85&lt;&gt;""),LOOKUP($A85,Load_Switch_NFET[PARTNUMBER],Load_Switch_NFET[VMILLER]),"")</f>
        <v/>
      </c>
      <c r="AI85" s="6" t="str">
        <f>IF(AND($A85&lt;&gt;0,$A85&lt;&gt;""),LOOKUP($A85,Load_Switch_NFET[PARTNUMBER],Load_Switch_NFET[COSS_AT_VDSSPEC]),"")</f>
        <v/>
      </c>
      <c r="AJ85" s="6" t="str">
        <f t="shared" si="46"/>
        <v/>
      </c>
      <c r="AK85" s="6" t="str">
        <f t="shared" si="47"/>
        <v/>
      </c>
      <c r="AL85" s="6" t="str">
        <f t="shared" si="48"/>
        <v/>
      </c>
      <c r="AM85" s="49" t="str">
        <f t="shared" si="49"/>
        <v/>
      </c>
      <c r="AN85" s="46" t="str">
        <f>IF(AND($A85&lt;&gt;0,$A85&lt;&gt;""),LOOKUP($A85,Load_Switch_NFET[PARTNUMBER],Load_Switch_NFET[1KPRICE]),"")</f>
        <v/>
      </c>
      <c r="AO85" s="6" t="str">
        <f>IF(AND($A85&lt;&gt;0,$A85&lt;&gt;""),LOOKUP(A85,Load_Switch_NFET[PARTNUMBER],Load_Switch_NFET[TI_EQ_PACKAGE]),"")</f>
        <v/>
      </c>
      <c r="AP85" s="6" t="str">
        <f t="shared" si="50"/>
        <v>Invalid Part</v>
      </c>
    </row>
    <row r="86" spans="1:42" x14ac:dyDescent="0.25">
      <c r="A86" s="6">
        <f>IF(CH="N",NLogic!B86,"")</f>
        <v>0</v>
      </c>
      <c r="B86" s="23" t="str">
        <f>IF(OR($A86=0,$A86=""),"0",IF(LOOKUP($A86,Load_Switch_NFET[PARTNUMBER],Load_Switch_NFET[RDSON18])="(NULL)","0","1"))</f>
        <v>0</v>
      </c>
      <c r="C86" s="8" t="str">
        <f>IF(OR($A86=0,$A86=""),"0",IF(LOOKUP($A86,Load_Switch_NFET[PARTNUMBER],Load_Switch_NFET[RDSON25])="(NULL)","0","1"))</f>
        <v>0</v>
      </c>
      <c r="D86" s="9" t="str">
        <f>IF(OR($A86=0,$A86=""),"0",IF(LOOKUP($A86,Load_Switch_NFET[PARTNUMBER],Load_Switch_NFET[RDSON3])="(NULL)","0","1"))</f>
        <v>0</v>
      </c>
      <c r="E86" s="11" t="str">
        <f>IF(OR($A86=0,$A86=""),"0",IF(LOOKUP($A86,Load_Switch_NFET[PARTNUMBER],Load_Switch_NFET[RDSON45])="(NULL)","0","1"))</f>
        <v>0</v>
      </c>
      <c r="F86" s="16" t="str">
        <f>IF(OR($A86=0,$A86=""),"0",IF(LOOKUP($A86,Load_Switch_NFET[PARTNUMBER],Load_Switch_NFET[RDSON6])="(NULL)","0","1"))</f>
        <v>0</v>
      </c>
      <c r="G86" s="3" t="str">
        <f>IF(OR($A86=0,$A86=""),"0",IF(LOOKUP($A86,Load_Switch_NFET[PARTNUMBER],Load_Switch_NFET[RDSON8])="(NULL)","0","1"))</f>
        <v>0</v>
      </c>
      <c r="H86" s="14" t="str">
        <f>IF(OR($A86=0,$A86=""),"0",IF(LOOKUP($A86,Load_Switch_NFET[PARTNUMBER],Load_Switch_NFET[RDSON10])="(NULL)","0","1"))</f>
        <v>0</v>
      </c>
      <c r="I86" s="24" t="b">
        <f t="shared" si="51"/>
        <v>0</v>
      </c>
      <c r="J86" s="7" t="b">
        <f t="shared" si="52"/>
        <v>0</v>
      </c>
      <c r="K86" s="10" t="b">
        <f t="shared" si="53"/>
        <v>0</v>
      </c>
      <c r="L86" s="12" t="b">
        <f t="shared" si="54"/>
        <v>0</v>
      </c>
      <c r="M86" s="17" t="b">
        <f t="shared" si="55"/>
        <v>0</v>
      </c>
      <c r="N86" s="13" t="b">
        <f t="shared" si="56"/>
        <v>0</v>
      </c>
      <c r="O86" s="15" t="b">
        <f t="shared" si="57"/>
        <v>0</v>
      </c>
      <c r="P86" s="18" t="b">
        <f t="shared" si="58"/>
        <v>0</v>
      </c>
      <c r="Q86" s="24" t="b">
        <f t="shared" si="59"/>
        <v>0</v>
      </c>
      <c r="R86" s="7" t="b">
        <f t="shared" si="60"/>
        <v>0</v>
      </c>
      <c r="S86" s="10" t="b">
        <f t="shared" si="40"/>
        <v>0</v>
      </c>
      <c r="T86" s="12" t="b">
        <f t="shared" si="41"/>
        <v>0</v>
      </c>
      <c r="U86" s="17" t="b">
        <f t="shared" si="42"/>
        <v>0</v>
      </c>
      <c r="V86" s="13" t="b">
        <f t="shared" si="43"/>
        <v>0</v>
      </c>
      <c r="W86" s="15" t="b">
        <f t="shared" si="44"/>
        <v>0</v>
      </c>
      <c r="X86" s="6" t="str">
        <f>IF(W86,LOOKUP(A86,Load_Switch_NFET[PARTNUMBER],Load_Switch_NFET[RDSON10])*1000,IF(V86,LOOKUP(A86,Load_Switch_NFET[PARTNUMBER],Load_Switch_NFET[RDSON8])*1000,IF(U86,LOOKUP(A86,Load_Switch_NFET[PARTNUMBER],Load_Switch_NFET[RDSON6])*1000,IF(T86,LOOKUP(A86,Load_Switch_NFET[PARTNUMBER],Load_Switch_NFET[RDSON45])*1000,IF(S86,LOOKUP(A86,Load_Switch_NFET[PARTNUMBER],Load_Switch_NFET[RDSON3])*1000,IF(R86,LOOKUP(A86,Load_Switch_NFET[PARTNUMBER],Load_Switch_NFET[RDSON25])*1000,IF(Q86,LOOKUP(A86,Load_Switch_NFET[PARTNUMBER],Load_Switch_NFET[RDSON18])*1000,"")))))))</f>
        <v/>
      </c>
      <c r="Y86" s="19" t="str">
        <f>IF(AND(A86&lt;&gt;0,A86&lt;&gt;""),X86*(1+(Tj-25)*(LOOKUP(A86,Load_Switch_NFET[PARTNUMBER],Load_Switch_NFET[RDSDELTA])/((LOOKUP(A86,Load_Switch_NFET[PARTNUMBER],Load_Switch_NFET[TJMAX])-25)))),"")</f>
        <v/>
      </c>
      <c r="Z86" s="6" t="str">
        <f>IF(AND(A86&lt;&gt;0,A86&lt;&gt;""),LOOKUP(A86,Load_Switch_NFET[PARTNUMBER],Load_Switch_NFET[VTHMAX]),"")</f>
        <v/>
      </c>
      <c r="AA86" s="6" t="str">
        <f>IF(AND(A86&lt;&gt;0,A86&lt;&gt;""),LOOKUP(A86,Load_Switch_NFET[PARTNUMBER],Load_Switch_NFET[VTHMIN]),"")</f>
        <v/>
      </c>
      <c r="AB86" s="6" t="str">
        <f t="shared" si="45"/>
        <v>#N/A</v>
      </c>
      <c r="AC86" s="6" t="str">
        <f>IF(AND(A86&lt;&gt;0,A86&lt;&gt;""),LOOKUP(A86,Load_Switch_NFET[PARTNUMBER],Load_Switch_NFET[RGIMAX]),"")</f>
        <v/>
      </c>
      <c r="AD86" s="6" t="str">
        <f>IF(AND($A86&lt;&gt;0,$A86&lt;&gt;""),LOOKUP($A86,Load_Switch_NFET[PARTNUMBER],Load_Switch_NFET[QGTYP]),"")</f>
        <v/>
      </c>
      <c r="AE86" s="6" t="str">
        <f>IF(AND($A86&lt;&gt;0,$A86&lt;&gt;""),LOOKUP($A86,Load_Switch_NFET[PARTNUMBER],Load_Switch_NFET[QGS]),"")</f>
        <v/>
      </c>
      <c r="AF86" s="6" t="str">
        <f>IF(AND($A86&lt;&gt;0,$A86&lt;&gt;""),LOOKUP($A86,Load_Switch_NFET[PARTNUMBER],Load_Switch_NFET[QGD]),"")</f>
        <v/>
      </c>
      <c r="AG86" s="6" t="str">
        <f>IF(AND($A86&lt;&gt;0,$A86&lt;&gt;""),LOOKUP($A86,Load_Switch_NFET[PARTNUMBER],Load_Switch_NFET[QGTH]),"")</f>
        <v/>
      </c>
      <c r="AH86" s="6" t="str">
        <f>IF(AND($A86&lt;&gt;0,$A86&lt;&gt;""),LOOKUP($A86,Load_Switch_NFET[PARTNUMBER],Load_Switch_NFET[VMILLER]),"")</f>
        <v/>
      </c>
      <c r="AI86" s="6" t="str">
        <f>IF(AND($A86&lt;&gt;0,$A86&lt;&gt;""),LOOKUP($A86,Load_Switch_NFET[PARTNUMBER],Load_Switch_NFET[COSS_AT_VDSSPEC]),"")</f>
        <v/>
      </c>
      <c r="AJ86" s="6" t="str">
        <f t="shared" si="46"/>
        <v/>
      </c>
      <c r="AK86" s="6" t="str">
        <f t="shared" si="47"/>
        <v/>
      </c>
      <c r="AL86" s="6" t="str">
        <f t="shared" si="48"/>
        <v/>
      </c>
      <c r="AM86" s="49" t="str">
        <f t="shared" si="49"/>
        <v/>
      </c>
      <c r="AN86" s="46" t="str">
        <f>IF(AND($A86&lt;&gt;0,$A86&lt;&gt;""),LOOKUP($A86,Load_Switch_NFET[PARTNUMBER],Load_Switch_NFET[1KPRICE]),"")</f>
        <v/>
      </c>
      <c r="AO86" s="6" t="str">
        <f>IF(AND($A86&lt;&gt;0,$A86&lt;&gt;""),LOOKUP(A86,Load_Switch_NFET[PARTNUMBER],Load_Switch_NFET[TI_EQ_PACKAGE]),"")</f>
        <v/>
      </c>
      <c r="AP86" s="6" t="str">
        <f t="shared" si="50"/>
        <v>Invalid Part</v>
      </c>
    </row>
    <row r="87" spans="1:42" x14ac:dyDescent="0.25">
      <c r="A87" s="6">
        <f>IF(CH="N",NLogic!B87,"")</f>
        <v>0</v>
      </c>
      <c r="B87" s="23" t="str">
        <f>IF(OR($A87=0,$A87=""),"0",IF(LOOKUP($A87,Load_Switch_NFET[PARTNUMBER],Load_Switch_NFET[RDSON18])="(NULL)","0","1"))</f>
        <v>0</v>
      </c>
      <c r="C87" s="8" t="str">
        <f>IF(OR($A87=0,$A87=""),"0",IF(LOOKUP($A87,Load_Switch_NFET[PARTNUMBER],Load_Switch_NFET[RDSON25])="(NULL)","0","1"))</f>
        <v>0</v>
      </c>
      <c r="D87" s="9" t="str">
        <f>IF(OR($A87=0,$A87=""),"0",IF(LOOKUP($A87,Load_Switch_NFET[PARTNUMBER],Load_Switch_NFET[RDSON3])="(NULL)","0","1"))</f>
        <v>0</v>
      </c>
      <c r="E87" s="11" t="str">
        <f>IF(OR($A87=0,$A87=""),"0",IF(LOOKUP($A87,Load_Switch_NFET[PARTNUMBER],Load_Switch_NFET[RDSON45])="(NULL)","0","1"))</f>
        <v>0</v>
      </c>
      <c r="F87" s="16" t="str">
        <f>IF(OR($A87=0,$A87=""),"0",IF(LOOKUP($A87,Load_Switch_NFET[PARTNUMBER],Load_Switch_NFET[RDSON6])="(NULL)","0","1"))</f>
        <v>0</v>
      </c>
      <c r="G87" s="3" t="str">
        <f>IF(OR($A87=0,$A87=""),"0",IF(LOOKUP($A87,Load_Switch_NFET[PARTNUMBER],Load_Switch_NFET[RDSON8])="(NULL)","0","1"))</f>
        <v>0</v>
      </c>
      <c r="H87" s="14" t="str">
        <f>IF(OR($A87=0,$A87=""),"0",IF(LOOKUP($A87,Load_Switch_NFET[PARTNUMBER],Load_Switch_NFET[RDSON10])="(NULL)","0","1"))</f>
        <v>0</v>
      </c>
      <c r="I87" s="24" t="b">
        <f t="shared" si="51"/>
        <v>0</v>
      </c>
      <c r="J87" s="7" t="b">
        <f t="shared" si="52"/>
        <v>0</v>
      </c>
      <c r="K87" s="10" t="b">
        <f t="shared" si="53"/>
        <v>0</v>
      </c>
      <c r="L87" s="12" t="b">
        <f t="shared" si="54"/>
        <v>0</v>
      </c>
      <c r="M87" s="17" t="b">
        <f t="shared" si="55"/>
        <v>0</v>
      </c>
      <c r="N87" s="13" t="b">
        <f t="shared" si="56"/>
        <v>0</v>
      </c>
      <c r="O87" s="15" t="b">
        <f t="shared" si="57"/>
        <v>0</v>
      </c>
      <c r="P87" s="18" t="b">
        <f t="shared" si="58"/>
        <v>0</v>
      </c>
      <c r="Q87" s="24" t="b">
        <f t="shared" si="59"/>
        <v>0</v>
      </c>
      <c r="R87" s="7" t="b">
        <f t="shared" si="60"/>
        <v>0</v>
      </c>
      <c r="S87" s="10" t="b">
        <f t="shared" si="40"/>
        <v>0</v>
      </c>
      <c r="T87" s="12" t="b">
        <f t="shared" si="41"/>
        <v>0</v>
      </c>
      <c r="U87" s="17" t="b">
        <f t="shared" si="42"/>
        <v>0</v>
      </c>
      <c r="V87" s="13" t="b">
        <f t="shared" si="43"/>
        <v>0</v>
      </c>
      <c r="W87" s="15" t="b">
        <f t="shared" si="44"/>
        <v>0</v>
      </c>
      <c r="X87" s="6" t="str">
        <f>IF(W87,LOOKUP(A87,Load_Switch_NFET[PARTNUMBER],Load_Switch_NFET[RDSON10])*1000,IF(V87,LOOKUP(A87,Load_Switch_NFET[PARTNUMBER],Load_Switch_NFET[RDSON8])*1000,IF(U87,LOOKUP(A87,Load_Switch_NFET[PARTNUMBER],Load_Switch_NFET[RDSON6])*1000,IF(T87,LOOKUP(A87,Load_Switch_NFET[PARTNUMBER],Load_Switch_NFET[RDSON45])*1000,IF(S87,LOOKUP(A87,Load_Switch_NFET[PARTNUMBER],Load_Switch_NFET[RDSON3])*1000,IF(R87,LOOKUP(A87,Load_Switch_NFET[PARTNUMBER],Load_Switch_NFET[RDSON25])*1000,IF(Q87,LOOKUP(A87,Load_Switch_NFET[PARTNUMBER],Load_Switch_NFET[RDSON18])*1000,"")))))))</f>
        <v/>
      </c>
      <c r="Y87" s="19" t="str">
        <f>IF(AND(A87&lt;&gt;0,A87&lt;&gt;""),X87*(1+(Tj-25)*(LOOKUP(A87,Load_Switch_NFET[PARTNUMBER],Load_Switch_NFET[RDSDELTA])/((LOOKUP(A87,Load_Switch_NFET[PARTNUMBER],Load_Switch_NFET[TJMAX])-25)))),"")</f>
        <v/>
      </c>
      <c r="Z87" s="6" t="str">
        <f>IF(AND(A87&lt;&gt;0,A87&lt;&gt;""),LOOKUP(A87,Load_Switch_NFET[PARTNUMBER],Load_Switch_NFET[VTHMAX]),"")</f>
        <v/>
      </c>
      <c r="AA87" s="6" t="str">
        <f>IF(AND(A87&lt;&gt;0,A87&lt;&gt;""),LOOKUP(A87,Load_Switch_NFET[PARTNUMBER],Load_Switch_NFET[VTHMIN]),"")</f>
        <v/>
      </c>
      <c r="AB87" s="6" t="str">
        <f t="shared" si="45"/>
        <v>#N/A</v>
      </c>
      <c r="AC87" s="6" t="str">
        <f>IF(AND(A87&lt;&gt;0,A87&lt;&gt;""),LOOKUP(A87,Load_Switch_NFET[PARTNUMBER],Load_Switch_NFET[RGIMAX]),"")</f>
        <v/>
      </c>
      <c r="AD87" s="6" t="str">
        <f>IF(AND($A87&lt;&gt;0,$A87&lt;&gt;""),LOOKUP($A87,Load_Switch_NFET[PARTNUMBER],Load_Switch_NFET[QGTYP]),"")</f>
        <v/>
      </c>
      <c r="AE87" s="6" t="str">
        <f>IF(AND($A87&lt;&gt;0,$A87&lt;&gt;""),LOOKUP($A87,Load_Switch_NFET[PARTNUMBER],Load_Switch_NFET[QGS]),"")</f>
        <v/>
      </c>
      <c r="AF87" s="6" t="str">
        <f>IF(AND($A87&lt;&gt;0,$A87&lt;&gt;""),LOOKUP($A87,Load_Switch_NFET[PARTNUMBER],Load_Switch_NFET[QGD]),"")</f>
        <v/>
      </c>
      <c r="AG87" s="6" t="str">
        <f>IF(AND($A87&lt;&gt;0,$A87&lt;&gt;""),LOOKUP($A87,Load_Switch_NFET[PARTNUMBER],Load_Switch_NFET[QGTH]),"")</f>
        <v/>
      </c>
      <c r="AH87" s="6" t="str">
        <f>IF(AND($A87&lt;&gt;0,$A87&lt;&gt;""),LOOKUP($A87,Load_Switch_NFET[PARTNUMBER],Load_Switch_NFET[VMILLER]),"")</f>
        <v/>
      </c>
      <c r="AI87" s="6" t="str">
        <f>IF(AND($A87&lt;&gt;0,$A87&lt;&gt;""),LOOKUP($A87,Load_Switch_NFET[PARTNUMBER],Load_Switch_NFET[COSS_AT_VDSSPEC]),"")</f>
        <v/>
      </c>
      <c r="AJ87" s="6" t="str">
        <f t="shared" si="46"/>
        <v/>
      </c>
      <c r="AK87" s="6" t="str">
        <f t="shared" si="47"/>
        <v/>
      </c>
      <c r="AL87" s="6" t="str">
        <f t="shared" si="48"/>
        <v/>
      </c>
      <c r="AM87" s="49" t="str">
        <f t="shared" si="49"/>
        <v/>
      </c>
      <c r="AN87" s="46" t="str">
        <f>IF(AND($A87&lt;&gt;0,$A87&lt;&gt;""),LOOKUP($A87,Load_Switch_NFET[PARTNUMBER],Load_Switch_NFET[1KPRICE]),"")</f>
        <v/>
      </c>
      <c r="AO87" s="6" t="str">
        <f>IF(AND($A87&lt;&gt;0,$A87&lt;&gt;""),LOOKUP(A87,Load_Switch_NFET[PARTNUMBER],Load_Switch_NFET[TI_EQ_PACKAGE]),"")</f>
        <v/>
      </c>
      <c r="AP87" s="6" t="str">
        <f t="shared" si="50"/>
        <v>Invalid Part</v>
      </c>
    </row>
    <row r="88" spans="1:42" x14ac:dyDescent="0.25">
      <c r="A88" s="6">
        <f>IF(CH="N",NLogic!B88,"")</f>
        <v>0</v>
      </c>
      <c r="B88" s="23" t="str">
        <f>IF(OR($A88=0,$A88=""),"0",IF(LOOKUP($A88,Load_Switch_NFET[PARTNUMBER],Load_Switch_NFET[RDSON18])="(NULL)","0","1"))</f>
        <v>0</v>
      </c>
      <c r="C88" s="8" t="str">
        <f>IF(OR($A88=0,$A88=""),"0",IF(LOOKUP($A88,Load_Switch_NFET[PARTNUMBER],Load_Switch_NFET[RDSON25])="(NULL)","0","1"))</f>
        <v>0</v>
      </c>
      <c r="D88" s="9" t="str">
        <f>IF(OR($A88=0,$A88=""),"0",IF(LOOKUP($A88,Load_Switch_NFET[PARTNUMBER],Load_Switch_NFET[RDSON3])="(NULL)","0","1"))</f>
        <v>0</v>
      </c>
      <c r="E88" s="11" t="str">
        <f>IF(OR($A88=0,$A88=""),"0",IF(LOOKUP($A88,Load_Switch_NFET[PARTNUMBER],Load_Switch_NFET[RDSON45])="(NULL)","0","1"))</f>
        <v>0</v>
      </c>
      <c r="F88" s="16" t="str">
        <f>IF(OR($A88=0,$A88=""),"0",IF(LOOKUP($A88,Load_Switch_NFET[PARTNUMBER],Load_Switch_NFET[RDSON6])="(NULL)","0","1"))</f>
        <v>0</v>
      </c>
      <c r="G88" s="3" t="str">
        <f>IF(OR($A88=0,$A88=""),"0",IF(LOOKUP($A88,Load_Switch_NFET[PARTNUMBER],Load_Switch_NFET[RDSON8])="(NULL)","0","1"))</f>
        <v>0</v>
      </c>
      <c r="H88" s="14" t="str">
        <f>IF(OR($A88=0,$A88=""),"0",IF(LOOKUP($A88,Load_Switch_NFET[PARTNUMBER],Load_Switch_NFET[RDSON10])="(NULL)","0","1"))</f>
        <v>0</v>
      </c>
      <c r="I88" s="24" t="b">
        <f t="shared" si="51"/>
        <v>0</v>
      </c>
      <c r="J88" s="7" t="b">
        <f t="shared" si="52"/>
        <v>0</v>
      </c>
      <c r="K88" s="10" t="b">
        <f t="shared" si="53"/>
        <v>0</v>
      </c>
      <c r="L88" s="12" t="b">
        <f t="shared" si="54"/>
        <v>0</v>
      </c>
      <c r="M88" s="17" t="b">
        <f t="shared" si="55"/>
        <v>0</v>
      </c>
      <c r="N88" s="13" t="b">
        <f t="shared" si="56"/>
        <v>0</v>
      </c>
      <c r="O88" s="15" t="b">
        <f t="shared" si="57"/>
        <v>0</v>
      </c>
      <c r="P88" s="18" t="b">
        <f t="shared" si="58"/>
        <v>0</v>
      </c>
      <c r="Q88" s="24" t="b">
        <f t="shared" si="59"/>
        <v>0</v>
      </c>
      <c r="R88" s="7" t="b">
        <f t="shared" si="60"/>
        <v>0</v>
      </c>
      <c r="S88" s="10" t="b">
        <f t="shared" si="40"/>
        <v>0</v>
      </c>
      <c r="T88" s="12" t="b">
        <f t="shared" si="41"/>
        <v>0</v>
      </c>
      <c r="U88" s="17" t="b">
        <f t="shared" si="42"/>
        <v>0</v>
      </c>
      <c r="V88" s="13" t="b">
        <f t="shared" si="43"/>
        <v>0</v>
      </c>
      <c r="W88" s="15" t="b">
        <f t="shared" si="44"/>
        <v>0</v>
      </c>
      <c r="X88" s="6" t="str">
        <f>IF(W88,LOOKUP(A88,Load_Switch_NFET[PARTNUMBER],Load_Switch_NFET[RDSON10])*1000,IF(V88,LOOKUP(A88,Load_Switch_NFET[PARTNUMBER],Load_Switch_NFET[RDSON8])*1000,IF(U88,LOOKUP(A88,Load_Switch_NFET[PARTNUMBER],Load_Switch_NFET[RDSON6])*1000,IF(T88,LOOKUP(A88,Load_Switch_NFET[PARTNUMBER],Load_Switch_NFET[RDSON45])*1000,IF(S88,LOOKUP(A88,Load_Switch_NFET[PARTNUMBER],Load_Switch_NFET[RDSON3])*1000,IF(R88,LOOKUP(A88,Load_Switch_NFET[PARTNUMBER],Load_Switch_NFET[RDSON25])*1000,IF(Q88,LOOKUP(A88,Load_Switch_NFET[PARTNUMBER],Load_Switch_NFET[RDSON18])*1000,"")))))))</f>
        <v/>
      </c>
      <c r="Y88" s="19" t="str">
        <f>IF(AND(A88&lt;&gt;0,A88&lt;&gt;""),X88*(1+(Tj-25)*(LOOKUP(A88,Load_Switch_NFET[PARTNUMBER],Load_Switch_NFET[RDSDELTA])/((LOOKUP(A88,Load_Switch_NFET[PARTNUMBER],Load_Switch_NFET[TJMAX])-25)))),"")</f>
        <v/>
      </c>
      <c r="Z88" s="6" t="str">
        <f>IF(AND(A88&lt;&gt;0,A88&lt;&gt;""),LOOKUP(A88,Load_Switch_NFET[PARTNUMBER],Load_Switch_NFET[VTHMAX]),"")</f>
        <v/>
      </c>
      <c r="AA88" s="6" t="str">
        <f>IF(AND(A88&lt;&gt;0,A88&lt;&gt;""),LOOKUP(A88,Load_Switch_NFET[PARTNUMBER],Load_Switch_NFET[VTHMIN]),"")</f>
        <v/>
      </c>
      <c r="AB88" s="6" t="str">
        <f t="shared" si="45"/>
        <v>#N/A</v>
      </c>
      <c r="AC88" s="6" t="str">
        <f>IF(AND(A88&lt;&gt;0,A88&lt;&gt;""),LOOKUP(A88,Load_Switch_NFET[PARTNUMBER],Load_Switch_NFET[RGIMAX]),"")</f>
        <v/>
      </c>
      <c r="AD88" s="6" t="str">
        <f>IF(AND($A88&lt;&gt;0,$A88&lt;&gt;""),LOOKUP($A88,Load_Switch_NFET[PARTNUMBER],Load_Switch_NFET[QGTYP]),"")</f>
        <v/>
      </c>
      <c r="AE88" s="6" t="str">
        <f>IF(AND($A88&lt;&gt;0,$A88&lt;&gt;""),LOOKUP($A88,Load_Switch_NFET[PARTNUMBER],Load_Switch_NFET[QGS]),"")</f>
        <v/>
      </c>
      <c r="AF88" s="6" t="str">
        <f>IF(AND($A88&lt;&gt;0,$A88&lt;&gt;""),LOOKUP($A88,Load_Switch_NFET[PARTNUMBER],Load_Switch_NFET[QGD]),"")</f>
        <v/>
      </c>
      <c r="AG88" s="6" t="str">
        <f>IF(AND($A88&lt;&gt;0,$A88&lt;&gt;""),LOOKUP($A88,Load_Switch_NFET[PARTNUMBER],Load_Switch_NFET[QGTH]),"")</f>
        <v/>
      </c>
      <c r="AH88" s="6" t="str">
        <f>IF(AND($A88&lt;&gt;0,$A88&lt;&gt;""),LOOKUP($A88,Load_Switch_NFET[PARTNUMBER],Load_Switch_NFET[VMILLER]),"")</f>
        <v/>
      </c>
      <c r="AI88" s="6" t="str">
        <f>IF(AND($A88&lt;&gt;0,$A88&lt;&gt;""),LOOKUP($A88,Load_Switch_NFET[PARTNUMBER],Load_Switch_NFET[COSS_AT_VDSSPEC]),"")</f>
        <v/>
      </c>
      <c r="AJ88" s="6" t="str">
        <f t="shared" si="46"/>
        <v/>
      </c>
      <c r="AK88" s="6" t="str">
        <f t="shared" si="47"/>
        <v/>
      </c>
      <c r="AL88" s="6" t="str">
        <f t="shared" si="48"/>
        <v/>
      </c>
      <c r="AM88" s="49" t="str">
        <f t="shared" si="49"/>
        <v/>
      </c>
      <c r="AN88" s="46" t="str">
        <f>IF(AND($A88&lt;&gt;0,$A88&lt;&gt;""),LOOKUP($A88,Load_Switch_NFET[PARTNUMBER],Load_Switch_NFET[1KPRICE]),"")</f>
        <v/>
      </c>
      <c r="AO88" s="6" t="str">
        <f>IF(AND($A88&lt;&gt;0,$A88&lt;&gt;""),LOOKUP(A88,Load_Switch_NFET[PARTNUMBER],Load_Switch_NFET[TI_EQ_PACKAGE]),"")</f>
        <v/>
      </c>
      <c r="AP88" s="6" t="str">
        <f t="shared" si="50"/>
        <v>Invalid Part</v>
      </c>
    </row>
    <row r="89" spans="1:42" x14ac:dyDescent="0.25">
      <c r="A89" s="6">
        <f>IF(CH="N",NLogic!B89,"")</f>
        <v>0</v>
      </c>
      <c r="B89" s="23" t="str">
        <f>IF(OR($A89=0,$A89=""),"0",IF(LOOKUP($A89,Load_Switch_NFET[PARTNUMBER],Load_Switch_NFET[RDSON18])="(NULL)","0","1"))</f>
        <v>0</v>
      </c>
      <c r="C89" s="8" t="str">
        <f>IF(OR($A89=0,$A89=""),"0",IF(LOOKUP($A89,Load_Switch_NFET[PARTNUMBER],Load_Switch_NFET[RDSON25])="(NULL)","0","1"))</f>
        <v>0</v>
      </c>
      <c r="D89" s="9" t="str">
        <f>IF(OR($A89=0,$A89=""),"0",IF(LOOKUP($A89,Load_Switch_NFET[PARTNUMBER],Load_Switch_NFET[RDSON3])="(NULL)","0","1"))</f>
        <v>0</v>
      </c>
      <c r="E89" s="11" t="str">
        <f>IF(OR($A89=0,$A89=""),"0",IF(LOOKUP($A89,Load_Switch_NFET[PARTNUMBER],Load_Switch_NFET[RDSON45])="(NULL)","0","1"))</f>
        <v>0</v>
      </c>
      <c r="F89" s="16" t="str">
        <f>IF(OR($A89=0,$A89=""),"0",IF(LOOKUP($A89,Load_Switch_NFET[PARTNUMBER],Load_Switch_NFET[RDSON6])="(NULL)","0","1"))</f>
        <v>0</v>
      </c>
      <c r="G89" s="3" t="str">
        <f>IF(OR($A89=0,$A89=""),"0",IF(LOOKUP($A89,Load_Switch_NFET[PARTNUMBER],Load_Switch_NFET[RDSON8])="(NULL)","0","1"))</f>
        <v>0</v>
      </c>
      <c r="H89" s="14" t="str">
        <f>IF(OR($A89=0,$A89=""),"0",IF(LOOKUP($A89,Load_Switch_NFET[PARTNUMBER],Load_Switch_NFET[RDSON10])="(NULL)","0","1"))</f>
        <v>0</v>
      </c>
      <c r="I89" s="24" t="b">
        <f t="shared" si="51"/>
        <v>0</v>
      </c>
      <c r="J89" s="7" t="b">
        <f t="shared" si="52"/>
        <v>0</v>
      </c>
      <c r="K89" s="10" t="b">
        <f t="shared" si="53"/>
        <v>0</v>
      </c>
      <c r="L89" s="12" t="b">
        <f t="shared" si="54"/>
        <v>0</v>
      </c>
      <c r="M89" s="17" t="b">
        <f t="shared" si="55"/>
        <v>0</v>
      </c>
      <c r="N89" s="13" t="b">
        <f t="shared" si="56"/>
        <v>0</v>
      </c>
      <c r="O89" s="15" t="b">
        <f t="shared" si="57"/>
        <v>0</v>
      </c>
      <c r="P89" s="18" t="b">
        <f t="shared" si="58"/>
        <v>0</v>
      </c>
      <c r="Q89" s="24" t="b">
        <f t="shared" si="59"/>
        <v>0</v>
      </c>
      <c r="R89" s="7" t="b">
        <f t="shared" si="60"/>
        <v>0</v>
      </c>
      <c r="S89" s="10" t="b">
        <f t="shared" si="40"/>
        <v>0</v>
      </c>
      <c r="T89" s="12" t="b">
        <f t="shared" si="41"/>
        <v>0</v>
      </c>
      <c r="U89" s="17" t="b">
        <f t="shared" si="42"/>
        <v>0</v>
      </c>
      <c r="V89" s="13" t="b">
        <f t="shared" si="43"/>
        <v>0</v>
      </c>
      <c r="W89" s="15" t="b">
        <f t="shared" si="44"/>
        <v>0</v>
      </c>
      <c r="X89" s="6" t="str">
        <f>IF(W89,LOOKUP(A89,Load_Switch_NFET[PARTNUMBER],Load_Switch_NFET[RDSON10])*1000,IF(V89,LOOKUP(A89,Load_Switch_NFET[PARTNUMBER],Load_Switch_NFET[RDSON8])*1000,IF(U89,LOOKUP(A89,Load_Switch_NFET[PARTNUMBER],Load_Switch_NFET[RDSON6])*1000,IF(T89,LOOKUP(A89,Load_Switch_NFET[PARTNUMBER],Load_Switch_NFET[RDSON45])*1000,IF(S89,LOOKUP(A89,Load_Switch_NFET[PARTNUMBER],Load_Switch_NFET[RDSON3])*1000,IF(R89,LOOKUP(A89,Load_Switch_NFET[PARTNUMBER],Load_Switch_NFET[RDSON25])*1000,IF(Q89,LOOKUP(A89,Load_Switch_NFET[PARTNUMBER],Load_Switch_NFET[RDSON18])*1000,"")))))))</f>
        <v/>
      </c>
      <c r="Y89" s="19" t="str">
        <f>IF(AND(A89&lt;&gt;0,A89&lt;&gt;""),X89*(1+(Tj-25)*(LOOKUP(A89,Load_Switch_NFET[PARTNUMBER],Load_Switch_NFET[RDSDELTA])/((LOOKUP(A89,Load_Switch_NFET[PARTNUMBER],Load_Switch_NFET[TJMAX])-25)))),"")</f>
        <v/>
      </c>
      <c r="Z89" s="6" t="str">
        <f>IF(AND(A89&lt;&gt;0,A89&lt;&gt;""),LOOKUP(A89,Load_Switch_NFET[PARTNUMBER],Load_Switch_NFET[VTHMAX]),"")</f>
        <v/>
      </c>
      <c r="AA89" s="6" t="str">
        <f>IF(AND(A89&lt;&gt;0,A89&lt;&gt;""),LOOKUP(A89,Load_Switch_NFET[PARTNUMBER],Load_Switch_NFET[VTHMIN]),"")</f>
        <v/>
      </c>
      <c r="AB89" s="6" t="str">
        <f t="shared" si="45"/>
        <v>#N/A</v>
      </c>
      <c r="AC89" s="6" t="str">
        <f>IF(AND(A89&lt;&gt;0,A89&lt;&gt;""),LOOKUP(A89,Load_Switch_NFET[PARTNUMBER],Load_Switch_NFET[RGIMAX]),"")</f>
        <v/>
      </c>
      <c r="AD89" s="6" t="str">
        <f>IF(AND($A89&lt;&gt;0,$A89&lt;&gt;""),LOOKUP($A89,Load_Switch_NFET[PARTNUMBER],Load_Switch_NFET[QGTYP]),"")</f>
        <v/>
      </c>
      <c r="AE89" s="6" t="str">
        <f>IF(AND($A89&lt;&gt;0,$A89&lt;&gt;""),LOOKUP($A89,Load_Switch_NFET[PARTNUMBER],Load_Switch_NFET[QGS]),"")</f>
        <v/>
      </c>
      <c r="AF89" s="6" t="str">
        <f>IF(AND($A89&lt;&gt;0,$A89&lt;&gt;""),LOOKUP($A89,Load_Switch_NFET[PARTNUMBER],Load_Switch_NFET[QGD]),"")</f>
        <v/>
      </c>
      <c r="AG89" s="6" t="str">
        <f>IF(AND($A89&lt;&gt;0,$A89&lt;&gt;""),LOOKUP($A89,Load_Switch_NFET[PARTNUMBER],Load_Switch_NFET[QGTH]),"")</f>
        <v/>
      </c>
      <c r="AH89" s="6" t="str">
        <f>IF(AND($A89&lt;&gt;0,$A89&lt;&gt;""),LOOKUP($A89,Load_Switch_NFET[PARTNUMBER],Load_Switch_NFET[VMILLER]),"")</f>
        <v/>
      </c>
      <c r="AI89" s="6" t="str">
        <f>IF(AND($A89&lt;&gt;0,$A89&lt;&gt;""),LOOKUP($A89,Load_Switch_NFET[PARTNUMBER],Load_Switch_NFET[COSS_AT_VDSSPEC]),"")</f>
        <v/>
      </c>
      <c r="AJ89" s="6" t="str">
        <f t="shared" si="46"/>
        <v/>
      </c>
      <c r="AK89" s="6" t="str">
        <f t="shared" si="47"/>
        <v/>
      </c>
      <c r="AL89" s="6" t="str">
        <f t="shared" si="48"/>
        <v/>
      </c>
      <c r="AM89" s="49" t="str">
        <f t="shared" si="49"/>
        <v/>
      </c>
      <c r="AN89" s="46" t="str">
        <f>IF(AND($A89&lt;&gt;0,$A89&lt;&gt;""),LOOKUP($A89,Load_Switch_NFET[PARTNUMBER],Load_Switch_NFET[1KPRICE]),"")</f>
        <v/>
      </c>
      <c r="AO89" s="6" t="str">
        <f>IF(AND($A89&lt;&gt;0,$A89&lt;&gt;""),LOOKUP(A89,Load_Switch_NFET[PARTNUMBER],Load_Switch_NFET[TI_EQ_PACKAGE]),"")</f>
        <v/>
      </c>
      <c r="AP89" s="6" t="str">
        <f t="shared" si="50"/>
        <v>Invalid Part</v>
      </c>
    </row>
    <row r="90" spans="1:42" x14ac:dyDescent="0.25">
      <c r="A90" s="6">
        <f>IF(CH="N",NLogic!B90,"")</f>
        <v>0</v>
      </c>
      <c r="B90" s="23" t="str">
        <f>IF(OR($A90=0,$A90=""),"0",IF(LOOKUP($A90,Load_Switch_NFET[PARTNUMBER],Load_Switch_NFET[RDSON18])="(NULL)","0","1"))</f>
        <v>0</v>
      </c>
      <c r="C90" s="8" t="str">
        <f>IF(OR($A90=0,$A90=""),"0",IF(LOOKUP($A90,Load_Switch_NFET[PARTNUMBER],Load_Switch_NFET[RDSON25])="(NULL)","0","1"))</f>
        <v>0</v>
      </c>
      <c r="D90" s="9" t="str">
        <f>IF(OR($A90=0,$A90=""),"0",IF(LOOKUP($A90,Load_Switch_NFET[PARTNUMBER],Load_Switch_NFET[RDSON3])="(NULL)","0","1"))</f>
        <v>0</v>
      </c>
      <c r="E90" s="11" t="str">
        <f>IF(OR($A90=0,$A90=""),"0",IF(LOOKUP($A90,Load_Switch_NFET[PARTNUMBER],Load_Switch_NFET[RDSON45])="(NULL)","0","1"))</f>
        <v>0</v>
      </c>
      <c r="F90" s="16" t="str">
        <f>IF(OR($A90=0,$A90=""),"0",IF(LOOKUP($A90,Load_Switch_NFET[PARTNUMBER],Load_Switch_NFET[RDSON6])="(NULL)","0","1"))</f>
        <v>0</v>
      </c>
      <c r="G90" s="3" t="str">
        <f>IF(OR($A90=0,$A90=""),"0",IF(LOOKUP($A90,Load_Switch_NFET[PARTNUMBER],Load_Switch_NFET[RDSON8])="(NULL)","0","1"))</f>
        <v>0</v>
      </c>
      <c r="H90" s="14" t="str">
        <f>IF(OR($A90=0,$A90=""),"0",IF(LOOKUP($A90,Load_Switch_NFET[PARTNUMBER],Load_Switch_NFET[RDSON10])="(NULL)","0","1"))</f>
        <v>0</v>
      </c>
      <c r="I90" s="24" t="b">
        <f t="shared" si="51"/>
        <v>0</v>
      </c>
      <c r="J90" s="7" t="b">
        <f t="shared" si="52"/>
        <v>0</v>
      </c>
      <c r="K90" s="10" t="b">
        <f t="shared" si="53"/>
        <v>0</v>
      </c>
      <c r="L90" s="12" t="b">
        <f t="shared" si="54"/>
        <v>0</v>
      </c>
      <c r="M90" s="17" t="b">
        <f t="shared" si="55"/>
        <v>0</v>
      </c>
      <c r="N90" s="13" t="b">
        <f t="shared" si="56"/>
        <v>0</v>
      </c>
      <c r="O90" s="15" t="b">
        <f t="shared" si="57"/>
        <v>0</v>
      </c>
      <c r="P90" s="18" t="b">
        <f t="shared" si="58"/>
        <v>0</v>
      </c>
      <c r="Q90" s="24" t="b">
        <f t="shared" si="59"/>
        <v>0</v>
      </c>
      <c r="R90" s="7" t="b">
        <f t="shared" si="60"/>
        <v>0</v>
      </c>
      <c r="S90" s="10" t="b">
        <f t="shared" si="40"/>
        <v>0</v>
      </c>
      <c r="T90" s="12" t="b">
        <f t="shared" si="41"/>
        <v>0</v>
      </c>
      <c r="U90" s="17" t="b">
        <f t="shared" si="42"/>
        <v>0</v>
      </c>
      <c r="V90" s="13" t="b">
        <f t="shared" si="43"/>
        <v>0</v>
      </c>
      <c r="W90" s="15" t="b">
        <f t="shared" si="44"/>
        <v>0</v>
      </c>
      <c r="X90" s="6" t="str">
        <f>IF(W90,LOOKUP(A90,Load_Switch_NFET[PARTNUMBER],Load_Switch_NFET[RDSON10])*1000,IF(V90,LOOKUP(A90,Load_Switch_NFET[PARTNUMBER],Load_Switch_NFET[RDSON8])*1000,IF(U90,LOOKUP(A90,Load_Switch_NFET[PARTNUMBER],Load_Switch_NFET[RDSON6])*1000,IF(T90,LOOKUP(A90,Load_Switch_NFET[PARTNUMBER],Load_Switch_NFET[RDSON45])*1000,IF(S90,LOOKUP(A90,Load_Switch_NFET[PARTNUMBER],Load_Switch_NFET[RDSON3])*1000,IF(R90,LOOKUP(A90,Load_Switch_NFET[PARTNUMBER],Load_Switch_NFET[RDSON25])*1000,IF(Q90,LOOKUP(A90,Load_Switch_NFET[PARTNUMBER],Load_Switch_NFET[RDSON18])*1000,"")))))))</f>
        <v/>
      </c>
      <c r="Y90" s="19" t="str">
        <f>IF(AND(A90&lt;&gt;0,A90&lt;&gt;""),X90*(1+(Tj-25)*(LOOKUP(A90,Load_Switch_NFET[PARTNUMBER],Load_Switch_NFET[RDSDELTA])/((LOOKUP(A90,Load_Switch_NFET[PARTNUMBER],Load_Switch_NFET[TJMAX])-25)))),"")</f>
        <v/>
      </c>
      <c r="Z90" s="6" t="str">
        <f>IF(AND(A90&lt;&gt;0,A90&lt;&gt;""),LOOKUP(A90,Load_Switch_NFET[PARTNUMBER],Load_Switch_NFET[VTHMAX]),"")</f>
        <v/>
      </c>
      <c r="AA90" s="6" t="str">
        <f>IF(AND(A90&lt;&gt;0,A90&lt;&gt;""),LOOKUP(A90,Load_Switch_NFET[PARTNUMBER],Load_Switch_NFET[VTHMIN]),"")</f>
        <v/>
      </c>
      <c r="AB90" s="6" t="str">
        <f t="shared" si="45"/>
        <v>#N/A</v>
      </c>
      <c r="AC90" s="6" t="str">
        <f>IF(AND(A90&lt;&gt;0,A90&lt;&gt;""),LOOKUP(A90,Load_Switch_NFET[PARTNUMBER],Load_Switch_NFET[RGIMAX]),"")</f>
        <v/>
      </c>
      <c r="AD90" s="6" t="str">
        <f>IF(AND($A90&lt;&gt;0,$A90&lt;&gt;""),LOOKUP($A90,Load_Switch_NFET[PARTNUMBER],Load_Switch_NFET[QGTYP]),"")</f>
        <v/>
      </c>
      <c r="AE90" s="6" t="str">
        <f>IF(AND($A90&lt;&gt;0,$A90&lt;&gt;""),LOOKUP($A90,Load_Switch_NFET[PARTNUMBER],Load_Switch_NFET[QGS]),"")</f>
        <v/>
      </c>
      <c r="AF90" s="6" t="str">
        <f>IF(AND($A90&lt;&gt;0,$A90&lt;&gt;""),LOOKUP($A90,Load_Switch_NFET[PARTNUMBER],Load_Switch_NFET[QGD]),"")</f>
        <v/>
      </c>
      <c r="AG90" s="6" t="str">
        <f>IF(AND($A90&lt;&gt;0,$A90&lt;&gt;""),LOOKUP($A90,Load_Switch_NFET[PARTNUMBER],Load_Switch_NFET[QGTH]),"")</f>
        <v/>
      </c>
      <c r="AH90" s="6" t="str">
        <f>IF(AND($A90&lt;&gt;0,$A90&lt;&gt;""),LOOKUP($A90,Load_Switch_NFET[PARTNUMBER],Load_Switch_NFET[VMILLER]),"")</f>
        <v/>
      </c>
      <c r="AI90" s="6" t="str">
        <f>IF(AND($A90&lt;&gt;0,$A90&lt;&gt;""),LOOKUP($A90,Load_Switch_NFET[PARTNUMBER],Load_Switch_NFET[COSS_AT_VDSSPEC]),"")</f>
        <v/>
      </c>
      <c r="AJ90" s="6" t="str">
        <f t="shared" si="46"/>
        <v/>
      </c>
      <c r="AK90" s="6" t="str">
        <f t="shared" si="47"/>
        <v/>
      </c>
      <c r="AL90" s="6" t="str">
        <f t="shared" si="48"/>
        <v/>
      </c>
      <c r="AM90" s="49" t="str">
        <f t="shared" si="49"/>
        <v/>
      </c>
      <c r="AN90" s="46" t="str">
        <f>IF(AND($A90&lt;&gt;0,$A90&lt;&gt;""),LOOKUP($A90,Load_Switch_NFET[PARTNUMBER],Load_Switch_NFET[1KPRICE]),"")</f>
        <v/>
      </c>
      <c r="AO90" s="6" t="str">
        <f>IF(AND($A90&lt;&gt;0,$A90&lt;&gt;""),LOOKUP(A90,Load_Switch_NFET[PARTNUMBER],Load_Switch_NFET[TI_EQ_PACKAGE]),"")</f>
        <v/>
      </c>
      <c r="AP90" s="6" t="str">
        <f t="shared" si="50"/>
        <v>Invalid Part</v>
      </c>
    </row>
    <row r="91" spans="1:42" x14ac:dyDescent="0.25">
      <c r="A91" s="6">
        <f>IF(CH="N",NLogic!B91,"")</f>
        <v>0</v>
      </c>
      <c r="B91" s="23" t="str">
        <f>IF(OR($A91=0,$A91=""),"0",IF(LOOKUP($A91,Load_Switch_NFET[PARTNUMBER],Load_Switch_NFET[RDSON18])="(NULL)","0","1"))</f>
        <v>0</v>
      </c>
      <c r="C91" s="8" t="str">
        <f>IF(OR($A91=0,$A91=""),"0",IF(LOOKUP($A91,Load_Switch_NFET[PARTNUMBER],Load_Switch_NFET[RDSON25])="(NULL)","0","1"))</f>
        <v>0</v>
      </c>
      <c r="D91" s="9" t="str">
        <f>IF(OR($A91=0,$A91=""),"0",IF(LOOKUP($A91,Load_Switch_NFET[PARTNUMBER],Load_Switch_NFET[RDSON3])="(NULL)","0","1"))</f>
        <v>0</v>
      </c>
      <c r="E91" s="11" t="str">
        <f>IF(OR($A91=0,$A91=""),"0",IF(LOOKUP($A91,Load_Switch_NFET[PARTNUMBER],Load_Switch_NFET[RDSON45])="(NULL)","0","1"))</f>
        <v>0</v>
      </c>
      <c r="F91" s="16" t="str">
        <f>IF(OR($A91=0,$A91=""),"0",IF(LOOKUP($A91,Load_Switch_NFET[PARTNUMBER],Load_Switch_NFET[RDSON6])="(NULL)","0","1"))</f>
        <v>0</v>
      </c>
      <c r="G91" s="3" t="str">
        <f>IF(OR($A91=0,$A91=""),"0",IF(LOOKUP($A91,Load_Switch_NFET[PARTNUMBER],Load_Switch_NFET[RDSON8])="(NULL)","0","1"))</f>
        <v>0</v>
      </c>
      <c r="H91" s="14" t="str">
        <f>IF(OR($A91=0,$A91=""),"0",IF(LOOKUP($A91,Load_Switch_NFET[PARTNUMBER],Load_Switch_NFET[RDSON10])="(NULL)","0","1"))</f>
        <v>0</v>
      </c>
      <c r="I91" s="24" t="b">
        <f t="shared" si="51"/>
        <v>0</v>
      </c>
      <c r="J91" s="7" t="b">
        <f t="shared" si="52"/>
        <v>0</v>
      </c>
      <c r="K91" s="10" t="b">
        <f t="shared" si="53"/>
        <v>0</v>
      </c>
      <c r="L91" s="12" t="b">
        <f t="shared" si="54"/>
        <v>0</v>
      </c>
      <c r="M91" s="17" t="b">
        <f t="shared" si="55"/>
        <v>0</v>
      </c>
      <c r="N91" s="13" t="b">
        <f t="shared" si="56"/>
        <v>0</v>
      </c>
      <c r="O91" s="15" t="b">
        <f t="shared" si="57"/>
        <v>0</v>
      </c>
      <c r="P91" s="18" t="b">
        <f t="shared" si="58"/>
        <v>0</v>
      </c>
      <c r="Q91" s="24" t="b">
        <f t="shared" si="59"/>
        <v>0</v>
      </c>
      <c r="R91" s="7" t="b">
        <f t="shared" si="60"/>
        <v>0</v>
      </c>
      <c r="S91" s="10" t="b">
        <f t="shared" si="40"/>
        <v>0</v>
      </c>
      <c r="T91" s="12" t="b">
        <f t="shared" si="41"/>
        <v>0</v>
      </c>
      <c r="U91" s="17" t="b">
        <f t="shared" si="42"/>
        <v>0</v>
      </c>
      <c r="V91" s="13" t="b">
        <f t="shared" si="43"/>
        <v>0</v>
      </c>
      <c r="W91" s="15" t="b">
        <f t="shared" si="44"/>
        <v>0</v>
      </c>
      <c r="X91" s="6" t="str">
        <f>IF(W91,LOOKUP(A91,Load_Switch_NFET[PARTNUMBER],Load_Switch_NFET[RDSON10])*1000,IF(V91,LOOKUP(A91,Load_Switch_NFET[PARTNUMBER],Load_Switch_NFET[RDSON8])*1000,IF(U91,LOOKUP(A91,Load_Switch_NFET[PARTNUMBER],Load_Switch_NFET[RDSON6])*1000,IF(T91,LOOKUP(A91,Load_Switch_NFET[PARTNUMBER],Load_Switch_NFET[RDSON45])*1000,IF(S91,LOOKUP(A91,Load_Switch_NFET[PARTNUMBER],Load_Switch_NFET[RDSON3])*1000,IF(R91,LOOKUP(A91,Load_Switch_NFET[PARTNUMBER],Load_Switch_NFET[RDSON25])*1000,IF(Q91,LOOKUP(A91,Load_Switch_NFET[PARTNUMBER],Load_Switch_NFET[RDSON18])*1000,"")))))))</f>
        <v/>
      </c>
      <c r="Y91" s="19" t="str">
        <f>IF(AND(A91&lt;&gt;0,A91&lt;&gt;""),X91*(1+(Tj-25)*(LOOKUP(A91,Load_Switch_NFET[PARTNUMBER],Load_Switch_NFET[RDSDELTA])/((LOOKUP(A91,Load_Switch_NFET[PARTNUMBER],Load_Switch_NFET[TJMAX])-25)))),"")</f>
        <v/>
      </c>
      <c r="Z91" s="6" t="str">
        <f>IF(AND(A91&lt;&gt;0,A91&lt;&gt;""),LOOKUP(A91,Load_Switch_NFET[PARTNUMBER],Load_Switch_NFET[VTHMAX]),"")</f>
        <v/>
      </c>
      <c r="AA91" s="6" t="str">
        <f>IF(AND(A91&lt;&gt;0,A91&lt;&gt;""),LOOKUP(A91,Load_Switch_NFET[PARTNUMBER],Load_Switch_NFET[VTHMIN]),"")</f>
        <v/>
      </c>
      <c r="AB91" s="6" t="str">
        <f t="shared" si="45"/>
        <v>#N/A</v>
      </c>
      <c r="AC91" s="6" t="str">
        <f>IF(AND(A91&lt;&gt;0,A91&lt;&gt;""),LOOKUP(A91,Load_Switch_NFET[PARTNUMBER],Load_Switch_NFET[RGIMAX]),"")</f>
        <v/>
      </c>
      <c r="AD91" s="6" t="str">
        <f>IF(AND($A91&lt;&gt;0,$A91&lt;&gt;""),LOOKUP($A91,Load_Switch_NFET[PARTNUMBER],Load_Switch_NFET[QGTYP]),"")</f>
        <v/>
      </c>
      <c r="AE91" s="6" t="str">
        <f>IF(AND($A91&lt;&gt;0,$A91&lt;&gt;""),LOOKUP($A91,Load_Switch_NFET[PARTNUMBER],Load_Switch_NFET[QGS]),"")</f>
        <v/>
      </c>
      <c r="AF91" s="6" t="str">
        <f>IF(AND($A91&lt;&gt;0,$A91&lt;&gt;""),LOOKUP($A91,Load_Switch_NFET[PARTNUMBER],Load_Switch_NFET[QGD]),"")</f>
        <v/>
      </c>
      <c r="AG91" s="6" t="str">
        <f>IF(AND($A91&lt;&gt;0,$A91&lt;&gt;""),LOOKUP($A91,Load_Switch_NFET[PARTNUMBER],Load_Switch_NFET[QGTH]),"")</f>
        <v/>
      </c>
      <c r="AH91" s="6" t="str">
        <f>IF(AND($A91&lt;&gt;0,$A91&lt;&gt;""),LOOKUP($A91,Load_Switch_NFET[PARTNUMBER],Load_Switch_NFET[VMILLER]),"")</f>
        <v/>
      </c>
      <c r="AI91" s="6" t="str">
        <f>IF(AND($A91&lt;&gt;0,$A91&lt;&gt;""),LOOKUP($A91,Load_Switch_NFET[PARTNUMBER],Load_Switch_NFET[COSS_AT_VDSSPEC]),"")</f>
        <v/>
      </c>
      <c r="AJ91" s="6" t="str">
        <f t="shared" si="46"/>
        <v/>
      </c>
      <c r="AK91" s="6" t="str">
        <f t="shared" si="47"/>
        <v/>
      </c>
      <c r="AL91" s="6" t="str">
        <f t="shared" si="48"/>
        <v/>
      </c>
      <c r="AM91" s="49" t="str">
        <f t="shared" si="49"/>
        <v/>
      </c>
      <c r="AN91" s="46" t="str">
        <f>IF(AND($A91&lt;&gt;0,$A91&lt;&gt;""),LOOKUP($A91,Load_Switch_NFET[PARTNUMBER],Load_Switch_NFET[1KPRICE]),"")</f>
        <v/>
      </c>
      <c r="AO91" s="6" t="str">
        <f>IF(AND($A91&lt;&gt;0,$A91&lt;&gt;""),LOOKUP(A91,Load_Switch_NFET[PARTNUMBER],Load_Switch_NFET[TI_EQ_PACKAGE]),"")</f>
        <v/>
      </c>
      <c r="AP91" s="6" t="str">
        <f t="shared" si="50"/>
        <v>Invalid Part</v>
      </c>
    </row>
    <row r="92" spans="1:42" x14ac:dyDescent="0.25">
      <c r="A92" s="6">
        <f>IF(CH="N",NLogic!B92,"")</f>
        <v>0</v>
      </c>
      <c r="B92" s="23" t="str">
        <f>IF(OR($A92=0,$A92=""),"0",IF(LOOKUP($A92,Load_Switch_NFET[PARTNUMBER],Load_Switch_NFET[RDSON18])="(NULL)","0","1"))</f>
        <v>0</v>
      </c>
      <c r="C92" s="8" t="str">
        <f>IF(OR($A92=0,$A92=""),"0",IF(LOOKUP($A92,Load_Switch_NFET[PARTNUMBER],Load_Switch_NFET[RDSON25])="(NULL)","0","1"))</f>
        <v>0</v>
      </c>
      <c r="D92" s="9" t="str">
        <f>IF(OR($A92=0,$A92=""),"0",IF(LOOKUP($A92,Load_Switch_NFET[PARTNUMBER],Load_Switch_NFET[RDSON3])="(NULL)","0","1"))</f>
        <v>0</v>
      </c>
      <c r="E92" s="11" t="str">
        <f>IF(OR($A92=0,$A92=""),"0",IF(LOOKUP($A92,Load_Switch_NFET[PARTNUMBER],Load_Switch_NFET[RDSON45])="(NULL)","0","1"))</f>
        <v>0</v>
      </c>
      <c r="F92" s="16" t="str">
        <f>IF(OR($A92=0,$A92=""),"0",IF(LOOKUP($A92,Load_Switch_NFET[PARTNUMBER],Load_Switch_NFET[RDSON6])="(NULL)","0","1"))</f>
        <v>0</v>
      </c>
      <c r="G92" s="3" t="str">
        <f>IF(OR($A92=0,$A92=""),"0",IF(LOOKUP($A92,Load_Switch_NFET[PARTNUMBER],Load_Switch_NFET[RDSON8])="(NULL)","0","1"))</f>
        <v>0</v>
      </c>
      <c r="H92" s="14" t="str">
        <f>IF(OR($A92=0,$A92=""),"0",IF(LOOKUP($A92,Load_Switch_NFET[PARTNUMBER],Load_Switch_NFET[RDSON10])="(NULL)","0","1"))</f>
        <v>0</v>
      </c>
      <c r="I92" s="24" t="b">
        <f t="shared" si="51"/>
        <v>0</v>
      </c>
      <c r="J92" s="7" t="b">
        <f t="shared" si="52"/>
        <v>0</v>
      </c>
      <c r="K92" s="10" t="b">
        <f t="shared" si="53"/>
        <v>0</v>
      </c>
      <c r="L92" s="12" t="b">
        <f t="shared" si="54"/>
        <v>0</v>
      </c>
      <c r="M92" s="17" t="b">
        <f t="shared" si="55"/>
        <v>0</v>
      </c>
      <c r="N92" s="13" t="b">
        <f t="shared" si="56"/>
        <v>0</v>
      </c>
      <c r="O92" s="15" t="b">
        <f t="shared" si="57"/>
        <v>0</v>
      </c>
      <c r="P92" s="18" t="b">
        <f t="shared" si="58"/>
        <v>0</v>
      </c>
      <c r="Q92" s="24" t="b">
        <f t="shared" si="59"/>
        <v>0</v>
      </c>
      <c r="R92" s="7" t="b">
        <f t="shared" si="60"/>
        <v>0</v>
      </c>
      <c r="S92" s="10" t="b">
        <f t="shared" si="40"/>
        <v>0</v>
      </c>
      <c r="T92" s="12" t="b">
        <f t="shared" si="41"/>
        <v>0</v>
      </c>
      <c r="U92" s="17" t="b">
        <f t="shared" si="42"/>
        <v>0</v>
      </c>
      <c r="V92" s="13" t="b">
        <f t="shared" si="43"/>
        <v>0</v>
      </c>
      <c r="W92" s="15" t="b">
        <f t="shared" si="44"/>
        <v>0</v>
      </c>
      <c r="X92" s="6" t="str">
        <f>IF(W92,LOOKUP(A92,Load_Switch_NFET[PARTNUMBER],Load_Switch_NFET[RDSON10])*1000,IF(V92,LOOKUP(A92,Load_Switch_NFET[PARTNUMBER],Load_Switch_NFET[RDSON8])*1000,IF(U92,LOOKUP(A92,Load_Switch_NFET[PARTNUMBER],Load_Switch_NFET[RDSON6])*1000,IF(T92,LOOKUP(A92,Load_Switch_NFET[PARTNUMBER],Load_Switch_NFET[RDSON45])*1000,IF(S92,LOOKUP(A92,Load_Switch_NFET[PARTNUMBER],Load_Switch_NFET[RDSON3])*1000,IF(R92,LOOKUP(A92,Load_Switch_NFET[PARTNUMBER],Load_Switch_NFET[RDSON25])*1000,IF(Q92,LOOKUP(A92,Load_Switch_NFET[PARTNUMBER],Load_Switch_NFET[RDSON18])*1000,"")))))))</f>
        <v/>
      </c>
      <c r="Y92" s="19" t="str">
        <f>IF(AND(A92&lt;&gt;0,A92&lt;&gt;""),X92*(1+(Tj-25)*(LOOKUP(A92,Load_Switch_NFET[PARTNUMBER],Load_Switch_NFET[RDSDELTA])/((LOOKUP(A92,Load_Switch_NFET[PARTNUMBER],Load_Switch_NFET[TJMAX])-25)))),"")</f>
        <v/>
      </c>
      <c r="Z92" s="6" t="str">
        <f>IF(AND(A92&lt;&gt;0,A92&lt;&gt;""),LOOKUP(A92,Load_Switch_NFET[PARTNUMBER],Load_Switch_NFET[VTHMAX]),"")</f>
        <v/>
      </c>
      <c r="AA92" s="6" t="str">
        <f>IF(AND(A92&lt;&gt;0,A92&lt;&gt;""),LOOKUP(A92,Load_Switch_NFET[PARTNUMBER],Load_Switch_NFET[VTHMIN]),"")</f>
        <v/>
      </c>
      <c r="AB92" s="6" t="str">
        <f t="shared" si="45"/>
        <v>#N/A</v>
      </c>
      <c r="AC92" s="6" t="str">
        <f>IF(AND(A92&lt;&gt;0,A92&lt;&gt;""),LOOKUP(A92,Load_Switch_NFET[PARTNUMBER],Load_Switch_NFET[RGIMAX]),"")</f>
        <v/>
      </c>
      <c r="AD92" s="6" t="str">
        <f>IF(AND($A92&lt;&gt;0,$A92&lt;&gt;""),LOOKUP($A92,Load_Switch_NFET[PARTNUMBER],Load_Switch_NFET[QGTYP]),"")</f>
        <v/>
      </c>
      <c r="AE92" s="6" t="str">
        <f>IF(AND($A92&lt;&gt;0,$A92&lt;&gt;""),LOOKUP($A92,Load_Switch_NFET[PARTNUMBER],Load_Switch_NFET[QGS]),"")</f>
        <v/>
      </c>
      <c r="AF92" s="6" t="str">
        <f>IF(AND($A92&lt;&gt;0,$A92&lt;&gt;""),LOOKUP($A92,Load_Switch_NFET[PARTNUMBER],Load_Switch_NFET[QGD]),"")</f>
        <v/>
      </c>
      <c r="AG92" s="6" t="str">
        <f>IF(AND($A92&lt;&gt;0,$A92&lt;&gt;""),LOOKUP($A92,Load_Switch_NFET[PARTNUMBER],Load_Switch_NFET[QGTH]),"")</f>
        <v/>
      </c>
      <c r="AH92" s="6" t="str">
        <f>IF(AND($A92&lt;&gt;0,$A92&lt;&gt;""),LOOKUP($A92,Load_Switch_NFET[PARTNUMBER],Load_Switch_NFET[VMILLER]),"")</f>
        <v/>
      </c>
      <c r="AI92" s="6" t="str">
        <f>IF(AND($A92&lt;&gt;0,$A92&lt;&gt;""),LOOKUP($A92,Load_Switch_NFET[PARTNUMBER],Load_Switch_NFET[COSS_AT_VDSSPEC]),"")</f>
        <v/>
      </c>
      <c r="AJ92" s="6" t="str">
        <f t="shared" si="46"/>
        <v/>
      </c>
      <c r="AK92" s="6" t="str">
        <f t="shared" si="47"/>
        <v/>
      </c>
      <c r="AL92" s="6" t="str">
        <f t="shared" si="48"/>
        <v/>
      </c>
      <c r="AM92" s="49" t="str">
        <f t="shared" si="49"/>
        <v/>
      </c>
      <c r="AN92" s="46" t="str">
        <f>IF(AND($A92&lt;&gt;0,$A92&lt;&gt;""),LOOKUP($A92,Load_Switch_NFET[PARTNUMBER],Load_Switch_NFET[1KPRICE]),"")</f>
        <v/>
      </c>
      <c r="AO92" s="6" t="str">
        <f>IF(AND($A92&lt;&gt;0,$A92&lt;&gt;""),LOOKUP(A92,Load_Switch_NFET[PARTNUMBER],Load_Switch_NFET[TI_EQ_PACKAGE]),"")</f>
        <v/>
      </c>
      <c r="AP92" s="6" t="str">
        <f t="shared" si="50"/>
        <v>Invalid Part</v>
      </c>
    </row>
    <row r="93" spans="1:42" x14ac:dyDescent="0.25">
      <c r="A93" s="6">
        <f>IF(CH="N",NLogic!B93,"")</f>
        <v>0</v>
      </c>
      <c r="B93" s="23" t="str">
        <f>IF(OR($A93=0,$A93=""),"0",IF(LOOKUP($A93,Load_Switch_NFET[PARTNUMBER],Load_Switch_NFET[RDSON18])="(NULL)","0","1"))</f>
        <v>0</v>
      </c>
      <c r="C93" s="8" t="str">
        <f>IF(OR($A93=0,$A93=""),"0",IF(LOOKUP($A93,Load_Switch_NFET[PARTNUMBER],Load_Switch_NFET[RDSON25])="(NULL)","0","1"))</f>
        <v>0</v>
      </c>
      <c r="D93" s="9" t="str">
        <f>IF(OR($A93=0,$A93=""),"0",IF(LOOKUP($A93,Load_Switch_NFET[PARTNUMBER],Load_Switch_NFET[RDSON3])="(NULL)","0","1"))</f>
        <v>0</v>
      </c>
      <c r="E93" s="11" t="str">
        <f>IF(OR($A93=0,$A93=""),"0",IF(LOOKUP($A93,Load_Switch_NFET[PARTNUMBER],Load_Switch_NFET[RDSON45])="(NULL)","0","1"))</f>
        <v>0</v>
      </c>
      <c r="F93" s="16" t="str">
        <f>IF(OR($A93=0,$A93=""),"0",IF(LOOKUP($A93,Load_Switch_NFET[PARTNUMBER],Load_Switch_NFET[RDSON6])="(NULL)","0","1"))</f>
        <v>0</v>
      </c>
      <c r="G93" s="3" t="str">
        <f>IF(OR($A93=0,$A93=""),"0",IF(LOOKUP($A93,Load_Switch_NFET[PARTNUMBER],Load_Switch_NFET[RDSON8])="(NULL)","0","1"))</f>
        <v>0</v>
      </c>
      <c r="H93" s="14" t="str">
        <f>IF(OR($A93=0,$A93=""),"0",IF(LOOKUP($A93,Load_Switch_NFET[PARTNUMBER],Load_Switch_NFET[RDSON10])="(NULL)","0","1"))</f>
        <v>0</v>
      </c>
      <c r="I93" s="24" t="b">
        <f t="shared" si="51"/>
        <v>0</v>
      </c>
      <c r="J93" s="7" t="b">
        <f t="shared" si="52"/>
        <v>0</v>
      </c>
      <c r="K93" s="10" t="b">
        <f t="shared" si="53"/>
        <v>0</v>
      </c>
      <c r="L93" s="12" t="b">
        <f t="shared" si="54"/>
        <v>0</v>
      </c>
      <c r="M93" s="17" t="b">
        <f t="shared" si="55"/>
        <v>0</v>
      </c>
      <c r="N93" s="13" t="b">
        <f t="shared" si="56"/>
        <v>0</v>
      </c>
      <c r="O93" s="15" t="b">
        <f t="shared" si="57"/>
        <v>0</v>
      </c>
      <c r="P93" s="18" t="b">
        <f t="shared" si="58"/>
        <v>0</v>
      </c>
      <c r="Q93" s="24" t="b">
        <f t="shared" si="59"/>
        <v>0</v>
      </c>
      <c r="R93" s="7" t="b">
        <f t="shared" si="60"/>
        <v>0</v>
      </c>
      <c r="S93" s="10" t="b">
        <f t="shared" si="40"/>
        <v>0</v>
      </c>
      <c r="T93" s="12" t="b">
        <f t="shared" si="41"/>
        <v>0</v>
      </c>
      <c r="U93" s="17" t="b">
        <f t="shared" si="42"/>
        <v>0</v>
      </c>
      <c r="V93" s="13" t="b">
        <f t="shared" si="43"/>
        <v>0</v>
      </c>
      <c r="W93" s="15" t="b">
        <f t="shared" si="44"/>
        <v>0</v>
      </c>
      <c r="X93" s="6" t="str">
        <f>IF(W93,LOOKUP(A93,Load_Switch_NFET[PARTNUMBER],Load_Switch_NFET[RDSON10])*1000,IF(V93,LOOKUP(A93,Load_Switch_NFET[PARTNUMBER],Load_Switch_NFET[RDSON8])*1000,IF(U93,LOOKUP(A93,Load_Switch_NFET[PARTNUMBER],Load_Switch_NFET[RDSON6])*1000,IF(T93,LOOKUP(A93,Load_Switch_NFET[PARTNUMBER],Load_Switch_NFET[RDSON45])*1000,IF(S93,LOOKUP(A93,Load_Switch_NFET[PARTNUMBER],Load_Switch_NFET[RDSON3])*1000,IF(R93,LOOKUP(A93,Load_Switch_NFET[PARTNUMBER],Load_Switch_NFET[RDSON25])*1000,IF(Q93,LOOKUP(A93,Load_Switch_NFET[PARTNUMBER],Load_Switch_NFET[RDSON18])*1000,"")))))))</f>
        <v/>
      </c>
      <c r="Y93" s="19" t="str">
        <f>IF(AND(A93&lt;&gt;0,A93&lt;&gt;""),X93*(1+(Tj-25)*(LOOKUP(A93,Load_Switch_NFET[PARTNUMBER],Load_Switch_NFET[RDSDELTA])/((LOOKUP(A93,Load_Switch_NFET[PARTNUMBER],Load_Switch_NFET[TJMAX])-25)))),"")</f>
        <v/>
      </c>
      <c r="Z93" s="6" t="str">
        <f>IF(AND(A93&lt;&gt;0,A93&lt;&gt;""),LOOKUP(A93,Load_Switch_NFET[PARTNUMBER],Load_Switch_NFET[VTHMAX]),"")</f>
        <v/>
      </c>
      <c r="AA93" s="6" t="str">
        <f>IF(AND(A93&lt;&gt;0,A93&lt;&gt;""),LOOKUP(A93,Load_Switch_NFET[PARTNUMBER],Load_Switch_NFET[VTHMIN]),"")</f>
        <v/>
      </c>
      <c r="AB93" s="6" t="str">
        <f t="shared" si="45"/>
        <v>#N/A</v>
      </c>
      <c r="AC93" s="6" t="str">
        <f>IF(AND(A93&lt;&gt;0,A93&lt;&gt;""),LOOKUP(A93,Load_Switch_NFET[PARTNUMBER],Load_Switch_NFET[RGIMAX]),"")</f>
        <v/>
      </c>
      <c r="AD93" s="6" t="str">
        <f>IF(AND($A93&lt;&gt;0,$A93&lt;&gt;""),LOOKUP($A93,Load_Switch_NFET[PARTNUMBER],Load_Switch_NFET[QGTYP]),"")</f>
        <v/>
      </c>
      <c r="AE93" s="6" t="str">
        <f>IF(AND($A93&lt;&gt;0,$A93&lt;&gt;""),LOOKUP($A93,Load_Switch_NFET[PARTNUMBER],Load_Switch_NFET[QGS]),"")</f>
        <v/>
      </c>
      <c r="AF93" s="6" t="str">
        <f>IF(AND($A93&lt;&gt;0,$A93&lt;&gt;""),LOOKUP($A93,Load_Switch_NFET[PARTNUMBER],Load_Switch_NFET[QGD]),"")</f>
        <v/>
      </c>
      <c r="AG93" s="6" t="str">
        <f>IF(AND($A93&lt;&gt;0,$A93&lt;&gt;""),LOOKUP($A93,Load_Switch_NFET[PARTNUMBER],Load_Switch_NFET[QGTH]),"")</f>
        <v/>
      </c>
      <c r="AH93" s="6" t="str">
        <f>IF(AND($A93&lt;&gt;0,$A93&lt;&gt;""),LOOKUP($A93,Load_Switch_NFET[PARTNUMBER],Load_Switch_NFET[VMILLER]),"")</f>
        <v/>
      </c>
      <c r="AI93" s="6" t="str">
        <f>IF(AND($A93&lt;&gt;0,$A93&lt;&gt;""),LOOKUP($A93,Load_Switch_NFET[PARTNUMBER],Load_Switch_NFET[COSS_AT_VDSSPEC]),"")</f>
        <v/>
      </c>
      <c r="AJ93" s="6" t="str">
        <f t="shared" si="46"/>
        <v/>
      </c>
      <c r="AK93" s="6" t="str">
        <f t="shared" si="47"/>
        <v/>
      </c>
      <c r="AL93" s="6" t="str">
        <f t="shared" si="48"/>
        <v/>
      </c>
      <c r="AM93" s="49" t="str">
        <f t="shared" si="49"/>
        <v/>
      </c>
      <c r="AN93" s="46" t="str">
        <f>IF(AND($A93&lt;&gt;0,$A93&lt;&gt;""),LOOKUP($A93,Load_Switch_NFET[PARTNUMBER],Load_Switch_NFET[1KPRICE]),"")</f>
        <v/>
      </c>
      <c r="AO93" s="6" t="str">
        <f>IF(AND($A93&lt;&gt;0,$A93&lt;&gt;""),LOOKUP(A93,Load_Switch_NFET[PARTNUMBER],Load_Switch_NFET[TI_EQ_PACKAGE]),"")</f>
        <v/>
      </c>
      <c r="AP93" s="6" t="str">
        <f t="shared" si="50"/>
        <v>Invalid Part</v>
      </c>
    </row>
    <row r="94" spans="1:42" x14ac:dyDescent="0.25">
      <c r="A94" s="6">
        <f>IF(CH="N",NLogic!B94,"")</f>
        <v>0</v>
      </c>
      <c r="B94" s="23" t="str">
        <f>IF(OR($A94=0,$A94=""),"0",IF(LOOKUP($A94,Load_Switch_NFET[PARTNUMBER],Load_Switch_NFET[RDSON18])="(NULL)","0","1"))</f>
        <v>0</v>
      </c>
      <c r="C94" s="8" t="str">
        <f>IF(OR($A94=0,$A94=""),"0",IF(LOOKUP($A94,Load_Switch_NFET[PARTNUMBER],Load_Switch_NFET[RDSON25])="(NULL)","0","1"))</f>
        <v>0</v>
      </c>
      <c r="D94" s="9" t="str">
        <f>IF(OR($A94=0,$A94=""),"0",IF(LOOKUP($A94,Load_Switch_NFET[PARTNUMBER],Load_Switch_NFET[RDSON3])="(NULL)","0","1"))</f>
        <v>0</v>
      </c>
      <c r="E94" s="11" t="str">
        <f>IF(OR($A94=0,$A94=""),"0",IF(LOOKUP($A94,Load_Switch_NFET[PARTNUMBER],Load_Switch_NFET[RDSON45])="(NULL)","0","1"))</f>
        <v>0</v>
      </c>
      <c r="F94" s="16" t="str">
        <f>IF(OR($A94=0,$A94=""),"0",IF(LOOKUP($A94,Load_Switch_NFET[PARTNUMBER],Load_Switch_NFET[RDSON6])="(NULL)","0","1"))</f>
        <v>0</v>
      </c>
      <c r="G94" s="3" t="str">
        <f>IF(OR($A94=0,$A94=""),"0",IF(LOOKUP($A94,Load_Switch_NFET[PARTNUMBER],Load_Switch_NFET[RDSON8])="(NULL)","0","1"))</f>
        <v>0</v>
      </c>
      <c r="H94" s="14" t="str">
        <f>IF(OR($A94=0,$A94=""),"0",IF(LOOKUP($A94,Load_Switch_NFET[PARTNUMBER],Load_Switch_NFET[RDSON10])="(NULL)","0","1"))</f>
        <v>0</v>
      </c>
      <c r="I94" s="24" t="b">
        <f t="shared" si="51"/>
        <v>0</v>
      </c>
      <c r="J94" s="7" t="b">
        <f t="shared" si="52"/>
        <v>0</v>
      </c>
      <c r="K94" s="10" t="b">
        <f t="shared" si="53"/>
        <v>0</v>
      </c>
      <c r="L94" s="12" t="b">
        <f t="shared" si="54"/>
        <v>0</v>
      </c>
      <c r="M94" s="17" t="b">
        <f t="shared" si="55"/>
        <v>0</v>
      </c>
      <c r="N94" s="13" t="b">
        <f t="shared" si="56"/>
        <v>0</v>
      </c>
      <c r="O94" s="15" t="b">
        <f t="shared" si="57"/>
        <v>0</v>
      </c>
      <c r="P94" s="18" t="b">
        <f t="shared" si="58"/>
        <v>0</v>
      </c>
      <c r="Q94" s="24" t="b">
        <f t="shared" si="59"/>
        <v>0</v>
      </c>
      <c r="R94" s="7" t="b">
        <f t="shared" si="60"/>
        <v>0</v>
      </c>
      <c r="S94" s="10" t="b">
        <f t="shared" si="40"/>
        <v>0</v>
      </c>
      <c r="T94" s="12" t="b">
        <f t="shared" si="41"/>
        <v>0</v>
      </c>
      <c r="U94" s="17" t="b">
        <f t="shared" si="42"/>
        <v>0</v>
      </c>
      <c r="V94" s="13" t="b">
        <f t="shared" si="43"/>
        <v>0</v>
      </c>
      <c r="W94" s="15" t="b">
        <f t="shared" si="44"/>
        <v>0</v>
      </c>
      <c r="X94" s="6" t="str">
        <f>IF(W94,LOOKUP(A94,Load_Switch_NFET[PARTNUMBER],Load_Switch_NFET[RDSON10])*1000,IF(V94,LOOKUP(A94,Load_Switch_NFET[PARTNUMBER],Load_Switch_NFET[RDSON8])*1000,IF(U94,LOOKUP(A94,Load_Switch_NFET[PARTNUMBER],Load_Switch_NFET[RDSON6])*1000,IF(T94,LOOKUP(A94,Load_Switch_NFET[PARTNUMBER],Load_Switch_NFET[RDSON45])*1000,IF(S94,LOOKUP(A94,Load_Switch_NFET[PARTNUMBER],Load_Switch_NFET[RDSON3])*1000,IF(R94,LOOKUP(A94,Load_Switch_NFET[PARTNUMBER],Load_Switch_NFET[RDSON25])*1000,IF(Q94,LOOKUP(A94,Load_Switch_NFET[PARTNUMBER],Load_Switch_NFET[RDSON18])*1000,"")))))))</f>
        <v/>
      </c>
      <c r="Y94" s="19" t="str">
        <f>IF(AND(A94&lt;&gt;0,A94&lt;&gt;""),X94*(1+(Tj-25)*(LOOKUP(A94,Load_Switch_NFET[PARTNUMBER],Load_Switch_NFET[RDSDELTA])/((LOOKUP(A94,Load_Switch_NFET[PARTNUMBER],Load_Switch_NFET[TJMAX])-25)))),"")</f>
        <v/>
      </c>
      <c r="Z94" s="6" t="str">
        <f>IF(AND(A94&lt;&gt;0,A94&lt;&gt;""),LOOKUP(A94,Load_Switch_NFET[PARTNUMBER],Load_Switch_NFET[VTHMAX]),"")</f>
        <v/>
      </c>
      <c r="AA94" s="6" t="str">
        <f>IF(AND(A94&lt;&gt;0,A94&lt;&gt;""),LOOKUP(A94,Load_Switch_NFET[PARTNUMBER],Load_Switch_NFET[VTHMIN]),"")</f>
        <v/>
      </c>
      <c r="AB94" s="6" t="str">
        <f t="shared" si="45"/>
        <v>#N/A</v>
      </c>
      <c r="AC94" s="6" t="str">
        <f>IF(AND(A94&lt;&gt;0,A94&lt;&gt;""),LOOKUP(A94,Load_Switch_NFET[PARTNUMBER],Load_Switch_NFET[RGIMAX]),"")</f>
        <v/>
      </c>
      <c r="AD94" s="6" t="str">
        <f>IF(AND($A94&lt;&gt;0,$A94&lt;&gt;""),LOOKUP($A94,Load_Switch_NFET[PARTNUMBER],Load_Switch_NFET[QGTYP]),"")</f>
        <v/>
      </c>
      <c r="AE94" s="6" t="str">
        <f>IF(AND($A94&lt;&gt;0,$A94&lt;&gt;""),LOOKUP($A94,Load_Switch_NFET[PARTNUMBER],Load_Switch_NFET[QGS]),"")</f>
        <v/>
      </c>
      <c r="AF94" s="6" t="str">
        <f>IF(AND($A94&lt;&gt;0,$A94&lt;&gt;""),LOOKUP($A94,Load_Switch_NFET[PARTNUMBER],Load_Switch_NFET[QGD]),"")</f>
        <v/>
      </c>
      <c r="AG94" s="6" t="str">
        <f>IF(AND($A94&lt;&gt;0,$A94&lt;&gt;""),LOOKUP($A94,Load_Switch_NFET[PARTNUMBER],Load_Switch_NFET[QGTH]),"")</f>
        <v/>
      </c>
      <c r="AH94" s="6" t="str">
        <f>IF(AND($A94&lt;&gt;0,$A94&lt;&gt;""),LOOKUP($A94,Load_Switch_NFET[PARTNUMBER],Load_Switch_NFET[VMILLER]),"")</f>
        <v/>
      </c>
      <c r="AI94" s="6" t="str">
        <f>IF(AND($A94&lt;&gt;0,$A94&lt;&gt;""),LOOKUP($A94,Load_Switch_NFET[PARTNUMBER],Load_Switch_NFET[COSS_AT_VDSSPEC]),"")</f>
        <v/>
      </c>
      <c r="AJ94" s="6" t="str">
        <f t="shared" si="46"/>
        <v/>
      </c>
      <c r="AK94" s="6" t="str">
        <f t="shared" si="47"/>
        <v/>
      </c>
      <c r="AL94" s="6" t="str">
        <f t="shared" si="48"/>
        <v/>
      </c>
      <c r="AM94" s="49" t="str">
        <f t="shared" si="49"/>
        <v/>
      </c>
      <c r="AN94" s="46" t="str">
        <f>IF(AND($A94&lt;&gt;0,$A94&lt;&gt;""),LOOKUP($A94,Load_Switch_NFET[PARTNUMBER],Load_Switch_NFET[1KPRICE]),"")</f>
        <v/>
      </c>
      <c r="AO94" s="6" t="str">
        <f>IF(AND($A94&lt;&gt;0,$A94&lt;&gt;""),LOOKUP(A94,Load_Switch_NFET[PARTNUMBER],Load_Switch_NFET[TI_EQ_PACKAGE]),"")</f>
        <v/>
      </c>
      <c r="AP94" s="6" t="str">
        <f t="shared" si="50"/>
        <v>Invalid Part</v>
      </c>
    </row>
    <row r="95" spans="1:42" x14ac:dyDescent="0.25">
      <c r="A95" s="6">
        <f>IF(CH="N",NLogic!B95,"")</f>
        <v>0</v>
      </c>
      <c r="B95" s="23" t="str">
        <f>IF(OR($A95=0,$A95=""),"0",IF(LOOKUP($A95,Load_Switch_NFET[PARTNUMBER],Load_Switch_NFET[RDSON18])="(NULL)","0","1"))</f>
        <v>0</v>
      </c>
      <c r="C95" s="8" t="str">
        <f>IF(OR($A95=0,$A95=""),"0",IF(LOOKUP($A95,Load_Switch_NFET[PARTNUMBER],Load_Switch_NFET[RDSON25])="(NULL)","0","1"))</f>
        <v>0</v>
      </c>
      <c r="D95" s="9" t="str">
        <f>IF(OR($A95=0,$A95=""),"0",IF(LOOKUP($A95,Load_Switch_NFET[PARTNUMBER],Load_Switch_NFET[RDSON3])="(NULL)","0","1"))</f>
        <v>0</v>
      </c>
      <c r="E95" s="11" t="str">
        <f>IF(OR($A95=0,$A95=""),"0",IF(LOOKUP($A95,Load_Switch_NFET[PARTNUMBER],Load_Switch_NFET[RDSON45])="(NULL)","0","1"))</f>
        <v>0</v>
      </c>
      <c r="F95" s="16" t="str">
        <f>IF(OR($A95=0,$A95=""),"0",IF(LOOKUP($A95,Load_Switch_NFET[PARTNUMBER],Load_Switch_NFET[RDSON6])="(NULL)","0","1"))</f>
        <v>0</v>
      </c>
      <c r="G95" s="3" t="str">
        <f>IF(OR($A95=0,$A95=""),"0",IF(LOOKUP($A95,Load_Switch_NFET[PARTNUMBER],Load_Switch_NFET[RDSON8])="(NULL)","0","1"))</f>
        <v>0</v>
      </c>
      <c r="H95" s="14" t="str">
        <f>IF(OR($A95=0,$A95=""),"0",IF(LOOKUP($A95,Load_Switch_NFET[PARTNUMBER],Load_Switch_NFET[RDSON10])="(NULL)","0","1"))</f>
        <v>0</v>
      </c>
      <c r="I95" s="24" t="b">
        <f t="shared" si="51"/>
        <v>0</v>
      </c>
      <c r="J95" s="7" t="b">
        <f t="shared" si="52"/>
        <v>0</v>
      </c>
      <c r="K95" s="10" t="b">
        <f t="shared" si="53"/>
        <v>0</v>
      </c>
      <c r="L95" s="12" t="b">
        <f t="shared" si="54"/>
        <v>0</v>
      </c>
      <c r="M95" s="17" t="b">
        <f t="shared" si="55"/>
        <v>0</v>
      </c>
      <c r="N95" s="13" t="b">
        <f t="shared" si="56"/>
        <v>0</v>
      </c>
      <c r="O95" s="15" t="b">
        <f t="shared" si="57"/>
        <v>0</v>
      </c>
      <c r="P95" s="18" t="b">
        <f t="shared" si="58"/>
        <v>0</v>
      </c>
      <c r="Q95" s="24" t="b">
        <f t="shared" si="59"/>
        <v>0</v>
      </c>
      <c r="R95" s="7" t="b">
        <f t="shared" si="60"/>
        <v>0</v>
      </c>
      <c r="S95" s="10" t="b">
        <f t="shared" si="40"/>
        <v>0</v>
      </c>
      <c r="T95" s="12" t="b">
        <f t="shared" si="41"/>
        <v>0</v>
      </c>
      <c r="U95" s="17" t="b">
        <f t="shared" si="42"/>
        <v>0</v>
      </c>
      <c r="V95" s="13" t="b">
        <f t="shared" si="43"/>
        <v>0</v>
      </c>
      <c r="W95" s="15" t="b">
        <f t="shared" si="44"/>
        <v>0</v>
      </c>
      <c r="X95" s="6" t="str">
        <f>IF(W95,LOOKUP(A95,Load_Switch_NFET[PARTNUMBER],Load_Switch_NFET[RDSON10])*1000,IF(V95,LOOKUP(A95,Load_Switch_NFET[PARTNUMBER],Load_Switch_NFET[RDSON8])*1000,IF(U95,LOOKUP(A95,Load_Switch_NFET[PARTNUMBER],Load_Switch_NFET[RDSON6])*1000,IF(T95,LOOKUP(A95,Load_Switch_NFET[PARTNUMBER],Load_Switch_NFET[RDSON45])*1000,IF(S95,LOOKUP(A95,Load_Switch_NFET[PARTNUMBER],Load_Switch_NFET[RDSON3])*1000,IF(R95,LOOKUP(A95,Load_Switch_NFET[PARTNUMBER],Load_Switch_NFET[RDSON25])*1000,IF(Q95,LOOKUP(A95,Load_Switch_NFET[PARTNUMBER],Load_Switch_NFET[RDSON18])*1000,"")))))))</f>
        <v/>
      </c>
      <c r="Y95" s="19" t="str">
        <f>IF(AND(A95&lt;&gt;0,A95&lt;&gt;""),X95*(1+(Tj-25)*(LOOKUP(A95,Load_Switch_NFET[PARTNUMBER],Load_Switch_NFET[RDSDELTA])/((LOOKUP(A95,Load_Switch_NFET[PARTNUMBER],Load_Switch_NFET[TJMAX])-25)))),"")</f>
        <v/>
      </c>
      <c r="Z95" s="6" t="str">
        <f>IF(AND(A95&lt;&gt;0,A95&lt;&gt;""),LOOKUP(A95,Load_Switch_NFET[PARTNUMBER],Load_Switch_NFET[VTHMAX]),"")</f>
        <v/>
      </c>
      <c r="AA95" s="6" t="str">
        <f>IF(AND(A95&lt;&gt;0,A95&lt;&gt;""),LOOKUP(A95,Load_Switch_NFET[PARTNUMBER],Load_Switch_NFET[VTHMIN]),"")</f>
        <v/>
      </c>
      <c r="AB95" s="6" t="str">
        <f t="shared" si="45"/>
        <v>#N/A</v>
      </c>
      <c r="AC95" s="6" t="str">
        <f>IF(AND(A95&lt;&gt;0,A95&lt;&gt;""),LOOKUP(A95,Load_Switch_NFET[PARTNUMBER],Load_Switch_NFET[RGIMAX]),"")</f>
        <v/>
      </c>
      <c r="AD95" s="6" t="str">
        <f>IF(AND($A95&lt;&gt;0,$A95&lt;&gt;""),LOOKUP($A95,Load_Switch_NFET[PARTNUMBER],Load_Switch_NFET[QGTYP]),"")</f>
        <v/>
      </c>
      <c r="AE95" s="6" t="str">
        <f>IF(AND($A95&lt;&gt;0,$A95&lt;&gt;""),LOOKUP($A95,Load_Switch_NFET[PARTNUMBER],Load_Switch_NFET[QGS]),"")</f>
        <v/>
      </c>
      <c r="AF95" s="6" t="str">
        <f>IF(AND($A95&lt;&gt;0,$A95&lt;&gt;""),LOOKUP($A95,Load_Switch_NFET[PARTNUMBER],Load_Switch_NFET[QGD]),"")</f>
        <v/>
      </c>
      <c r="AG95" s="6" t="str">
        <f>IF(AND($A95&lt;&gt;0,$A95&lt;&gt;""),LOOKUP($A95,Load_Switch_NFET[PARTNUMBER],Load_Switch_NFET[QGTH]),"")</f>
        <v/>
      </c>
      <c r="AH95" s="6" t="str">
        <f>IF(AND($A95&lt;&gt;0,$A95&lt;&gt;""),LOOKUP($A95,Load_Switch_NFET[PARTNUMBER],Load_Switch_NFET[VMILLER]),"")</f>
        <v/>
      </c>
      <c r="AI95" s="6" t="str">
        <f>IF(AND($A95&lt;&gt;0,$A95&lt;&gt;""),LOOKUP($A95,Load_Switch_NFET[PARTNUMBER],Load_Switch_NFET[COSS_AT_VDSSPEC]),"")</f>
        <v/>
      </c>
      <c r="AJ95" s="6" t="str">
        <f t="shared" si="46"/>
        <v/>
      </c>
      <c r="AK95" s="6" t="str">
        <f t="shared" si="47"/>
        <v/>
      </c>
      <c r="AL95" s="6" t="str">
        <f t="shared" si="48"/>
        <v/>
      </c>
      <c r="AM95" s="49" t="str">
        <f t="shared" si="49"/>
        <v/>
      </c>
      <c r="AN95" s="46" t="str">
        <f>IF(AND($A95&lt;&gt;0,$A95&lt;&gt;""),LOOKUP($A95,Load_Switch_NFET[PARTNUMBER],Load_Switch_NFET[1KPRICE]),"")</f>
        <v/>
      </c>
      <c r="AO95" s="6" t="str">
        <f>IF(AND($A95&lt;&gt;0,$A95&lt;&gt;""),LOOKUP(A95,Load_Switch_NFET[PARTNUMBER],Load_Switch_NFET[TI_EQ_PACKAGE]),"")</f>
        <v/>
      </c>
      <c r="AP95" s="6" t="str">
        <f t="shared" si="50"/>
        <v>Invalid Part</v>
      </c>
    </row>
    <row r="96" spans="1:42" x14ac:dyDescent="0.25">
      <c r="A96" s="6">
        <f>IF(CH="N",NLogic!B96,"")</f>
        <v>0</v>
      </c>
      <c r="B96" s="23" t="str">
        <f>IF(OR($A96=0,$A96=""),"0",IF(LOOKUP($A96,Load_Switch_NFET[PARTNUMBER],Load_Switch_NFET[RDSON18])="(NULL)","0","1"))</f>
        <v>0</v>
      </c>
      <c r="C96" s="8" t="str">
        <f>IF(OR($A96=0,$A96=""),"0",IF(LOOKUP($A96,Load_Switch_NFET[PARTNUMBER],Load_Switch_NFET[RDSON25])="(NULL)","0","1"))</f>
        <v>0</v>
      </c>
      <c r="D96" s="9" t="str">
        <f>IF(OR($A96=0,$A96=""),"0",IF(LOOKUP($A96,Load_Switch_NFET[PARTNUMBER],Load_Switch_NFET[RDSON3])="(NULL)","0","1"))</f>
        <v>0</v>
      </c>
      <c r="E96" s="11" t="str">
        <f>IF(OR($A96=0,$A96=""),"0",IF(LOOKUP($A96,Load_Switch_NFET[PARTNUMBER],Load_Switch_NFET[RDSON45])="(NULL)","0","1"))</f>
        <v>0</v>
      </c>
      <c r="F96" s="16" t="str">
        <f>IF(OR($A96=0,$A96=""),"0",IF(LOOKUP($A96,Load_Switch_NFET[PARTNUMBER],Load_Switch_NFET[RDSON6])="(NULL)","0","1"))</f>
        <v>0</v>
      </c>
      <c r="G96" s="3" t="str">
        <f>IF(OR($A96=0,$A96=""),"0",IF(LOOKUP($A96,Load_Switch_NFET[PARTNUMBER],Load_Switch_NFET[RDSON8])="(NULL)","0","1"))</f>
        <v>0</v>
      </c>
      <c r="H96" s="14" t="str">
        <f>IF(OR($A96=0,$A96=""),"0",IF(LOOKUP($A96,Load_Switch_NFET[PARTNUMBER],Load_Switch_NFET[RDSON10])="(NULL)","0","1"))</f>
        <v>0</v>
      </c>
      <c r="I96" s="24" t="b">
        <f t="shared" si="51"/>
        <v>0</v>
      </c>
      <c r="J96" s="7" t="b">
        <f t="shared" si="52"/>
        <v>0</v>
      </c>
      <c r="K96" s="10" t="b">
        <f t="shared" si="53"/>
        <v>0</v>
      </c>
      <c r="L96" s="12" t="b">
        <f t="shared" si="54"/>
        <v>0</v>
      </c>
      <c r="M96" s="17" t="b">
        <f t="shared" si="55"/>
        <v>0</v>
      </c>
      <c r="N96" s="13" t="b">
        <f t="shared" si="56"/>
        <v>0</v>
      </c>
      <c r="O96" s="15" t="b">
        <f t="shared" si="57"/>
        <v>0</v>
      </c>
      <c r="P96" s="18" t="b">
        <f t="shared" si="58"/>
        <v>0</v>
      </c>
      <c r="Q96" s="24" t="b">
        <f t="shared" si="59"/>
        <v>0</v>
      </c>
      <c r="R96" s="7" t="b">
        <f t="shared" si="60"/>
        <v>0</v>
      </c>
      <c r="S96" s="10" t="b">
        <f t="shared" si="40"/>
        <v>0</v>
      </c>
      <c r="T96" s="12" t="b">
        <f t="shared" si="41"/>
        <v>0</v>
      </c>
      <c r="U96" s="17" t="b">
        <f t="shared" si="42"/>
        <v>0</v>
      </c>
      <c r="V96" s="13" t="b">
        <f t="shared" si="43"/>
        <v>0</v>
      </c>
      <c r="W96" s="15" t="b">
        <f t="shared" si="44"/>
        <v>0</v>
      </c>
      <c r="X96" s="6" t="str">
        <f>IF(W96,LOOKUP(A96,Load_Switch_NFET[PARTNUMBER],Load_Switch_NFET[RDSON10])*1000,IF(V96,LOOKUP(A96,Load_Switch_NFET[PARTNUMBER],Load_Switch_NFET[RDSON8])*1000,IF(U96,LOOKUP(A96,Load_Switch_NFET[PARTNUMBER],Load_Switch_NFET[RDSON6])*1000,IF(T96,LOOKUP(A96,Load_Switch_NFET[PARTNUMBER],Load_Switch_NFET[RDSON45])*1000,IF(S96,LOOKUP(A96,Load_Switch_NFET[PARTNUMBER],Load_Switch_NFET[RDSON3])*1000,IF(R96,LOOKUP(A96,Load_Switch_NFET[PARTNUMBER],Load_Switch_NFET[RDSON25])*1000,IF(Q96,LOOKUP(A96,Load_Switch_NFET[PARTNUMBER],Load_Switch_NFET[RDSON18])*1000,"")))))))</f>
        <v/>
      </c>
      <c r="Y96" s="19" t="str">
        <f>IF(AND(A96&lt;&gt;0,A96&lt;&gt;""),X96*(1+(Tj-25)*(LOOKUP(A96,Load_Switch_NFET[PARTNUMBER],Load_Switch_NFET[RDSDELTA])/((LOOKUP(A96,Load_Switch_NFET[PARTNUMBER],Load_Switch_NFET[TJMAX])-25)))),"")</f>
        <v/>
      </c>
      <c r="Z96" s="6" t="str">
        <f>IF(AND(A96&lt;&gt;0,A96&lt;&gt;""),LOOKUP(A96,Load_Switch_NFET[PARTNUMBER],Load_Switch_NFET[VTHMAX]),"")</f>
        <v/>
      </c>
      <c r="AA96" s="6" t="str">
        <f>IF(AND(A96&lt;&gt;0,A96&lt;&gt;""),LOOKUP(A96,Load_Switch_NFET[PARTNUMBER],Load_Switch_NFET[VTHMIN]),"")</f>
        <v/>
      </c>
      <c r="AB96" s="6" t="str">
        <f t="shared" si="45"/>
        <v>#N/A</v>
      </c>
      <c r="AC96" s="6" t="str">
        <f>IF(AND(A96&lt;&gt;0,A96&lt;&gt;""),LOOKUP(A96,Load_Switch_NFET[PARTNUMBER],Load_Switch_NFET[RGIMAX]),"")</f>
        <v/>
      </c>
      <c r="AD96" s="6" t="str">
        <f>IF(AND($A96&lt;&gt;0,$A96&lt;&gt;""),LOOKUP($A96,Load_Switch_NFET[PARTNUMBER],Load_Switch_NFET[QGTYP]),"")</f>
        <v/>
      </c>
      <c r="AE96" s="6" t="str">
        <f>IF(AND($A96&lt;&gt;0,$A96&lt;&gt;""),LOOKUP($A96,Load_Switch_NFET[PARTNUMBER],Load_Switch_NFET[QGS]),"")</f>
        <v/>
      </c>
      <c r="AF96" s="6" t="str">
        <f>IF(AND($A96&lt;&gt;0,$A96&lt;&gt;""),LOOKUP($A96,Load_Switch_NFET[PARTNUMBER],Load_Switch_NFET[QGD]),"")</f>
        <v/>
      </c>
      <c r="AG96" s="6" t="str">
        <f>IF(AND($A96&lt;&gt;0,$A96&lt;&gt;""),LOOKUP($A96,Load_Switch_NFET[PARTNUMBER],Load_Switch_NFET[QGTH]),"")</f>
        <v/>
      </c>
      <c r="AH96" s="6" t="str">
        <f>IF(AND($A96&lt;&gt;0,$A96&lt;&gt;""),LOOKUP($A96,Load_Switch_NFET[PARTNUMBER],Load_Switch_NFET[VMILLER]),"")</f>
        <v/>
      </c>
      <c r="AI96" s="6" t="str">
        <f>IF(AND($A96&lt;&gt;0,$A96&lt;&gt;""),LOOKUP($A96,Load_Switch_NFET[PARTNUMBER],Load_Switch_NFET[COSS_AT_VDSSPEC]),"")</f>
        <v/>
      </c>
      <c r="AJ96" s="6" t="str">
        <f t="shared" si="46"/>
        <v/>
      </c>
      <c r="AK96" s="6" t="str">
        <f t="shared" si="47"/>
        <v/>
      </c>
      <c r="AL96" s="6" t="str">
        <f t="shared" si="48"/>
        <v/>
      </c>
      <c r="AM96" s="49" t="str">
        <f t="shared" si="49"/>
        <v/>
      </c>
      <c r="AN96" s="46" t="str">
        <f>IF(AND($A96&lt;&gt;0,$A96&lt;&gt;""),LOOKUP($A96,Load_Switch_NFET[PARTNUMBER],Load_Switch_NFET[1KPRICE]),"")</f>
        <v/>
      </c>
      <c r="AO96" s="6" t="str">
        <f>IF(AND($A96&lt;&gt;0,$A96&lt;&gt;""),LOOKUP(A96,Load_Switch_NFET[PARTNUMBER],Load_Switch_NFET[TI_EQ_PACKAGE]),"")</f>
        <v/>
      </c>
      <c r="AP96" s="6" t="str">
        <f t="shared" si="50"/>
        <v>Invalid Part</v>
      </c>
    </row>
    <row r="97" spans="1:42" x14ac:dyDescent="0.25">
      <c r="A97" s="6">
        <f>IF(CH="N",NLogic!B97,"")</f>
        <v>0</v>
      </c>
      <c r="B97" s="23" t="str">
        <f>IF(OR($A97=0,$A97=""),"0",IF(LOOKUP($A97,Load_Switch_NFET[PARTNUMBER],Load_Switch_NFET[RDSON18])="(NULL)","0","1"))</f>
        <v>0</v>
      </c>
      <c r="C97" s="8" t="str">
        <f>IF(OR($A97=0,$A97=""),"0",IF(LOOKUP($A97,Load_Switch_NFET[PARTNUMBER],Load_Switch_NFET[RDSON25])="(NULL)","0","1"))</f>
        <v>0</v>
      </c>
      <c r="D97" s="9" t="str">
        <f>IF(OR($A97=0,$A97=""),"0",IF(LOOKUP($A97,Load_Switch_NFET[PARTNUMBER],Load_Switch_NFET[RDSON3])="(NULL)","0","1"))</f>
        <v>0</v>
      </c>
      <c r="E97" s="11" t="str">
        <f>IF(OR($A97=0,$A97=""),"0",IF(LOOKUP($A97,Load_Switch_NFET[PARTNUMBER],Load_Switch_NFET[RDSON45])="(NULL)","0","1"))</f>
        <v>0</v>
      </c>
      <c r="F97" s="16" t="str">
        <f>IF(OR($A97=0,$A97=""),"0",IF(LOOKUP($A97,Load_Switch_NFET[PARTNUMBER],Load_Switch_NFET[RDSON6])="(NULL)","0","1"))</f>
        <v>0</v>
      </c>
      <c r="G97" s="3" t="str">
        <f>IF(OR($A97=0,$A97=""),"0",IF(LOOKUP($A97,Load_Switch_NFET[PARTNUMBER],Load_Switch_NFET[RDSON8])="(NULL)","0","1"))</f>
        <v>0</v>
      </c>
      <c r="H97" s="14" t="str">
        <f>IF(OR($A97=0,$A97=""),"0",IF(LOOKUP($A97,Load_Switch_NFET[PARTNUMBER],Load_Switch_NFET[RDSON10])="(NULL)","0","1"))</f>
        <v>0</v>
      </c>
      <c r="I97" s="24" t="b">
        <f t="shared" si="51"/>
        <v>0</v>
      </c>
      <c r="J97" s="7" t="b">
        <f t="shared" si="52"/>
        <v>0</v>
      </c>
      <c r="K97" s="10" t="b">
        <f t="shared" si="53"/>
        <v>0</v>
      </c>
      <c r="L97" s="12" t="b">
        <f t="shared" si="54"/>
        <v>0</v>
      </c>
      <c r="M97" s="17" t="b">
        <f t="shared" si="55"/>
        <v>0</v>
      </c>
      <c r="N97" s="13" t="b">
        <f t="shared" si="56"/>
        <v>0</v>
      </c>
      <c r="O97" s="15" t="b">
        <f t="shared" si="57"/>
        <v>0</v>
      </c>
      <c r="P97" s="18" t="b">
        <f t="shared" si="58"/>
        <v>0</v>
      </c>
      <c r="Q97" s="24" t="b">
        <f t="shared" si="59"/>
        <v>0</v>
      </c>
      <c r="R97" s="7" t="b">
        <f t="shared" si="60"/>
        <v>0</v>
      </c>
      <c r="S97" s="10" t="b">
        <f t="shared" si="40"/>
        <v>0</v>
      </c>
      <c r="T97" s="12" t="b">
        <f t="shared" si="41"/>
        <v>0</v>
      </c>
      <c r="U97" s="17" t="b">
        <f t="shared" si="42"/>
        <v>0</v>
      </c>
      <c r="V97" s="13" t="b">
        <f t="shared" si="43"/>
        <v>0</v>
      </c>
      <c r="W97" s="15" t="b">
        <f t="shared" si="44"/>
        <v>0</v>
      </c>
      <c r="X97" s="6" t="str">
        <f>IF(W97,LOOKUP(A97,Load_Switch_NFET[PARTNUMBER],Load_Switch_NFET[RDSON10])*1000,IF(V97,LOOKUP(A97,Load_Switch_NFET[PARTNUMBER],Load_Switch_NFET[RDSON8])*1000,IF(U97,LOOKUP(A97,Load_Switch_NFET[PARTNUMBER],Load_Switch_NFET[RDSON6])*1000,IF(T97,LOOKUP(A97,Load_Switch_NFET[PARTNUMBER],Load_Switch_NFET[RDSON45])*1000,IF(S97,LOOKUP(A97,Load_Switch_NFET[PARTNUMBER],Load_Switch_NFET[RDSON3])*1000,IF(R97,LOOKUP(A97,Load_Switch_NFET[PARTNUMBER],Load_Switch_NFET[RDSON25])*1000,IF(Q97,LOOKUP(A97,Load_Switch_NFET[PARTNUMBER],Load_Switch_NFET[RDSON18])*1000,"")))))))</f>
        <v/>
      </c>
      <c r="Y97" s="19" t="str">
        <f>IF(AND(A97&lt;&gt;0,A97&lt;&gt;""),X97*(1+(Tj-25)*(LOOKUP(A97,Load_Switch_NFET[PARTNUMBER],Load_Switch_NFET[RDSDELTA])/((LOOKUP(A97,Load_Switch_NFET[PARTNUMBER],Load_Switch_NFET[TJMAX])-25)))),"")</f>
        <v/>
      </c>
      <c r="Z97" s="6" t="str">
        <f>IF(AND(A97&lt;&gt;0,A97&lt;&gt;""),LOOKUP(A97,Load_Switch_NFET[PARTNUMBER],Load_Switch_NFET[VTHMAX]),"")</f>
        <v/>
      </c>
      <c r="AA97" s="6" t="str">
        <f>IF(AND(A97&lt;&gt;0,A97&lt;&gt;""),LOOKUP(A97,Load_Switch_NFET[PARTNUMBER],Load_Switch_NFET[VTHMIN]),"")</f>
        <v/>
      </c>
      <c r="AB97" s="6" t="str">
        <f t="shared" si="45"/>
        <v>#N/A</v>
      </c>
      <c r="AC97" s="6" t="str">
        <f>IF(AND(A97&lt;&gt;0,A97&lt;&gt;""),LOOKUP(A97,Load_Switch_NFET[PARTNUMBER],Load_Switch_NFET[RGIMAX]),"")</f>
        <v/>
      </c>
      <c r="AD97" s="6" t="str">
        <f>IF(AND($A97&lt;&gt;0,$A97&lt;&gt;""),LOOKUP($A97,Load_Switch_NFET[PARTNUMBER],Load_Switch_NFET[QGTYP]),"")</f>
        <v/>
      </c>
      <c r="AE97" s="6" t="str">
        <f>IF(AND($A97&lt;&gt;0,$A97&lt;&gt;""),LOOKUP($A97,Load_Switch_NFET[PARTNUMBER],Load_Switch_NFET[QGS]),"")</f>
        <v/>
      </c>
      <c r="AF97" s="6" t="str">
        <f>IF(AND($A97&lt;&gt;0,$A97&lt;&gt;""),LOOKUP($A97,Load_Switch_NFET[PARTNUMBER],Load_Switch_NFET[QGD]),"")</f>
        <v/>
      </c>
      <c r="AG97" s="6" t="str">
        <f>IF(AND($A97&lt;&gt;0,$A97&lt;&gt;""),LOOKUP($A97,Load_Switch_NFET[PARTNUMBER],Load_Switch_NFET[QGTH]),"")</f>
        <v/>
      </c>
      <c r="AH97" s="6" t="str">
        <f>IF(AND($A97&lt;&gt;0,$A97&lt;&gt;""),LOOKUP($A97,Load_Switch_NFET[PARTNUMBER],Load_Switch_NFET[VMILLER]),"")</f>
        <v/>
      </c>
      <c r="AI97" s="6" t="str">
        <f>IF(AND($A97&lt;&gt;0,$A97&lt;&gt;""),LOOKUP($A97,Load_Switch_NFET[PARTNUMBER],Load_Switch_NFET[COSS_AT_VDSSPEC]),"")</f>
        <v/>
      </c>
      <c r="AJ97" s="6" t="str">
        <f t="shared" si="46"/>
        <v/>
      </c>
      <c r="AK97" s="6" t="str">
        <f t="shared" si="47"/>
        <v/>
      </c>
      <c r="AL97" s="6" t="str">
        <f t="shared" si="48"/>
        <v/>
      </c>
      <c r="AM97" s="49" t="str">
        <f t="shared" si="49"/>
        <v/>
      </c>
      <c r="AN97" s="46" t="str">
        <f>IF(AND($A97&lt;&gt;0,$A97&lt;&gt;""),LOOKUP($A97,Load_Switch_NFET[PARTNUMBER],Load_Switch_NFET[1KPRICE]),"")</f>
        <v/>
      </c>
      <c r="AO97" s="6" t="str">
        <f>IF(AND($A97&lt;&gt;0,$A97&lt;&gt;""),LOOKUP(A97,Load_Switch_NFET[PARTNUMBER],Load_Switch_NFET[TI_EQ_PACKAGE]),"")</f>
        <v/>
      </c>
      <c r="AP97" s="6" t="str">
        <f t="shared" si="50"/>
        <v>Invalid Part</v>
      </c>
    </row>
    <row r="98" spans="1:42" x14ac:dyDescent="0.25">
      <c r="A98" s="6">
        <f>IF(CH="N",NLogic!B98,"")</f>
        <v>0</v>
      </c>
      <c r="B98" s="23" t="str">
        <f>IF(OR($A98=0,$A98=""),"0",IF(LOOKUP($A98,Load_Switch_NFET[PARTNUMBER],Load_Switch_NFET[RDSON18])="(NULL)","0","1"))</f>
        <v>0</v>
      </c>
      <c r="C98" s="8" t="str">
        <f>IF(OR($A98=0,$A98=""),"0",IF(LOOKUP($A98,Load_Switch_NFET[PARTNUMBER],Load_Switch_NFET[RDSON25])="(NULL)","0","1"))</f>
        <v>0</v>
      </c>
      <c r="D98" s="9" t="str">
        <f>IF(OR($A98=0,$A98=""),"0",IF(LOOKUP($A98,Load_Switch_NFET[PARTNUMBER],Load_Switch_NFET[RDSON3])="(NULL)","0","1"))</f>
        <v>0</v>
      </c>
      <c r="E98" s="11" t="str">
        <f>IF(OR($A98=0,$A98=""),"0",IF(LOOKUP($A98,Load_Switch_NFET[PARTNUMBER],Load_Switch_NFET[RDSON45])="(NULL)","0","1"))</f>
        <v>0</v>
      </c>
      <c r="F98" s="16" t="str">
        <f>IF(OR($A98=0,$A98=""),"0",IF(LOOKUP($A98,Load_Switch_NFET[PARTNUMBER],Load_Switch_NFET[RDSON6])="(NULL)","0","1"))</f>
        <v>0</v>
      </c>
      <c r="G98" s="3" t="str">
        <f>IF(OR($A98=0,$A98=""),"0",IF(LOOKUP($A98,Load_Switch_NFET[PARTNUMBER],Load_Switch_NFET[RDSON8])="(NULL)","0","1"))</f>
        <v>0</v>
      </c>
      <c r="H98" s="14" t="str">
        <f>IF(OR($A98=0,$A98=""),"0",IF(LOOKUP($A98,Load_Switch_NFET[PARTNUMBER],Load_Switch_NFET[RDSON10])="(NULL)","0","1"))</f>
        <v>0</v>
      </c>
      <c r="I98" s="24" t="b">
        <f t="shared" si="51"/>
        <v>0</v>
      </c>
      <c r="J98" s="7" t="b">
        <f t="shared" si="52"/>
        <v>0</v>
      </c>
      <c r="K98" s="10" t="b">
        <f t="shared" si="53"/>
        <v>0</v>
      </c>
      <c r="L98" s="12" t="b">
        <f t="shared" si="54"/>
        <v>0</v>
      </c>
      <c r="M98" s="17" t="b">
        <f t="shared" si="55"/>
        <v>0</v>
      </c>
      <c r="N98" s="13" t="b">
        <f t="shared" si="56"/>
        <v>0</v>
      </c>
      <c r="O98" s="15" t="b">
        <f t="shared" si="57"/>
        <v>0</v>
      </c>
      <c r="P98" s="18" t="b">
        <f t="shared" si="58"/>
        <v>0</v>
      </c>
      <c r="Q98" s="24" t="b">
        <f t="shared" si="59"/>
        <v>0</v>
      </c>
      <c r="R98" s="7" t="b">
        <f t="shared" si="60"/>
        <v>0</v>
      </c>
      <c r="S98" s="10" t="b">
        <f t="shared" ref="S98:S116" si="61">IF($P98,K98,IF((D98="1"),OR(AR$2,AR$9,AV$2,L98)))</f>
        <v>0</v>
      </c>
      <c r="T98" s="12" t="b">
        <f t="shared" ref="T98:T116" si="62">IF($P98,L98,IF((E98="1"),OR(AU$2,K98,AW$2,M98)))</f>
        <v>0</v>
      </c>
      <c r="U98" s="17" t="b">
        <f t="shared" ref="U98:U116" si="63">IF($P98,M98,IF((F98="1"),OR(AV$2,L98,AX$2,N98)))</f>
        <v>0</v>
      </c>
      <c r="V98" s="13" t="b">
        <f t="shared" ref="V98:V116" si="64">IF($P98,N98,IF((G98="1"),OR(AW$2,M98,AY$2,O98)))</f>
        <v>0</v>
      </c>
      <c r="W98" s="15" t="b">
        <f t="shared" ref="W98:W116" si="65">IF($P98,O98,IF((H98="1"),OR(AX$2,N98)))</f>
        <v>0</v>
      </c>
      <c r="X98" s="6" t="str">
        <f>IF(W98,LOOKUP(A98,Load_Switch_NFET[PARTNUMBER],Load_Switch_NFET[RDSON10])*1000,IF(V98,LOOKUP(A98,Load_Switch_NFET[PARTNUMBER],Load_Switch_NFET[RDSON8])*1000,IF(U98,LOOKUP(A98,Load_Switch_NFET[PARTNUMBER],Load_Switch_NFET[RDSON6])*1000,IF(T98,LOOKUP(A98,Load_Switch_NFET[PARTNUMBER],Load_Switch_NFET[RDSON45])*1000,IF(S98,LOOKUP(A98,Load_Switch_NFET[PARTNUMBER],Load_Switch_NFET[RDSON3])*1000,IF(R98,LOOKUP(A98,Load_Switch_NFET[PARTNUMBER],Load_Switch_NFET[RDSON25])*1000,IF(Q98,LOOKUP(A98,Load_Switch_NFET[PARTNUMBER],Load_Switch_NFET[RDSON18])*1000,"")))))))</f>
        <v/>
      </c>
      <c r="Y98" s="19" t="str">
        <f>IF(AND(A98&lt;&gt;0,A98&lt;&gt;""),X98*(1+(Tj-25)*(LOOKUP(A98,Load_Switch_NFET[PARTNUMBER],Load_Switch_NFET[RDSDELTA])/((LOOKUP(A98,Load_Switch_NFET[PARTNUMBER],Load_Switch_NFET[TJMAX])-25)))),"")</f>
        <v/>
      </c>
      <c r="Z98" s="6" t="str">
        <f>IF(AND(A98&lt;&gt;0,A98&lt;&gt;""),LOOKUP(A98,Load_Switch_NFET[PARTNUMBER],Load_Switch_NFET[VTHMAX]),"")</f>
        <v/>
      </c>
      <c r="AA98" s="6" t="str">
        <f>IF(AND(A98&lt;&gt;0,A98&lt;&gt;""),LOOKUP(A98,Load_Switch_NFET[PARTNUMBER],Load_Switch_NFET[VTHMIN]),"")</f>
        <v/>
      </c>
      <c r="AB98" s="6" t="str">
        <f t="shared" ref="AB98:AB130" si="66">IF(AND(A98&lt;&gt;0,A98&lt;&gt;""),IF(B98="1",1.8,IF(C98="1",2.5,IF(D98="1",3,IF(E98="1",4.5,IF(F98="1",6,IF(G98="1",8,IF(H98="1",10))))))),"#N/A")</f>
        <v>#N/A</v>
      </c>
      <c r="AC98" s="6" t="str">
        <f>IF(AND(A98&lt;&gt;0,A98&lt;&gt;""),LOOKUP(A98,Load_Switch_NFET[PARTNUMBER],Load_Switch_NFET[RGIMAX]),"")</f>
        <v/>
      </c>
      <c r="AD98" s="6" t="str">
        <f>IF(AND($A98&lt;&gt;0,$A98&lt;&gt;""),LOOKUP($A98,Load_Switch_NFET[PARTNUMBER],Load_Switch_NFET[QGTYP]),"")</f>
        <v/>
      </c>
      <c r="AE98" s="6" t="str">
        <f>IF(AND($A98&lt;&gt;0,$A98&lt;&gt;""),LOOKUP($A98,Load_Switch_NFET[PARTNUMBER],Load_Switch_NFET[QGS]),"")</f>
        <v/>
      </c>
      <c r="AF98" s="6" t="str">
        <f>IF(AND($A98&lt;&gt;0,$A98&lt;&gt;""),LOOKUP($A98,Load_Switch_NFET[PARTNUMBER],Load_Switch_NFET[QGD]),"")</f>
        <v/>
      </c>
      <c r="AG98" s="6" t="str">
        <f>IF(AND($A98&lt;&gt;0,$A98&lt;&gt;""),LOOKUP($A98,Load_Switch_NFET[PARTNUMBER],Load_Switch_NFET[QGTH]),"")</f>
        <v/>
      </c>
      <c r="AH98" s="6" t="str">
        <f>IF(AND($A98&lt;&gt;0,$A98&lt;&gt;""),LOOKUP($A98,Load_Switch_NFET[PARTNUMBER],Load_Switch_NFET[VMILLER]),"")</f>
        <v/>
      </c>
      <c r="AI98" s="6" t="str">
        <f>IF(AND($A98&lt;&gt;0,$A98&lt;&gt;""),LOOKUP($A98,Load_Switch_NFET[PARTNUMBER],Load_Switch_NFET[COSS_AT_VDSSPEC]),"")</f>
        <v/>
      </c>
      <c r="AJ98" s="6" t="str">
        <f t="shared" ref="AJ98:AJ116" si="67">IF(AND(A98&lt;&gt;0,A98&lt;&gt;""),AE98+AF98-AG98,"")</f>
        <v/>
      </c>
      <c r="AK98" s="6" t="str">
        <f t="shared" ref="AK98:AK116" si="68">IF(AND(A98&lt;&gt;0,A98&lt;&gt;""),(Z98+AA98)/2,"")</f>
        <v/>
      </c>
      <c r="AL98" s="6" t="str">
        <f t="shared" ref="AL98:AL116" si="69">IF(AND($A98&lt;&gt;0,$A98&lt;&gt;""),Io^2*Y98*m,"")</f>
        <v/>
      </c>
      <c r="AM98" s="49" t="str">
        <f t="shared" ref="AM98:AM129" si="70">IF(AND($A98&lt;&gt;0,$A98&lt;&gt;""),ROUND(SUM(AL98:AL98),3),"")</f>
        <v/>
      </c>
      <c r="AN98" s="46" t="str">
        <f>IF(AND($A98&lt;&gt;0,$A98&lt;&gt;""),LOOKUP($A98,Load_Switch_NFET[PARTNUMBER],Load_Switch_NFET[1KPRICE]),"")</f>
        <v/>
      </c>
      <c r="AO98" s="6" t="str">
        <f>IF(AND($A98&lt;&gt;0,$A98&lt;&gt;""),LOOKUP(A98,Load_Switch_NFET[PARTNUMBER],Load_Switch_NFET[TI_EQ_PACKAGE]),"")</f>
        <v/>
      </c>
      <c r="AP98" s="6" t="str">
        <f t="shared" ref="AP98:AP129" si="71">IF(AND($A98&lt;&gt;0,$A98&lt;&gt;""),CONCATENATE(A98,", ",AO98,", ",AM98,"W, $",AN98),"Invalid Part")</f>
        <v>Invalid Part</v>
      </c>
    </row>
    <row r="99" spans="1:42" x14ac:dyDescent="0.25">
      <c r="A99" s="6">
        <f>IF(CH="N",NLogic!B99,"")</f>
        <v>0</v>
      </c>
      <c r="B99" s="23" t="str">
        <f>IF(OR($A99=0,$A99=""),"0",IF(LOOKUP($A99,Load_Switch_NFET[PARTNUMBER],Load_Switch_NFET[RDSON18])="(NULL)","0","1"))</f>
        <v>0</v>
      </c>
      <c r="C99" s="8" t="str">
        <f>IF(OR($A99=0,$A99=""),"0",IF(LOOKUP($A99,Load_Switch_NFET[PARTNUMBER],Load_Switch_NFET[RDSON25])="(NULL)","0","1"))</f>
        <v>0</v>
      </c>
      <c r="D99" s="9" t="str">
        <f>IF(OR($A99=0,$A99=""),"0",IF(LOOKUP($A99,Load_Switch_NFET[PARTNUMBER],Load_Switch_NFET[RDSON3])="(NULL)","0","1"))</f>
        <v>0</v>
      </c>
      <c r="E99" s="11" t="str">
        <f>IF(OR($A99=0,$A99=""),"0",IF(LOOKUP($A99,Load_Switch_NFET[PARTNUMBER],Load_Switch_NFET[RDSON45])="(NULL)","0","1"))</f>
        <v>0</v>
      </c>
      <c r="F99" s="16" t="str">
        <f>IF(OR($A99=0,$A99=""),"0",IF(LOOKUP($A99,Load_Switch_NFET[PARTNUMBER],Load_Switch_NFET[RDSON6])="(NULL)","0","1"))</f>
        <v>0</v>
      </c>
      <c r="G99" s="3" t="str">
        <f>IF(OR($A99=0,$A99=""),"0",IF(LOOKUP($A99,Load_Switch_NFET[PARTNUMBER],Load_Switch_NFET[RDSON8])="(NULL)","0","1"))</f>
        <v>0</v>
      </c>
      <c r="H99" s="14" t="str">
        <f>IF(OR($A99=0,$A99=""),"0",IF(LOOKUP($A99,Load_Switch_NFET[PARTNUMBER],Load_Switch_NFET[RDSON10])="(NULL)","0","1"))</f>
        <v>0</v>
      </c>
      <c r="I99" s="24" t="b">
        <f t="shared" si="51"/>
        <v>0</v>
      </c>
      <c r="J99" s="7" t="b">
        <f t="shared" ref="J99:J116" si="72">AND(AT$2,C99="1")</f>
        <v>0</v>
      </c>
      <c r="K99" s="10" t="b">
        <f t="shared" ref="K99:K116" si="73">AND(AU$2,D99="1")</f>
        <v>0</v>
      </c>
      <c r="L99" s="12" t="b">
        <f t="shared" ref="L99:L116" si="74">AND(AV$2,E99="1")</f>
        <v>0</v>
      </c>
      <c r="M99" s="17" t="b">
        <f t="shared" ref="M99:M116" si="75">AND(AW$2,F99="1")</f>
        <v>0</v>
      </c>
      <c r="N99" s="13" t="b">
        <f t="shared" ref="N99:N116" si="76">AND(AX$2,G99="1")</f>
        <v>0</v>
      </c>
      <c r="O99" s="15" t="b">
        <f t="shared" ref="O99:O116" si="77">AND(AY$2,H99="1")</f>
        <v>0</v>
      </c>
      <c r="P99" s="18" t="b">
        <f t="shared" si="58"/>
        <v>0</v>
      </c>
      <c r="Q99" s="24" t="b">
        <f t="shared" si="59"/>
        <v>0</v>
      </c>
      <c r="R99" s="7" t="b">
        <f t="shared" si="60"/>
        <v>0</v>
      </c>
      <c r="S99" s="10" t="b">
        <f t="shared" si="61"/>
        <v>0</v>
      </c>
      <c r="T99" s="12" t="b">
        <f t="shared" si="62"/>
        <v>0</v>
      </c>
      <c r="U99" s="17" t="b">
        <f t="shared" si="63"/>
        <v>0</v>
      </c>
      <c r="V99" s="13" t="b">
        <f t="shared" si="64"/>
        <v>0</v>
      </c>
      <c r="W99" s="15" t="b">
        <f t="shared" si="65"/>
        <v>0</v>
      </c>
      <c r="X99" s="6" t="str">
        <f>IF(W99,LOOKUP(A99,Load_Switch_NFET[PARTNUMBER],Load_Switch_NFET[RDSON10])*1000,IF(V99,LOOKUP(A99,Load_Switch_NFET[PARTNUMBER],Load_Switch_NFET[RDSON8])*1000,IF(U99,LOOKUP(A99,Load_Switch_NFET[PARTNUMBER],Load_Switch_NFET[RDSON6])*1000,IF(T99,LOOKUP(A99,Load_Switch_NFET[PARTNUMBER],Load_Switch_NFET[RDSON45])*1000,IF(S99,LOOKUP(A99,Load_Switch_NFET[PARTNUMBER],Load_Switch_NFET[RDSON3])*1000,IF(R99,LOOKUP(A99,Load_Switch_NFET[PARTNUMBER],Load_Switch_NFET[RDSON25])*1000,IF(Q99,LOOKUP(A99,Load_Switch_NFET[PARTNUMBER],Load_Switch_NFET[RDSON18])*1000,"")))))))</f>
        <v/>
      </c>
      <c r="Y99" s="19" t="str">
        <f>IF(AND(A99&lt;&gt;0,A99&lt;&gt;""),X99*(1+(Tj-25)*(LOOKUP(A99,Load_Switch_NFET[PARTNUMBER],Load_Switch_NFET[RDSDELTA])/((LOOKUP(A99,Load_Switch_NFET[PARTNUMBER],Load_Switch_NFET[TJMAX])-25)))),"")</f>
        <v/>
      </c>
      <c r="Z99" s="6" t="str">
        <f>IF(AND(A99&lt;&gt;0,A99&lt;&gt;""),LOOKUP(A99,Load_Switch_NFET[PARTNUMBER],Load_Switch_NFET[VTHMAX]),"")</f>
        <v/>
      </c>
      <c r="AA99" s="6" t="str">
        <f>IF(AND(A99&lt;&gt;0,A99&lt;&gt;""),LOOKUP(A99,Load_Switch_NFET[PARTNUMBER],Load_Switch_NFET[VTHMIN]),"")</f>
        <v/>
      </c>
      <c r="AB99" s="6" t="str">
        <f t="shared" si="66"/>
        <v>#N/A</v>
      </c>
      <c r="AC99" s="6" t="str">
        <f>IF(AND(A99&lt;&gt;0,A99&lt;&gt;""),LOOKUP(A99,Load_Switch_NFET[PARTNUMBER],Load_Switch_NFET[RGIMAX]),"")</f>
        <v/>
      </c>
      <c r="AD99" s="6" t="str">
        <f>IF(AND($A99&lt;&gt;0,$A99&lt;&gt;""),LOOKUP($A99,Load_Switch_NFET[PARTNUMBER],Load_Switch_NFET[QGTYP]),"")</f>
        <v/>
      </c>
      <c r="AE99" s="6" t="str">
        <f>IF(AND($A99&lt;&gt;0,$A99&lt;&gt;""),LOOKUP($A99,Load_Switch_NFET[PARTNUMBER],Load_Switch_NFET[QGS]),"")</f>
        <v/>
      </c>
      <c r="AF99" s="6" t="str">
        <f>IF(AND($A99&lt;&gt;0,$A99&lt;&gt;""),LOOKUP($A99,Load_Switch_NFET[PARTNUMBER],Load_Switch_NFET[QGD]),"")</f>
        <v/>
      </c>
      <c r="AG99" s="6" t="str">
        <f>IF(AND($A99&lt;&gt;0,$A99&lt;&gt;""),LOOKUP($A99,Load_Switch_NFET[PARTNUMBER],Load_Switch_NFET[QGTH]),"")</f>
        <v/>
      </c>
      <c r="AH99" s="6" t="str">
        <f>IF(AND($A99&lt;&gt;0,$A99&lt;&gt;""),LOOKUP($A99,Load_Switch_NFET[PARTNUMBER],Load_Switch_NFET[VMILLER]),"")</f>
        <v/>
      </c>
      <c r="AI99" s="6" t="str">
        <f>IF(AND($A99&lt;&gt;0,$A99&lt;&gt;""),LOOKUP($A99,Load_Switch_NFET[PARTNUMBER],Load_Switch_NFET[COSS_AT_VDSSPEC]),"")</f>
        <v/>
      </c>
      <c r="AJ99" s="6" t="str">
        <f t="shared" si="67"/>
        <v/>
      </c>
      <c r="AK99" s="6" t="str">
        <f t="shared" si="68"/>
        <v/>
      </c>
      <c r="AL99" s="6" t="str">
        <f t="shared" si="69"/>
        <v/>
      </c>
      <c r="AM99" s="49" t="str">
        <f t="shared" si="70"/>
        <v/>
      </c>
      <c r="AN99" s="46" t="str">
        <f>IF(AND($A99&lt;&gt;0,$A99&lt;&gt;""),LOOKUP($A99,Load_Switch_NFET[PARTNUMBER],Load_Switch_NFET[1KPRICE]),"")</f>
        <v/>
      </c>
      <c r="AO99" s="6" t="str">
        <f>IF(AND($A99&lt;&gt;0,$A99&lt;&gt;""),LOOKUP(A99,Load_Switch_NFET[PARTNUMBER],Load_Switch_NFET[TI_EQ_PACKAGE]),"")</f>
        <v/>
      </c>
      <c r="AP99" s="6" t="str">
        <f t="shared" si="71"/>
        <v>Invalid Part</v>
      </c>
    </row>
    <row r="100" spans="1:42" x14ac:dyDescent="0.25">
      <c r="A100" s="6">
        <f>IF(CH="N",NLogic!B100,"")</f>
        <v>0</v>
      </c>
      <c r="B100" s="23" t="str">
        <f>IF(OR($A100=0,$A100=""),"0",IF(LOOKUP($A100,Load_Switch_NFET[PARTNUMBER],Load_Switch_NFET[RDSON18])="(NULL)","0","1"))</f>
        <v>0</v>
      </c>
      <c r="C100" s="8" t="str">
        <f>IF(OR($A100=0,$A100=""),"0",IF(LOOKUP($A100,Load_Switch_NFET[PARTNUMBER],Load_Switch_NFET[RDSON25])="(NULL)","0","1"))</f>
        <v>0</v>
      </c>
      <c r="D100" s="9" t="str">
        <f>IF(OR($A100=0,$A100=""),"0",IF(LOOKUP($A100,Load_Switch_NFET[PARTNUMBER],Load_Switch_NFET[RDSON3])="(NULL)","0","1"))</f>
        <v>0</v>
      </c>
      <c r="E100" s="11" t="str">
        <f>IF(OR($A100=0,$A100=""),"0",IF(LOOKUP($A100,Load_Switch_NFET[PARTNUMBER],Load_Switch_NFET[RDSON45])="(NULL)","0","1"))</f>
        <v>0</v>
      </c>
      <c r="F100" s="16" t="str">
        <f>IF(OR($A100=0,$A100=""),"0",IF(LOOKUP($A100,Load_Switch_NFET[PARTNUMBER],Load_Switch_NFET[RDSON6])="(NULL)","0","1"))</f>
        <v>0</v>
      </c>
      <c r="G100" s="3" t="str">
        <f>IF(OR($A100=0,$A100=""),"0",IF(LOOKUP($A100,Load_Switch_NFET[PARTNUMBER],Load_Switch_NFET[RDSON8])="(NULL)","0","1"))</f>
        <v>0</v>
      </c>
      <c r="H100" s="14" t="str">
        <f>IF(OR($A100=0,$A100=""),"0",IF(LOOKUP($A100,Load_Switch_NFET[PARTNUMBER],Load_Switch_NFET[RDSON10])="(NULL)","0","1"))</f>
        <v>0</v>
      </c>
      <c r="I100" s="24" t="b">
        <f t="shared" si="51"/>
        <v>0</v>
      </c>
      <c r="J100" s="7" t="b">
        <f t="shared" si="72"/>
        <v>0</v>
      </c>
      <c r="K100" s="10" t="b">
        <f t="shared" si="73"/>
        <v>0</v>
      </c>
      <c r="L100" s="12" t="b">
        <f t="shared" si="74"/>
        <v>0</v>
      </c>
      <c r="M100" s="17" t="b">
        <f t="shared" si="75"/>
        <v>0</v>
      </c>
      <c r="N100" s="13" t="b">
        <f t="shared" si="76"/>
        <v>0</v>
      </c>
      <c r="O100" s="15" t="b">
        <f t="shared" si="77"/>
        <v>0</v>
      </c>
      <c r="P100" s="18" t="b">
        <f t="shared" si="58"/>
        <v>0</v>
      </c>
      <c r="Q100" s="24" t="b">
        <f t="shared" si="59"/>
        <v>0</v>
      </c>
      <c r="R100" s="7" t="b">
        <f t="shared" ref="R100:R116" si="78">IF($P100,J100,IF((C100="1"),OR($AR$2,$AR$9)))</f>
        <v>0</v>
      </c>
      <c r="S100" s="10" t="b">
        <f t="shared" si="61"/>
        <v>0</v>
      </c>
      <c r="T100" s="12" t="b">
        <f t="shared" si="62"/>
        <v>0</v>
      </c>
      <c r="U100" s="17" t="b">
        <f t="shared" si="63"/>
        <v>0</v>
      </c>
      <c r="V100" s="13" t="b">
        <f t="shared" si="64"/>
        <v>0</v>
      </c>
      <c r="W100" s="15" t="b">
        <f t="shared" si="65"/>
        <v>0</v>
      </c>
      <c r="X100" s="6" t="str">
        <f>IF(W100,LOOKUP(A100,Load_Switch_NFET[PARTNUMBER],Load_Switch_NFET[RDSON10])*1000,IF(V100,LOOKUP(A100,Load_Switch_NFET[PARTNUMBER],Load_Switch_NFET[RDSON8])*1000,IF(U100,LOOKUP(A100,Load_Switch_NFET[PARTNUMBER],Load_Switch_NFET[RDSON6])*1000,IF(T100,LOOKUP(A100,Load_Switch_NFET[PARTNUMBER],Load_Switch_NFET[RDSON45])*1000,IF(S100,LOOKUP(A100,Load_Switch_NFET[PARTNUMBER],Load_Switch_NFET[RDSON3])*1000,IF(R100,LOOKUP(A100,Load_Switch_NFET[PARTNUMBER],Load_Switch_NFET[RDSON25])*1000,IF(Q100,LOOKUP(A100,Load_Switch_NFET[PARTNUMBER],Load_Switch_NFET[RDSON18])*1000,"")))))))</f>
        <v/>
      </c>
      <c r="Y100" s="19" t="str">
        <f>IF(AND(A100&lt;&gt;0,A100&lt;&gt;""),X100*(1+(Tj-25)*(LOOKUP(A100,Load_Switch_NFET[PARTNUMBER],Load_Switch_NFET[RDSDELTA])/((LOOKUP(A100,Load_Switch_NFET[PARTNUMBER],Load_Switch_NFET[TJMAX])-25)))),"")</f>
        <v/>
      </c>
      <c r="Z100" s="6" t="str">
        <f>IF(AND(A100&lt;&gt;0,A100&lt;&gt;""),LOOKUP(A100,Load_Switch_NFET[PARTNUMBER],Load_Switch_NFET[VTHMAX]),"")</f>
        <v/>
      </c>
      <c r="AA100" s="6" t="str">
        <f>IF(AND(A100&lt;&gt;0,A100&lt;&gt;""),LOOKUP(A100,Load_Switch_NFET[PARTNUMBER],Load_Switch_NFET[VTHMIN]),"")</f>
        <v/>
      </c>
      <c r="AB100" s="6" t="str">
        <f t="shared" si="66"/>
        <v>#N/A</v>
      </c>
      <c r="AC100" s="6" t="str">
        <f>IF(AND(A100&lt;&gt;0,A100&lt;&gt;""),LOOKUP(A100,Load_Switch_NFET[PARTNUMBER],Load_Switch_NFET[RGIMAX]),"")</f>
        <v/>
      </c>
      <c r="AD100" s="6" t="str">
        <f>IF(AND($A100&lt;&gt;0,$A100&lt;&gt;""),LOOKUP($A100,Load_Switch_NFET[PARTNUMBER],Load_Switch_NFET[QGTYP]),"")</f>
        <v/>
      </c>
      <c r="AE100" s="6" t="str">
        <f>IF(AND($A100&lt;&gt;0,$A100&lt;&gt;""),LOOKUP($A100,Load_Switch_NFET[PARTNUMBER],Load_Switch_NFET[QGS]),"")</f>
        <v/>
      </c>
      <c r="AF100" s="6" t="str">
        <f>IF(AND($A100&lt;&gt;0,$A100&lt;&gt;""),LOOKUP($A100,Load_Switch_NFET[PARTNUMBER],Load_Switch_NFET[QGD]),"")</f>
        <v/>
      </c>
      <c r="AG100" s="6" t="str">
        <f>IF(AND($A100&lt;&gt;0,$A100&lt;&gt;""),LOOKUP($A100,Load_Switch_NFET[PARTNUMBER],Load_Switch_NFET[QGTH]),"")</f>
        <v/>
      </c>
      <c r="AH100" s="6" t="str">
        <f>IF(AND($A100&lt;&gt;0,$A100&lt;&gt;""),LOOKUP($A100,Load_Switch_NFET[PARTNUMBER],Load_Switch_NFET[VMILLER]),"")</f>
        <v/>
      </c>
      <c r="AI100" s="6" t="str">
        <f>IF(AND($A100&lt;&gt;0,$A100&lt;&gt;""),LOOKUP($A100,Load_Switch_NFET[PARTNUMBER],Load_Switch_NFET[COSS_AT_VDSSPEC]),"")</f>
        <v/>
      </c>
      <c r="AJ100" s="6" t="str">
        <f t="shared" si="67"/>
        <v/>
      </c>
      <c r="AK100" s="6" t="str">
        <f t="shared" si="68"/>
        <v/>
      </c>
      <c r="AL100" s="6" t="str">
        <f t="shared" si="69"/>
        <v/>
      </c>
      <c r="AM100" s="49" t="str">
        <f t="shared" si="70"/>
        <v/>
      </c>
      <c r="AN100" s="46" t="str">
        <f>IF(AND($A100&lt;&gt;0,$A100&lt;&gt;""),LOOKUP($A100,Load_Switch_NFET[PARTNUMBER],Load_Switch_NFET[1KPRICE]),"")</f>
        <v/>
      </c>
      <c r="AO100" s="6" t="str">
        <f>IF(AND($A100&lt;&gt;0,$A100&lt;&gt;""),LOOKUP(A100,Load_Switch_NFET[PARTNUMBER],Load_Switch_NFET[TI_EQ_PACKAGE]),"")</f>
        <v/>
      </c>
      <c r="AP100" s="6" t="str">
        <f t="shared" si="71"/>
        <v>Invalid Part</v>
      </c>
    </row>
    <row r="101" spans="1:42" x14ac:dyDescent="0.25">
      <c r="A101" s="6">
        <f>IF(CH="N",NLogic!B101,"")</f>
        <v>0</v>
      </c>
      <c r="B101" s="23" t="str">
        <f>IF(OR($A101=0,$A101=""),"0",IF(LOOKUP($A101,Load_Switch_NFET[PARTNUMBER],Load_Switch_NFET[RDSON18])="(NULL)","0","1"))</f>
        <v>0</v>
      </c>
      <c r="C101" s="8" t="str">
        <f>IF(OR($A101=0,$A101=""),"0",IF(LOOKUP($A101,Load_Switch_NFET[PARTNUMBER],Load_Switch_NFET[RDSON25])="(NULL)","0","1"))</f>
        <v>0</v>
      </c>
      <c r="D101" s="9" t="str">
        <f>IF(OR($A101=0,$A101=""),"0",IF(LOOKUP($A101,Load_Switch_NFET[PARTNUMBER],Load_Switch_NFET[RDSON3])="(NULL)","0","1"))</f>
        <v>0</v>
      </c>
      <c r="E101" s="11" t="str">
        <f>IF(OR($A101=0,$A101=""),"0",IF(LOOKUP($A101,Load_Switch_NFET[PARTNUMBER],Load_Switch_NFET[RDSON45])="(NULL)","0","1"))</f>
        <v>0</v>
      </c>
      <c r="F101" s="16" t="str">
        <f>IF(OR($A101=0,$A101=""),"0",IF(LOOKUP($A101,Load_Switch_NFET[PARTNUMBER],Load_Switch_NFET[RDSON6])="(NULL)","0","1"))</f>
        <v>0</v>
      </c>
      <c r="G101" s="3" t="str">
        <f>IF(OR($A101=0,$A101=""),"0",IF(LOOKUP($A101,Load_Switch_NFET[PARTNUMBER],Load_Switch_NFET[RDSON8])="(NULL)","0","1"))</f>
        <v>0</v>
      </c>
      <c r="H101" s="14" t="str">
        <f>IF(OR($A101=0,$A101=""),"0",IF(LOOKUP($A101,Load_Switch_NFET[PARTNUMBER],Load_Switch_NFET[RDSON10])="(NULL)","0","1"))</f>
        <v>0</v>
      </c>
      <c r="I101" s="24" t="b">
        <f t="shared" si="51"/>
        <v>0</v>
      </c>
      <c r="J101" s="7" t="b">
        <f t="shared" si="72"/>
        <v>0</v>
      </c>
      <c r="K101" s="10" t="b">
        <f t="shared" si="73"/>
        <v>0</v>
      </c>
      <c r="L101" s="12" t="b">
        <f t="shared" si="74"/>
        <v>0</v>
      </c>
      <c r="M101" s="17" t="b">
        <f t="shared" si="75"/>
        <v>0</v>
      </c>
      <c r="N101" s="13" t="b">
        <f t="shared" si="76"/>
        <v>0</v>
      </c>
      <c r="O101" s="15" t="b">
        <f t="shared" si="77"/>
        <v>0</v>
      </c>
      <c r="P101" s="18" t="b">
        <f t="shared" si="58"/>
        <v>0</v>
      </c>
      <c r="Q101" s="24" t="b">
        <f t="shared" si="59"/>
        <v>0</v>
      </c>
      <c r="R101" s="7" t="b">
        <f t="shared" si="78"/>
        <v>0</v>
      </c>
      <c r="S101" s="10" t="b">
        <f t="shared" si="61"/>
        <v>0</v>
      </c>
      <c r="T101" s="12" t="b">
        <f t="shared" si="62"/>
        <v>0</v>
      </c>
      <c r="U101" s="17" t="b">
        <f t="shared" si="63"/>
        <v>0</v>
      </c>
      <c r="V101" s="13" t="b">
        <f t="shared" si="64"/>
        <v>0</v>
      </c>
      <c r="W101" s="15" t="b">
        <f t="shared" si="65"/>
        <v>0</v>
      </c>
      <c r="X101" s="6" t="str">
        <f>IF(W101,LOOKUP(A101,Load_Switch_NFET[PARTNUMBER],Load_Switch_NFET[RDSON10])*1000,IF(V101,LOOKUP(A101,Load_Switch_NFET[PARTNUMBER],Load_Switch_NFET[RDSON8])*1000,IF(U101,LOOKUP(A101,Load_Switch_NFET[PARTNUMBER],Load_Switch_NFET[RDSON6])*1000,IF(T101,LOOKUP(A101,Load_Switch_NFET[PARTNUMBER],Load_Switch_NFET[RDSON45])*1000,IF(S101,LOOKUP(A101,Load_Switch_NFET[PARTNUMBER],Load_Switch_NFET[RDSON3])*1000,IF(R101,LOOKUP(A101,Load_Switch_NFET[PARTNUMBER],Load_Switch_NFET[RDSON25])*1000,IF(Q101,LOOKUP(A101,Load_Switch_NFET[PARTNUMBER],Load_Switch_NFET[RDSON18])*1000,"")))))))</f>
        <v/>
      </c>
      <c r="Y101" s="19" t="str">
        <f>IF(AND(A101&lt;&gt;0,A101&lt;&gt;""),X101*(1+(Tj-25)*(LOOKUP(A101,Load_Switch_NFET[PARTNUMBER],Load_Switch_NFET[RDSDELTA])/((LOOKUP(A101,Load_Switch_NFET[PARTNUMBER],Load_Switch_NFET[TJMAX])-25)))),"")</f>
        <v/>
      </c>
      <c r="Z101" s="6" t="str">
        <f>IF(AND(A101&lt;&gt;0,A101&lt;&gt;""),LOOKUP(A101,Load_Switch_NFET[PARTNUMBER],Load_Switch_NFET[VTHMAX]),"")</f>
        <v/>
      </c>
      <c r="AA101" s="6" t="str">
        <f>IF(AND(A101&lt;&gt;0,A101&lt;&gt;""),LOOKUP(A101,Load_Switch_NFET[PARTNUMBER],Load_Switch_NFET[VTHMIN]),"")</f>
        <v/>
      </c>
      <c r="AB101" s="6" t="str">
        <f t="shared" si="66"/>
        <v>#N/A</v>
      </c>
      <c r="AC101" s="6" t="str">
        <f>IF(AND(A101&lt;&gt;0,A101&lt;&gt;""),LOOKUP(A101,Load_Switch_NFET[PARTNUMBER],Load_Switch_NFET[RGIMAX]),"")</f>
        <v/>
      </c>
      <c r="AD101" s="6" t="str">
        <f>IF(AND($A101&lt;&gt;0,$A101&lt;&gt;""),LOOKUP($A101,Load_Switch_NFET[PARTNUMBER],Load_Switch_NFET[QGTYP]),"")</f>
        <v/>
      </c>
      <c r="AE101" s="6" t="str">
        <f>IF(AND($A101&lt;&gt;0,$A101&lt;&gt;""),LOOKUP($A101,Load_Switch_NFET[PARTNUMBER],Load_Switch_NFET[QGS]),"")</f>
        <v/>
      </c>
      <c r="AF101" s="6" t="str">
        <f>IF(AND($A101&lt;&gt;0,$A101&lt;&gt;""),LOOKUP($A101,Load_Switch_NFET[PARTNUMBER],Load_Switch_NFET[QGD]),"")</f>
        <v/>
      </c>
      <c r="AG101" s="6" t="str">
        <f>IF(AND($A101&lt;&gt;0,$A101&lt;&gt;""),LOOKUP($A101,Load_Switch_NFET[PARTNUMBER],Load_Switch_NFET[QGTH]),"")</f>
        <v/>
      </c>
      <c r="AH101" s="6" t="str">
        <f>IF(AND($A101&lt;&gt;0,$A101&lt;&gt;""),LOOKUP($A101,Load_Switch_NFET[PARTNUMBER],Load_Switch_NFET[VMILLER]),"")</f>
        <v/>
      </c>
      <c r="AI101" s="6" t="str">
        <f>IF(AND($A101&lt;&gt;0,$A101&lt;&gt;""),LOOKUP($A101,Load_Switch_NFET[PARTNUMBER],Load_Switch_NFET[COSS_AT_VDSSPEC]),"")</f>
        <v/>
      </c>
      <c r="AJ101" s="6" t="str">
        <f t="shared" si="67"/>
        <v/>
      </c>
      <c r="AK101" s="6" t="str">
        <f t="shared" si="68"/>
        <v/>
      </c>
      <c r="AL101" s="6" t="str">
        <f t="shared" si="69"/>
        <v/>
      </c>
      <c r="AM101" s="49" t="str">
        <f t="shared" si="70"/>
        <v/>
      </c>
      <c r="AN101" s="46" t="str">
        <f>IF(AND($A101&lt;&gt;0,$A101&lt;&gt;""),LOOKUP($A101,Load_Switch_NFET[PARTNUMBER],Load_Switch_NFET[1KPRICE]),"")</f>
        <v/>
      </c>
      <c r="AO101" s="6" t="str">
        <f>IF(AND($A101&lt;&gt;0,$A101&lt;&gt;""),LOOKUP(A101,Load_Switch_NFET[PARTNUMBER],Load_Switch_NFET[TI_EQ_PACKAGE]),"")</f>
        <v/>
      </c>
      <c r="AP101" s="6" t="str">
        <f t="shared" si="71"/>
        <v>Invalid Part</v>
      </c>
    </row>
    <row r="102" spans="1:42" x14ac:dyDescent="0.25">
      <c r="A102" s="6">
        <f>IF(CH="N",NLogic!B102,"")</f>
        <v>0</v>
      </c>
      <c r="B102" s="23" t="str">
        <f>IF(OR($A102=0,$A102=""),"0",IF(LOOKUP($A102,Load_Switch_NFET[PARTNUMBER],Load_Switch_NFET[RDSON18])="(NULL)","0","1"))</f>
        <v>0</v>
      </c>
      <c r="C102" s="8" t="str">
        <f>IF(OR($A102=0,$A102=""),"0",IF(LOOKUP($A102,Load_Switch_NFET[PARTNUMBER],Load_Switch_NFET[RDSON25])="(NULL)","0","1"))</f>
        <v>0</v>
      </c>
      <c r="D102" s="9" t="str">
        <f>IF(OR($A102=0,$A102=""),"0",IF(LOOKUP($A102,Load_Switch_NFET[PARTNUMBER],Load_Switch_NFET[RDSON3])="(NULL)","0","1"))</f>
        <v>0</v>
      </c>
      <c r="E102" s="11" t="str">
        <f>IF(OR($A102=0,$A102=""),"0",IF(LOOKUP($A102,Load_Switch_NFET[PARTNUMBER],Load_Switch_NFET[RDSON45])="(NULL)","0","1"))</f>
        <v>0</v>
      </c>
      <c r="F102" s="16" t="str">
        <f>IF(OR($A102=0,$A102=""),"0",IF(LOOKUP($A102,Load_Switch_NFET[PARTNUMBER],Load_Switch_NFET[RDSON6])="(NULL)","0","1"))</f>
        <v>0</v>
      </c>
      <c r="G102" s="3" t="str">
        <f>IF(OR($A102=0,$A102=""),"0",IF(LOOKUP($A102,Load_Switch_NFET[PARTNUMBER],Load_Switch_NFET[RDSON8])="(NULL)","0","1"))</f>
        <v>0</v>
      </c>
      <c r="H102" s="14" t="str">
        <f>IF(OR($A102=0,$A102=""),"0",IF(LOOKUP($A102,Load_Switch_NFET[PARTNUMBER],Load_Switch_NFET[RDSON10])="(NULL)","0","1"))</f>
        <v>0</v>
      </c>
      <c r="I102" s="24" t="b">
        <f t="shared" si="51"/>
        <v>0</v>
      </c>
      <c r="J102" s="7" t="b">
        <f t="shared" si="72"/>
        <v>0</v>
      </c>
      <c r="K102" s="10" t="b">
        <f t="shared" si="73"/>
        <v>0</v>
      </c>
      <c r="L102" s="12" t="b">
        <f t="shared" si="74"/>
        <v>0</v>
      </c>
      <c r="M102" s="17" t="b">
        <f t="shared" si="75"/>
        <v>0</v>
      </c>
      <c r="N102" s="13" t="b">
        <f t="shared" si="76"/>
        <v>0</v>
      </c>
      <c r="O102" s="15" t="b">
        <f t="shared" si="77"/>
        <v>0</v>
      </c>
      <c r="P102" s="18" t="b">
        <f t="shared" si="58"/>
        <v>0</v>
      </c>
      <c r="Q102" s="24" t="b">
        <f t="shared" si="59"/>
        <v>0</v>
      </c>
      <c r="R102" s="7" t="b">
        <f t="shared" si="78"/>
        <v>0</v>
      </c>
      <c r="S102" s="10" t="b">
        <f t="shared" si="61"/>
        <v>0</v>
      </c>
      <c r="T102" s="12" t="b">
        <f t="shared" si="62"/>
        <v>0</v>
      </c>
      <c r="U102" s="17" t="b">
        <f t="shared" si="63"/>
        <v>0</v>
      </c>
      <c r="V102" s="13" t="b">
        <f t="shared" si="64"/>
        <v>0</v>
      </c>
      <c r="W102" s="15" t="b">
        <f t="shared" si="65"/>
        <v>0</v>
      </c>
      <c r="X102" s="6" t="str">
        <f>IF(W102,LOOKUP(A102,Load_Switch_NFET[PARTNUMBER],Load_Switch_NFET[RDSON10])*1000,IF(V102,LOOKUP(A102,Load_Switch_NFET[PARTNUMBER],Load_Switch_NFET[RDSON8])*1000,IF(U102,LOOKUP(A102,Load_Switch_NFET[PARTNUMBER],Load_Switch_NFET[RDSON6])*1000,IF(T102,LOOKUP(A102,Load_Switch_NFET[PARTNUMBER],Load_Switch_NFET[RDSON45])*1000,IF(S102,LOOKUP(A102,Load_Switch_NFET[PARTNUMBER],Load_Switch_NFET[RDSON3])*1000,IF(R102,LOOKUP(A102,Load_Switch_NFET[PARTNUMBER],Load_Switch_NFET[RDSON25])*1000,IF(Q102,LOOKUP(A102,Load_Switch_NFET[PARTNUMBER],Load_Switch_NFET[RDSON18])*1000,"")))))))</f>
        <v/>
      </c>
      <c r="Y102" s="19" t="str">
        <f>IF(AND(A102&lt;&gt;0,A102&lt;&gt;""),X102*(1+(Tj-25)*(LOOKUP(A102,Load_Switch_NFET[PARTNUMBER],Load_Switch_NFET[RDSDELTA])/((LOOKUP(A102,Load_Switch_NFET[PARTNUMBER],Load_Switch_NFET[TJMAX])-25)))),"")</f>
        <v/>
      </c>
      <c r="Z102" s="6" t="str">
        <f>IF(AND(A102&lt;&gt;0,A102&lt;&gt;""),LOOKUP(A102,Load_Switch_NFET[PARTNUMBER],Load_Switch_NFET[VTHMAX]),"")</f>
        <v/>
      </c>
      <c r="AA102" s="6" t="str">
        <f>IF(AND(A102&lt;&gt;0,A102&lt;&gt;""),LOOKUP(A102,Load_Switch_NFET[PARTNUMBER],Load_Switch_NFET[VTHMIN]),"")</f>
        <v/>
      </c>
      <c r="AB102" s="6" t="str">
        <f t="shared" si="66"/>
        <v>#N/A</v>
      </c>
      <c r="AC102" s="6" t="str">
        <f>IF(AND(A102&lt;&gt;0,A102&lt;&gt;""),LOOKUP(A102,Load_Switch_NFET[PARTNUMBER],Load_Switch_NFET[RGIMAX]),"")</f>
        <v/>
      </c>
      <c r="AD102" s="6" t="str">
        <f>IF(AND($A102&lt;&gt;0,$A102&lt;&gt;""),LOOKUP($A102,Load_Switch_NFET[PARTNUMBER],Load_Switch_NFET[QGTYP]),"")</f>
        <v/>
      </c>
      <c r="AE102" s="6" t="str">
        <f>IF(AND($A102&lt;&gt;0,$A102&lt;&gt;""),LOOKUP($A102,Load_Switch_NFET[PARTNUMBER],Load_Switch_NFET[QGS]),"")</f>
        <v/>
      </c>
      <c r="AF102" s="6" t="str">
        <f>IF(AND($A102&lt;&gt;0,$A102&lt;&gt;""),LOOKUP($A102,Load_Switch_NFET[PARTNUMBER],Load_Switch_NFET[QGD]),"")</f>
        <v/>
      </c>
      <c r="AG102" s="6" t="str">
        <f>IF(AND($A102&lt;&gt;0,$A102&lt;&gt;""),LOOKUP($A102,Load_Switch_NFET[PARTNUMBER],Load_Switch_NFET[QGTH]),"")</f>
        <v/>
      </c>
      <c r="AH102" s="6" t="str">
        <f>IF(AND($A102&lt;&gt;0,$A102&lt;&gt;""),LOOKUP($A102,Load_Switch_NFET[PARTNUMBER],Load_Switch_NFET[VMILLER]),"")</f>
        <v/>
      </c>
      <c r="AI102" s="6" t="str">
        <f>IF(AND($A102&lt;&gt;0,$A102&lt;&gt;""),LOOKUP($A102,Load_Switch_NFET[PARTNUMBER],Load_Switch_NFET[COSS_AT_VDSSPEC]),"")</f>
        <v/>
      </c>
      <c r="AJ102" s="6" t="str">
        <f t="shared" si="67"/>
        <v/>
      </c>
      <c r="AK102" s="6" t="str">
        <f t="shared" si="68"/>
        <v/>
      </c>
      <c r="AL102" s="6" t="str">
        <f t="shared" si="69"/>
        <v/>
      </c>
      <c r="AM102" s="49" t="str">
        <f t="shared" si="70"/>
        <v/>
      </c>
      <c r="AN102" s="46" t="str">
        <f>IF(AND($A102&lt;&gt;0,$A102&lt;&gt;""),LOOKUP($A102,Load_Switch_NFET[PARTNUMBER],Load_Switch_NFET[1KPRICE]),"")</f>
        <v/>
      </c>
      <c r="AO102" s="6" t="str">
        <f>IF(AND($A102&lt;&gt;0,$A102&lt;&gt;""),LOOKUP(A102,Load_Switch_NFET[PARTNUMBER],Load_Switch_NFET[TI_EQ_PACKAGE]),"")</f>
        <v/>
      </c>
      <c r="AP102" s="6" t="str">
        <f t="shared" si="71"/>
        <v>Invalid Part</v>
      </c>
    </row>
    <row r="103" spans="1:42" x14ac:dyDescent="0.25">
      <c r="A103" s="6">
        <f>IF(CH="N",NLogic!B103,"")</f>
        <v>0</v>
      </c>
      <c r="B103" s="23" t="str">
        <f>IF(OR($A103=0,$A103=""),"0",IF(LOOKUP($A103,Load_Switch_NFET[PARTNUMBER],Load_Switch_NFET[RDSON18])="(NULL)","0","1"))</f>
        <v>0</v>
      </c>
      <c r="C103" s="8" t="str">
        <f>IF(OR($A103=0,$A103=""),"0",IF(LOOKUP($A103,Load_Switch_NFET[PARTNUMBER],Load_Switch_NFET[RDSON25])="(NULL)","0","1"))</f>
        <v>0</v>
      </c>
      <c r="D103" s="9" t="str">
        <f>IF(OR($A103=0,$A103=""),"0",IF(LOOKUP($A103,Load_Switch_NFET[PARTNUMBER],Load_Switch_NFET[RDSON3])="(NULL)","0","1"))</f>
        <v>0</v>
      </c>
      <c r="E103" s="11" t="str">
        <f>IF(OR($A103=0,$A103=""),"0",IF(LOOKUP($A103,Load_Switch_NFET[PARTNUMBER],Load_Switch_NFET[RDSON45])="(NULL)","0","1"))</f>
        <v>0</v>
      </c>
      <c r="F103" s="16" t="str">
        <f>IF(OR($A103=0,$A103=""),"0",IF(LOOKUP($A103,Load_Switch_NFET[PARTNUMBER],Load_Switch_NFET[RDSON6])="(NULL)","0","1"))</f>
        <v>0</v>
      </c>
      <c r="G103" s="3" t="str">
        <f>IF(OR($A103=0,$A103=""),"0",IF(LOOKUP($A103,Load_Switch_NFET[PARTNUMBER],Load_Switch_NFET[RDSON8])="(NULL)","0","1"))</f>
        <v>0</v>
      </c>
      <c r="H103" s="14" t="str">
        <f>IF(OR($A103=0,$A103=""),"0",IF(LOOKUP($A103,Load_Switch_NFET[PARTNUMBER],Load_Switch_NFET[RDSON10])="(NULL)","0","1"))</f>
        <v>0</v>
      </c>
      <c r="I103" s="24" t="b">
        <f t="shared" si="51"/>
        <v>0</v>
      </c>
      <c r="J103" s="7" t="b">
        <f t="shared" si="72"/>
        <v>0</v>
      </c>
      <c r="K103" s="10" t="b">
        <f t="shared" si="73"/>
        <v>0</v>
      </c>
      <c r="L103" s="12" t="b">
        <f t="shared" si="74"/>
        <v>0</v>
      </c>
      <c r="M103" s="17" t="b">
        <f t="shared" si="75"/>
        <v>0</v>
      </c>
      <c r="N103" s="13" t="b">
        <f t="shared" si="76"/>
        <v>0</v>
      </c>
      <c r="O103" s="15" t="b">
        <f t="shared" si="77"/>
        <v>0</v>
      </c>
      <c r="P103" s="18" t="b">
        <f t="shared" si="58"/>
        <v>0</v>
      </c>
      <c r="Q103" s="24" t="b">
        <f t="shared" si="59"/>
        <v>0</v>
      </c>
      <c r="R103" s="7" t="b">
        <f t="shared" si="78"/>
        <v>0</v>
      </c>
      <c r="S103" s="10" t="b">
        <f t="shared" si="61"/>
        <v>0</v>
      </c>
      <c r="T103" s="12" t="b">
        <f t="shared" si="62"/>
        <v>0</v>
      </c>
      <c r="U103" s="17" t="b">
        <f t="shared" si="63"/>
        <v>0</v>
      </c>
      <c r="V103" s="13" t="b">
        <f t="shared" si="64"/>
        <v>0</v>
      </c>
      <c r="W103" s="15" t="b">
        <f t="shared" si="65"/>
        <v>0</v>
      </c>
      <c r="X103" s="6" t="str">
        <f>IF(W103,LOOKUP(A103,Load_Switch_NFET[PARTNUMBER],Load_Switch_NFET[RDSON10])*1000,IF(V103,LOOKUP(A103,Load_Switch_NFET[PARTNUMBER],Load_Switch_NFET[RDSON8])*1000,IF(U103,LOOKUP(A103,Load_Switch_NFET[PARTNUMBER],Load_Switch_NFET[RDSON6])*1000,IF(T103,LOOKUP(A103,Load_Switch_NFET[PARTNUMBER],Load_Switch_NFET[RDSON45])*1000,IF(S103,LOOKUP(A103,Load_Switch_NFET[PARTNUMBER],Load_Switch_NFET[RDSON3])*1000,IF(R103,LOOKUP(A103,Load_Switch_NFET[PARTNUMBER],Load_Switch_NFET[RDSON25])*1000,IF(Q103,LOOKUP(A103,Load_Switch_NFET[PARTNUMBER],Load_Switch_NFET[RDSON18])*1000,"")))))))</f>
        <v/>
      </c>
      <c r="Y103" s="19" t="str">
        <f>IF(AND(A103&lt;&gt;0,A103&lt;&gt;""),X103*(1+(Tj-25)*(LOOKUP(A103,Load_Switch_NFET[PARTNUMBER],Load_Switch_NFET[RDSDELTA])/((LOOKUP(A103,Load_Switch_NFET[PARTNUMBER],Load_Switch_NFET[TJMAX])-25)))),"")</f>
        <v/>
      </c>
      <c r="Z103" s="6" t="str">
        <f>IF(AND(A103&lt;&gt;0,A103&lt;&gt;""),LOOKUP(A103,Load_Switch_NFET[PARTNUMBER],Load_Switch_NFET[VTHMAX]),"")</f>
        <v/>
      </c>
      <c r="AA103" s="6" t="str">
        <f>IF(AND(A103&lt;&gt;0,A103&lt;&gt;""),LOOKUP(A103,Load_Switch_NFET[PARTNUMBER],Load_Switch_NFET[VTHMIN]),"")</f>
        <v/>
      </c>
      <c r="AB103" s="6" t="str">
        <f t="shared" si="66"/>
        <v>#N/A</v>
      </c>
      <c r="AC103" s="6" t="str">
        <f>IF(AND(A103&lt;&gt;0,A103&lt;&gt;""),LOOKUP(A103,Load_Switch_NFET[PARTNUMBER],Load_Switch_NFET[RGIMAX]),"")</f>
        <v/>
      </c>
      <c r="AD103" s="6" t="str">
        <f>IF(AND($A103&lt;&gt;0,$A103&lt;&gt;""),LOOKUP($A103,Load_Switch_NFET[PARTNUMBER],Load_Switch_NFET[QGTYP]),"")</f>
        <v/>
      </c>
      <c r="AE103" s="6" t="str">
        <f>IF(AND($A103&lt;&gt;0,$A103&lt;&gt;""),LOOKUP($A103,Load_Switch_NFET[PARTNUMBER],Load_Switch_NFET[QGS]),"")</f>
        <v/>
      </c>
      <c r="AF103" s="6" t="str">
        <f>IF(AND($A103&lt;&gt;0,$A103&lt;&gt;""),LOOKUP($A103,Load_Switch_NFET[PARTNUMBER],Load_Switch_NFET[QGD]),"")</f>
        <v/>
      </c>
      <c r="AG103" s="6" t="str">
        <f>IF(AND($A103&lt;&gt;0,$A103&lt;&gt;""),LOOKUP($A103,Load_Switch_NFET[PARTNUMBER],Load_Switch_NFET[QGTH]),"")</f>
        <v/>
      </c>
      <c r="AH103" s="6" t="str">
        <f>IF(AND($A103&lt;&gt;0,$A103&lt;&gt;""),LOOKUP($A103,Load_Switch_NFET[PARTNUMBER],Load_Switch_NFET[VMILLER]),"")</f>
        <v/>
      </c>
      <c r="AI103" s="6" t="str">
        <f>IF(AND($A103&lt;&gt;0,$A103&lt;&gt;""),LOOKUP($A103,Load_Switch_NFET[PARTNUMBER],Load_Switch_NFET[COSS_AT_VDSSPEC]),"")</f>
        <v/>
      </c>
      <c r="AJ103" s="6" t="str">
        <f t="shared" si="67"/>
        <v/>
      </c>
      <c r="AK103" s="6" t="str">
        <f t="shared" si="68"/>
        <v/>
      </c>
      <c r="AL103" s="6" t="str">
        <f t="shared" si="69"/>
        <v/>
      </c>
      <c r="AM103" s="49" t="str">
        <f t="shared" si="70"/>
        <v/>
      </c>
      <c r="AN103" s="46" t="str">
        <f>IF(AND($A103&lt;&gt;0,$A103&lt;&gt;""),LOOKUP($A103,Load_Switch_NFET[PARTNUMBER],Load_Switch_NFET[1KPRICE]),"")</f>
        <v/>
      </c>
      <c r="AO103" s="6" t="str">
        <f>IF(AND($A103&lt;&gt;0,$A103&lt;&gt;""),LOOKUP(A103,Load_Switch_NFET[PARTNUMBER],Load_Switch_NFET[TI_EQ_PACKAGE]),"")</f>
        <v/>
      </c>
      <c r="AP103" s="6" t="str">
        <f t="shared" si="71"/>
        <v>Invalid Part</v>
      </c>
    </row>
    <row r="104" spans="1:42" x14ac:dyDescent="0.25">
      <c r="A104" s="6">
        <f>IF(CH="N",NLogic!B104,"")</f>
        <v>0</v>
      </c>
      <c r="B104" s="23" t="str">
        <f>IF(OR($A104=0,$A104=""),"0",IF(LOOKUP($A104,Load_Switch_NFET[PARTNUMBER],Load_Switch_NFET[RDSON18])="(NULL)","0","1"))</f>
        <v>0</v>
      </c>
      <c r="C104" s="8" t="str">
        <f>IF(OR($A104=0,$A104=""),"0",IF(LOOKUP($A104,Load_Switch_NFET[PARTNUMBER],Load_Switch_NFET[RDSON25])="(NULL)","0","1"))</f>
        <v>0</v>
      </c>
      <c r="D104" s="9" t="str">
        <f>IF(OR($A104=0,$A104=""),"0",IF(LOOKUP($A104,Load_Switch_NFET[PARTNUMBER],Load_Switch_NFET[RDSON3])="(NULL)","0","1"))</f>
        <v>0</v>
      </c>
      <c r="E104" s="11" t="str">
        <f>IF(OR($A104=0,$A104=""),"0",IF(LOOKUP($A104,Load_Switch_NFET[PARTNUMBER],Load_Switch_NFET[RDSON45])="(NULL)","0","1"))</f>
        <v>0</v>
      </c>
      <c r="F104" s="16" t="str">
        <f>IF(OR($A104=0,$A104=""),"0",IF(LOOKUP($A104,Load_Switch_NFET[PARTNUMBER],Load_Switch_NFET[RDSON6])="(NULL)","0","1"))</f>
        <v>0</v>
      </c>
      <c r="G104" s="3" t="str">
        <f>IF(OR($A104=0,$A104=""),"0",IF(LOOKUP($A104,Load_Switch_NFET[PARTNUMBER],Load_Switch_NFET[RDSON8])="(NULL)","0","1"))</f>
        <v>0</v>
      </c>
      <c r="H104" s="14" t="str">
        <f>IF(OR($A104=0,$A104=""),"0",IF(LOOKUP($A104,Load_Switch_NFET[PARTNUMBER],Load_Switch_NFET[RDSON10])="(NULL)","0","1"))</f>
        <v>0</v>
      </c>
      <c r="I104" s="24" t="b">
        <f t="shared" si="51"/>
        <v>0</v>
      </c>
      <c r="J104" s="7" t="b">
        <f t="shared" si="72"/>
        <v>0</v>
      </c>
      <c r="K104" s="10" t="b">
        <f t="shared" si="73"/>
        <v>0</v>
      </c>
      <c r="L104" s="12" t="b">
        <f t="shared" si="74"/>
        <v>0</v>
      </c>
      <c r="M104" s="17" t="b">
        <f t="shared" si="75"/>
        <v>0</v>
      </c>
      <c r="N104" s="13" t="b">
        <f t="shared" si="76"/>
        <v>0</v>
      </c>
      <c r="O104" s="15" t="b">
        <f t="shared" si="77"/>
        <v>0</v>
      </c>
      <c r="P104" s="18" t="b">
        <f t="shared" si="58"/>
        <v>0</v>
      </c>
      <c r="Q104" s="24" t="b">
        <f t="shared" si="59"/>
        <v>0</v>
      </c>
      <c r="R104" s="7" t="b">
        <f t="shared" si="78"/>
        <v>0</v>
      </c>
      <c r="S104" s="10" t="b">
        <f t="shared" si="61"/>
        <v>0</v>
      </c>
      <c r="T104" s="12" t="b">
        <f t="shared" si="62"/>
        <v>0</v>
      </c>
      <c r="U104" s="17" t="b">
        <f t="shared" si="63"/>
        <v>0</v>
      </c>
      <c r="V104" s="13" t="b">
        <f t="shared" si="64"/>
        <v>0</v>
      </c>
      <c r="W104" s="15" t="b">
        <f t="shared" si="65"/>
        <v>0</v>
      </c>
      <c r="X104" s="6" t="str">
        <f>IF(W104,LOOKUP(A104,Load_Switch_NFET[PARTNUMBER],Load_Switch_NFET[RDSON10])*1000,IF(V104,LOOKUP(A104,Load_Switch_NFET[PARTNUMBER],Load_Switch_NFET[RDSON8])*1000,IF(U104,LOOKUP(A104,Load_Switch_NFET[PARTNUMBER],Load_Switch_NFET[RDSON6])*1000,IF(T104,LOOKUP(A104,Load_Switch_NFET[PARTNUMBER],Load_Switch_NFET[RDSON45])*1000,IF(S104,LOOKUP(A104,Load_Switch_NFET[PARTNUMBER],Load_Switch_NFET[RDSON3])*1000,IF(R104,LOOKUP(A104,Load_Switch_NFET[PARTNUMBER],Load_Switch_NFET[RDSON25])*1000,IF(Q104,LOOKUP(A104,Load_Switch_NFET[PARTNUMBER],Load_Switch_NFET[RDSON18])*1000,"")))))))</f>
        <v/>
      </c>
      <c r="Y104" s="19" t="str">
        <f>IF(AND(A104&lt;&gt;0,A104&lt;&gt;""),X104*(1+(Tj-25)*(LOOKUP(A104,Load_Switch_NFET[PARTNUMBER],Load_Switch_NFET[RDSDELTA])/((LOOKUP(A104,Load_Switch_NFET[PARTNUMBER],Load_Switch_NFET[TJMAX])-25)))),"")</f>
        <v/>
      </c>
      <c r="Z104" s="6" t="str">
        <f>IF(AND(A104&lt;&gt;0,A104&lt;&gt;""),LOOKUP(A104,Load_Switch_NFET[PARTNUMBER],Load_Switch_NFET[VTHMAX]),"")</f>
        <v/>
      </c>
      <c r="AA104" s="6" t="str">
        <f>IF(AND(A104&lt;&gt;0,A104&lt;&gt;""),LOOKUP(A104,Load_Switch_NFET[PARTNUMBER],Load_Switch_NFET[VTHMIN]),"")</f>
        <v/>
      </c>
      <c r="AB104" s="6" t="str">
        <f t="shared" si="66"/>
        <v>#N/A</v>
      </c>
      <c r="AC104" s="6" t="str">
        <f>IF(AND(A104&lt;&gt;0,A104&lt;&gt;""),LOOKUP(A104,Load_Switch_NFET[PARTNUMBER],Load_Switch_NFET[RGIMAX]),"")</f>
        <v/>
      </c>
      <c r="AD104" s="6" t="str">
        <f>IF(AND($A104&lt;&gt;0,$A104&lt;&gt;""),LOOKUP($A104,Load_Switch_NFET[PARTNUMBER],Load_Switch_NFET[QGTYP]),"")</f>
        <v/>
      </c>
      <c r="AE104" s="6" t="str">
        <f>IF(AND($A104&lt;&gt;0,$A104&lt;&gt;""),LOOKUP($A104,Load_Switch_NFET[PARTNUMBER],Load_Switch_NFET[QGS]),"")</f>
        <v/>
      </c>
      <c r="AF104" s="6" t="str">
        <f>IF(AND($A104&lt;&gt;0,$A104&lt;&gt;""),LOOKUP($A104,Load_Switch_NFET[PARTNUMBER],Load_Switch_NFET[QGD]),"")</f>
        <v/>
      </c>
      <c r="AG104" s="6" t="str">
        <f>IF(AND($A104&lt;&gt;0,$A104&lt;&gt;""),LOOKUP($A104,Load_Switch_NFET[PARTNUMBER],Load_Switch_NFET[QGTH]),"")</f>
        <v/>
      </c>
      <c r="AH104" s="6" t="str">
        <f>IF(AND($A104&lt;&gt;0,$A104&lt;&gt;""),LOOKUP($A104,Load_Switch_NFET[PARTNUMBER],Load_Switch_NFET[VMILLER]),"")</f>
        <v/>
      </c>
      <c r="AI104" s="6" t="str">
        <f>IF(AND($A104&lt;&gt;0,$A104&lt;&gt;""),LOOKUP($A104,Load_Switch_NFET[PARTNUMBER],Load_Switch_NFET[COSS_AT_VDSSPEC]),"")</f>
        <v/>
      </c>
      <c r="AJ104" s="6" t="str">
        <f t="shared" si="67"/>
        <v/>
      </c>
      <c r="AK104" s="6" t="str">
        <f t="shared" si="68"/>
        <v/>
      </c>
      <c r="AL104" s="6" t="str">
        <f t="shared" si="69"/>
        <v/>
      </c>
      <c r="AM104" s="49" t="str">
        <f t="shared" si="70"/>
        <v/>
      </c>
      <c r="AN104" s="46" t="str">
        <f>IF(AND($A104&lt;&gt;0,$A104&lt;&gt;""),LOOKUP($A104,Load_Switch_NFET[PARTNUMBER],Load_Switch_NFET[1KPRICE]),"")</f>
        <v/>
      </c>
      <c r="AO104" s="6" t="str">
        <f>IF(AND($A104&lt;&gt;0,$A104&lt;&gt;""),LOOKUP(A104,Load_Switch_NFET[PARTNUMBER],Load_Switch_NFET[TI_EQ_PACKAGE]),"")</f>
        <v/>
      </c>
      <c r="AP104" s="6" t="str">
        <f t="shared" si="71"/>
        <v>Invalid Part</v>
      </c>
    </row>
    <row r="105" spans="1:42" x14ac:dyDescent="0.25">
      <c r="A105" s="6">
        <f>IF(CH="N",NLogic!B105,"")</f>
        <v>0</v>
      </c>
      <c r="B105" s="23" t="str">
        <f>IF(OR($A105=0,$A105=""),"0",IF(LOOKUP($A105,Load_Switch_NFET[PARTNUMBER],Load_Switch_NFET[RDSON18])="(NULL)","0","1"))</f>
        <v>0</v>
      </c>
      <c r="C105" s="8" t="str">
        <f>IF(OR($A105=0,$A105=""),"0",IF(LOOKUP($A105,Load_Switch_NFET[PARTNUMBER],Load_Switch_NFET[RDSON25])="(NULL)","0","1"))</f>
        <v>0</v>
      </c>
      <c r="D105" s="9" t="str">
        <f>IF(OR($A105=0,$A105=""),"0",IF(LOOKUP($A105,Load_Switch_NFET[PARTNUMBER],Load_Switch_NFET[RDSON3])="(NULL)","0","1"))</f>
        <v>0</v>
      </c>
      <c r="E105" s="11" t="str">
        <f>IF(OR($A105=0,$A105=""),"0",IF(LOOKUP($A105,Load_Switch_NFET[PARTNUMBER],Load_Switch_NFET[RDSON45])="(NULL)","0","1"))</f>
        <v>0</v>
      </c>
      <c r="F105" s="16" t="str">
        <f>IF(OR($A105=0,$A105=""),"0",IF(LOOKUP($A105,Load_Switch_NFET[PARTNUMBER],Load_Switch_NFET[RDSON6])="(NULL)","0","1"))</f>
        <v>0</v>
      </c>
      <c r="G105" s="3" t="str">
        <f>IF(OR($A105=0,$A105=""),"0",IF(LOOKUP($A105,Load_Switch_NFET[PARTNUMBER],Load_Switch_NFET[RDSON8])="(NULL)","0","1"))</f>
        <v>0</v>
      </c>
      <c r="H105" s="14" t="str">
        <f>IF(OR($A105=0,$A105=""),"0",IF(LOOKUP($A105,Load_Switch_NFET[PARTNUMBER],Load_Switch_NFET[RDSON10])="(NULL)","0","1"))</f>
        <v>0</v>
      </c>
      <c r="I105" s="24" t="b">
        <f t="shared" si="51"/>
        <v>0</v>
      </c>
      <c r="J105" s="7" t="b">
        <f t="shared" si="72"/>
        <v>0</v>
      </c>
      <c r="K105" s="10" t="b">
        <f t="shared" si="73"/>
        <v>0</v>
      </c>
      <c r="L105" s="12" t="b">
        <f t="shared" si="74"/>
        <v>0</v>
      </c>
      <c r="M105" s="17" t="b">
        <f t="shared" si="75"/>
        <v>0</v>
      </c>
      <c r="N105" s="13" t="b">
        <f t="shared" si="76"/>
        <v>0</v>
      </c>
      <c r="O105" s="15" t="b">
        <f t="shared" si="77"/>
        <v>0</v>
      </c>
      <c r="P105" s="18" t="b">
        <f t="shared" si="58"/>
        <v>0</v>
      </c>
      <c r="Q105" s="24" t="b">
        <f t="shared" si="59"/>
        <v>0</v>
      </c>
      <c r="R105" s="7" t="b">
        <f t="shared" si="78"/>
        <v>0</v>
      </c>
      <c r="S105" s="10" t="b">
        <f t="shared" si="61"/>
        <v>0</v>
      </c>
      <c r="T105" s="12" t="b">
        <f t="shared" si="62"/>
        <v>0</v>
      </c>
      <c r="U105" s="17" t="b">
        <f t="shared" si="63"/>
        <v>0</v>
      </c>
      <c r="V105" s="13" t="b">
        <f t="shared" si="64"/>
        <v>0</v>
      </c>
      <c r="W105" s="15" t="b">
        <f t="shared" si="65"/>
        <v>0</v>
      </c>
      <c r="X105" s="6" t="str">
        <f>IF(W105,LOOKUP(A105,Load_Switch_NFET[PARTNUMBER],Load_Switch_NFET[RDSON10])*1000,IF(V105,LOOKUP(A105,Load_Switch_NFET[PARTNUMBER],Load_Switch_NFET[RDSON8])*1000,IF(U105,LOOKUP(A105,Load_Switch_NFET[PARTNUMBER],Load_Switch_NFET[RDSON6])*1000,IF(T105,LOOKUP(A105,Load_Switch_NFET[PARTNUMBER],Load_Switch_NFET[RDSON45])*1000,IF(S105,LOOKUP(A105,Load_Switch_NFET[PARTNUMBER],Load_Switch_NFET[RDSON3])*1000,IF(R105,LOOKUP(A105,Load_Switch_NFET[PARTNUMBER],Load_Switch_NFET[RDSON25])*1000,IF(Q105,LOOKUP(A105,Load_Switch_NFET[PARTNUMBER],Load_Switch_NFET[RDSON18])*1000,"")))))))</f>
        <v/>
      </c>
      <c r="Y105" s="19" t="str">
        <f>IF(AND(A105&lt;&gt;0,A105&lt;&gt;""),X105*(1+(Tj-25)*(LOOKUP(A105,Load_Switch_NFET[PARTNUMBER],Load_Switch_NFET[RDSDELTA])/((LOOKUP(A105,Load_Switch_NFET[PARTNUMBER],Load_Switch_NFET[TJMAX])-25)))),"")</f>
        <v/>
      </c>
      <c r="Z105" s="6" t="str">
        <f>IF(AND(A105&lt;&gt;0,A105&lt;&gt;""),LOOKUP(A105,Load_Switch_NFET[PARTNUMBER],Load_Switch_NFET[VTHMAX]),"")</f>
        <v/>
      </c>
      <c r="AA105" s="6" t="str">
        <f>IF(AND(A105&lt;&gt;0,A105&lt;&gt;""),LOOKUP(A105,Load_Switch_NFET[PARTNUMBER],Load_Switch_NFET[VTHMIN]),"")</f>
        <v/>
      </c>
      <c r="AB105" s="6" t="str">
        <f t="shared" si="66"/>
        <v>#N/A</v>
      </c>
      <c r="AC105" s="6" t="str">
        <f>IF(AND(A105&lt;&gt;0,A105&lt;&gt;""),LOOKUP(A105,Load_Switch_NFET[PARTNUMBER],Load_Switch_NFET[RGIMAX]),"")</f>
        <v/>
      </c>
      <c r="AD105" s="6" t="str">
        <f>IF(AND($A105&lt;&gt;0,$A105&lt;&gt;""),LOOKUP($A105,Load_Switch_NFET[PARTNUMBER],Load_Switch_NFET[QGTYP]),"")</f>
        <v/>
      </c>
      <c r="AE105" s="6" t="str">
        <f>IF(AND($A105&lt;&gt;0,$A105&lt;&gt;""),LOOKUP($A105,Load_Switch_NFET[PARTNUMBER],Load_Switch_NFET[QGS]),"")</f>
        <v/>
      </c>
      <c r="AF105" s="6" t="str">
        <f>IF(AND($A105&lt;&gt;0,$A105&lt;&gt;""),LOOKUP($A105,Load_Switch_NFET[PARTNUMBER],Load_Switch_NFET[QGD]),"")</f>
        <v/>
      </c>
      <c r="AG105" s="6" t="str">
        <f>IF(AND($A105&lt;&gt;0,$A105&lt;&gt;""),LOOKUP($A105,Load_Switch_NFET[PARTNUMBER],Load_Switch_NFET[QGTH]),"")</f>
        <v/>
      </c>
      <c r="AH105" s="6" t="str">
        <f>IF(AND($A105&lt;&gt;0,$A105&lt;&gt;""),LOOKUP($A105,Load_Switch_NFET[PARTNUMBER],Load_Switch_NFET[VMILLER]),"")</f>
        <v/>
      </c>
      <c r="AI105" s="6" t="str">
        <f>IF(AND($A105&lt;&gt;0,$A105&lt;&gt;""),LOOKUP($A105,Load_Switch_NFET[PARTNUMBER],Load_Switch_NFET[COSS_AT_VDSSPEC]),"")</f>
        <v/>
      </c>
      <c r="AJ105" s="6" t="str">
        <f t="shared" si="67"/>
        <v/>
      </c>
      <c r="AK105" s="6" t="str">
        <f t="shared" si="68"/>
        <v/>
      </c>
      <c r="AL105" s="6" t="str">
        <f t="shared" si="69"/>
        <v/>
      </c>
      <c r="AM105" s="49" t="str">
        <f t="shared" si="70"/>
        <v/>
      </c>
      <c r="AN105" s="46" t="str">
        <f>IF(AND($A105&lt;&gt;0,$A105&lt;&gt;""),LOOKUP($A105,Load_Switch_NFET[PARTNUMBER],Load_Switch_NFET[1KPRICE]),"")</f>
        <v/>
      </c>
      <c r="AO105" s="6" t="str">
        <f>IF(AND($A105&lt;&gt;0,$A105&lt;&gt;""),LOOKUP(A105,Load_Switch_NFET[PARTNUMBER],Load_Switch_NFET[TI_EQ_PACKAGE]),"")</f>
        <v/>
      </c>
      <c r="AP105" s="6" t="str">
        <f t="shared" si="71"/>
        <v>Invalid Part</v>
      </c>
    </row>
    <row r="106" spans="1:42" x14ac:dyDescent="0.25">
      <c r="A106" s="6">
        <f>IF(CH="N",NLogic!B106,"")</f>
        <v>0</v>
      </c>
      <c r="B106" s="23" t="str">
        <f>IF(OR($A106=0,$A106=""),"0",IF(LOOKUP($A106,Load_Switch_NFET[PARTNUMBER],Load_Switch_NFET[RDSON18])="(NULL)","0","1"))</f>
        <v>0</v>
      </c>
      <c r="C106" s="8" t="str">
        <f>IF(OR($A106=0,$A106=""),"0",IF(LOOKUP($A106,Load_Switch_NFET[PARTNUMBER],Load_Switch_NFET[RDSON25])="(NULL)","0","1"))</f>
        <v>0</v>
      </c>
      <c r="D106" s="9" t="str">
        <f>IF(OR($A106=0,$A106=""),"0",IF(LOOKUP($A106,Load_Switch_NFET[PARTNUMBER],Load_Switch_NFET[RDSON3])="(NULL)","0","1"))</f>
        <v>0</v>
      </c>
      <c r="E106" s="11" t="str">
        <f>IF(OR($A106=0,$A106=""),"0",IF(LOOKUP($A106,Load_Switch_NFET[PARTNUMBER],Load_Switch_NFET[RDSON45])="(NULL)","0","1"))</f>
        <v>0</v>
      </c>
      <c r="F106" s="16" t="str">
        <f>IF(OR($A106=0,$A106=""),"0",IF(LOOKUP($A106,Load_Switch_NFET[PARTNUMBER],Load_Switch_NFET[RDSON6])="(NULL)","0","1"))</f>
        <v>0</v>
      </c>
      <c r="G106" s="3" t="str">
        <f>IF(OR($A106=0,$A106=""),"0",IF(LOOKUP($A106,Load_Switch_NFET[PARTNUMBER],Load_Switch_NFET[RDSON8])="(NULL)","0","1"))</f>
        <v>0</v>
      </c>
      <c r="H106" s="14" t="str">
        <f>IF(OR($A106=0,$A106=""),"0",IF(LOOKUP($A106,Load_Switch_NFET[PARTNUMBER],Load_Switch_NFET[RDSON10])="(NULL)","0","1"))</f>
        <v>0</v>
      </c>
      <c r="I106" s="24" t="b">
        <f t="shared" si="51"/>
        <v>0</v>
      </c>
      <c r="J106" s="7" t="b">
        <f t="shared" si="72"/>
        <v>0</v>
      </c>
      <c r="K106" s="10" t="b">
        <f t="shared" si="73"/>
        <v>0</v>
      </c>
      <c r="L106" s="12" t="b">
        <f t="shared" si="74"/>
        <v>0</v>
      </c>
      <c r="M106" s="17" t="b">
        <f t="shared" si="75"/>
        <v>0</v>
      </c>
      <c r="N106" s="13" t="b">
        <f t="shared" si="76"/>
        <v>0</v>
      </c>
      <c r="O106" s="15" t="b">
        <f t="shared" si="77"/>
        <v>0</v>
      </c>
      <c r="P106" s="18" t="b">
        <f t="shared" si="58"/>
        <v>0</v>
      </c>
      <c r="Q106" s="24" t="b">
        <f t="shared" si="59"/>
        <v>0</v>
      </c>
      <c r="R106" s="7" t="b">
        <f t="shared" si="78"/>
        <v>0</v>
      </c>
      <c r="S106" s="10" t="b">
        <f t="shared" si="61"/>
        <v>0</v>
      </c>
      <c r="T106" s="12" t="b">
        <f t="shared" si="62"/>
        <v>0</v>
      </c>
      <c r="U106" s="17" t="b">
        <f t="shared" si="63"/>
        <v>0</v>
      </c>
      <c r="V106" s="13" t="b">
        <f t="shared" si="64"/>
        <v>0</v>
      </c>
      <c r="W106" s="15" t="b">
        <f t="shared" si="65"/>
        <v>0</v>
      </c>
      <c r="X106" s="6" t="str">
        <f>IF(W106,LOOKUP(A106,Load_Switch_NFET[PARTNUMBER],Load_Switch_NFET[RDSON10])*1000,IF(V106,LOOKUP(A106,Load_Switch_NFET[PARTNUMBER],Load_Switch_NFET[RDSON8])*1000,IF(U106,LOOKUP(A106,Load_Switch_NFET[PARTNUMBER],Load_Switch_NFET[RDSON6])*1000,IF(T106,LOOKUP(A106,Load_Switch_NFET[PARTNUMBER],Load_Switch_NFET[RDSON45])*1000,IF(S106,LOOKUP(A106,Load_Switch_NFET[PARTNUMBER],Load_Switch_NFET[RDSON3])*1000,IF(R106,LOOKUP(A106,Load_Switch_NFET[PARTNUMBER],Load_Switch_NFET[RDSON25])*1000,IF(Q106,LOOKUP(A106,Load_Switch_NFET[PARTNUMBER],Load_Switch_NFET[RDSON18])*1000,"")))))))</f>
        <v/>
      </c>
      <c r="Y106" s="19" t="str">
        <f>IF(AND(A106&lt;&gt;0,A106&lt;&gt;""),X106*(1+(Tj-25)*(LOOKUP(A106,Load_Switch_NFET[PARTNUMBER],Load_Switch_NFET[RDSDELTA])/((LOOKUP(A106,Load_Switch_NFET[PARTNUMBER],Load_Switch_NFET[TJMAX])-25)))),"")</f>
        <v/>
      </c>
      <c r="Z106" s="6" t="str">
        <f>IF(AND(A106&lt;&gt;0,A106&lt;&gt;""),LOOKUP(A106,Load_Switch_NFET[PARTNUMBER],Load_Switch_NFET[VTHMAX]),"")</f>
        <v/>
      </c>
      <c r="AA106" s="6" t="str">
        <f>IF(AND(A106&lt;&gt;0,A106&lt;&gt;""),LOOKUP(A106,Load_Switch_NFET[PARTNUMBER],Load_Switch_NFET[VTHMIN]),"")</f>
        <v/>
      </c>
      <c r="AB106" s="6" t="str">
        <f t="shared" si="66"/>
        <v>#N/A</v>
      </c>
      <c r="AC106" s="6" t="str">
        <f>IF(AND(A106&lt;&gt;0,A106&lt;&gt;""),LOOKUP(A106,Load_Switch_NFET[PARTNUMBER],Load_Switch_NFET[RGIMAX]),"")</f>
        <v/>
      </c>
      <c r="AD106" s="6" t="str">
        <f>IF(AND($A106&lt;&gt;0,$A106&lt;&gt;""),LOOKUP($A106,Load_Switch_NFET[PARTNUMBER],Load_Switch_NFET[QGTYP]),"")</f>
        <v/>
      </c>
      <c r="AE106" s="6" t="str">
        <f>IF(AND($A106&lt;&gt;0,$A106&lt;&gt;""),LOOKUP($A106,Load_Switch_NFET[PARTNUMBER],Load_Switch_NFET[QGS]),"")</f>
        <v/>
      </c>
      <c r="AF106" s="6" t="str">
        <f>IF(AND($A106&lt;&gt;0,$A106&lt;&gt;""),LOOKUP($A106,Load_Switch_NFET[PARTNUMBER],Load_Switch_NFET[QGD]),"")</f>
        <v/>
      </c>
      <c r="AG106" s="6" t="str">
        <f>IF(AND($A106&lt;&gt;0,$A106&lt;&gt;""),LOOKUP($A106,Load_Switch_NFET[PARTNUMBER],Load_Switch_NFET[QGTH]),"")</f>
        <v/>
      </c>
      <c r="AH106" s="6" t="str">
        <f>IF(AND($A106&lt;&gt;0,$A106&lt;&gt;""),LOOKUP($A106,Load_Switch_NFET[PARTNUMBER],Load_Switch_NFET[VMILLER]),"")</f>
        <v/>
      </c>
      <c r="AI106" s="6" t="str">
        <f>IF(AND($A106&lt;&gt;0,$A106&lt;&gt;""),LOOKUP($A106,Load_Switch_NFET[PARTNUMBER],Load_Switch_NFET[COSS_AT_VDSSPEC]),"")</f>
        <v/>
      </c>
      <c r="AJ106" s="6" t="str">
        <f t="shared" si="67"/>
        <v/>
      </c>
      <c r="AK106" s="6" t="str">
        <f t="shared" si="68"/>
        <v/>
      </c>
      <c r="AL106" s="6" t="str">
        <f t="shared" si="69"/>
        <v/>
      </c>
      <c r="AM106" s="49" t="str">
        <f t="shared" si="70"/>
        <v/>
      </c>
      <c r="AN106" s="46" t="str">
        <f>IF(AND($A106&lt;&gt;0,$A106&lt;&gt;""),LOOKUP($A106,Load_Switch_NFET[PARTNUMBER],Load_Switch_NFET[1KPRICE]),"")</f>
        <v/>
      </c>
      <c r="AO106" s="6" t="str">
        <f>IF(AND($A106&lt;&gt;0,$A106&lt;&gt;""),LOOKUP(A106,Load_Switch_NFET[PARTNUMBER],Load_Switch_NFET[TI_EQ_PACKAGE]),"")</f>
        <v/>
      </c>
      <c r="AP106" s="6" t="str">
        <f t="shared" si="71"/>
        <v>Invalid Part</v>
      </c>
    </row>
    <row r="107" spans="1:42" x14ac:dyDescent="0.25">
      <c r="A107" s="6">
        <f>IF(CH="N",NLogic!B107,"")</f>
        <v>0</v>
      </c>
      <c r="B107" s="23" t="str">
        <f>IF(OR($A107=0,$A107=""),"0",IF(LOOKUP($A107,Load_Switch_NFET[PARTNUMBER],Load_Switch_NFET[RDSON18])="(NULL)","0","1"))</f>
        <v>0</v>
      </c>
      <c r="C107" s="8" t="str">
        <f>IF(OR($A107=0,$A107=""),"0",IF(LOOKUP($A107,Load_Switch_NFET[PARTNUMBER],Load_Switch_NFET[RDSON25])="(NULL)","0","1"))</f>
        <v>0</v>
      </c>
      <c r="D107" s="9" t="str">
        <f>IF(OR($A107=0,$A107=""),"0",IF(LOOKUP($A107,Load_Switch_NFET[PARTNUMBER],Load_Switch_NFET[RDSON3])="(NULL)","0","1"))</f>
        <v>0</v>
      </c>
      <c r="E107" s="11" t="str">
        <f>IF(OR($A107=0,$A107=""),"0",IF(LOOKUP($A107,Load_Switch_NFET[PARTNUMBER],Load_Switch_NFET[RDSON45])="(NULL)","0","1"))</f>
        <v>0</v>
      </c>
      <c r="F107" s="16" t="str">
        <f>IF(OR($A107=0,$A107=""),"0",IF(LOOKUP($A107,Load_Switch_NFET[PARTNUMBER],Load_Switch_NFET[RDSON6])="(NULL)","0","1"))</f>
        <v>0</v>
      </c>
      <c r="G107" s="3" t="str">
        <f>IF(OR($A107=0,$A107=""),"0",IF(LOOKUP($A107,Load_Switch_NFET[PARTNUMBER],Load_Switch_NFET[RDSON8])="(NULL)","0","1"))</f>
        <v>0</v>
      </c>
      <c r="H107" s="14" t="str">
        <f>IF(OR($A107=0,$A107=""),"0",IF(LOOKUP($A107,Load_Switch_NFET[PARTNUMBER],Load_Switch_NFET[RDSON10])="(NULL)","0","1"))</f>
        <v>0</v>
      </c>
      <c r="I107" s="24" t="b">
        <f t="shared" si="51"/>
        <v>0</v>
      </c>
      <c r="J107" s="7" t="b">
        <f t="shared" si="72"/>
        <v>0</v>
      </c>
      <c r="K107" s="10" t="b">
        <f t="shared" si="73"/>
        <v>0</v>
      </c>
      <c r="L107" s="12" t="b">
        <f t="shared" si="74"/>
        <v>0</v>
      </c>
      <c r="M107" s="17" t="b">
        <f t="shared" si="75"/>
        <v>0</v>
      </c>
      <c r="N107" s="13" t="b">
        <f t="shared" si="76"/>
        <v>0</v>
      </c>
      <c r="O107" s="15" t="b">
        <f t="shared" si="77"/>
        <v>0</v>
      </c>
      <c r="P107" s="18" t="b">
        <f t="shared" si="58"/>
        <v>0</v>
      </c>
      <c r="Q107" s="24" t="b">
        <f t="shared" si="59"/>
        <v>0</v>
      </c>
      <c r="R107" s="7" t="b">
        <f t="shared" si="78"/>
        <v>0</v>
      </c>
      <c r="S107" s="10" t="b">
        <f t="shared" si="61"/>
        <v>0</v>
      </c>
      <c r="T107" s="12" t="b">
        <f t="shared" si="62"/>
        <v>0</v>
      </c>
      <c r="U107" s="17" t="b">
        <f t="shared" si="63"/>
        <v>0</v>
      </c>
      <c r="V107" s="13" t="b">
        <f t="shared" si="64"/>
        <v>0</v>
      </c>
      <c r="W107" s="15" t="b">
        <f t="shared" si="65"/>
        <v>0</v>
      </c>
      <c r="X107" s="6" t="str">
        <f>IF(W107,LOOKUP(A107,Load_Switch_NFET[PARTNUMBER],Load_Switch_NFET[RDSON10])*1000,IF(V107,LOOKUP(A107,Load_Switch_NFET[PARTNUMBER],Load_Switch_NFET[RDSON8])*1000,IF(U107,LOOKUP(A107,Load_Switch_NFET[PARTNUMBER],Load_Switch_NFET[RDSON6])*1000,IF(T107,LOOKUP(A107,Load_Switch_NFET[PARTNUMBER],Load_Switch_NFET[RDSON45])*1000,IF(S107,LOOKUP(A107,Load_Switch_NFET[PARTNUMBER],Load_Switch_NFET[RDSON3])*1000,IF(R107,LOOKUP(A107,Load_Switch_NFET[PARTNUMBER],Load_Switch_NFET[RDSON25])*1000,IF(Q107,LOOKUP(A107,Load_Switch_NFET[PARTNUMBER],Load_Switch_NFET[RDSON18])*1000,"")))))))</f>
        <v/>
      </c>
      <c r="Y107" s="19" t="str">
        <f>IF(AND(A107&lt;&gt;0,A107&lt;&gt;""),X107*(1+(Tj-25)*(LOOKUP(A107,Load_Switch_NFET[PARTNUMBER],Load_Switch_NFET[RDSDELTA])/((LOOKUP(A107,Load_Switch_NFET[PARTNUMBER],Load_Switch_NFET[TJMAX])-25)))),"")</f>
        <v/>
      </c>
      <c r="Z107" s="6" t="str">
        <f>IF(AND(A107&lt;&gt;0,A107&lt;&gt;""),LOOKUP(A107,Load_Switch_NFET[PARTNUMBER],Load_Switch_NFET[VTHMAX]),"")</f>
        <v/>
      </c>
      <c r="AA107" s="6" t="str">
        <f>IF(AND(A107&lt;&gt;0,A107&lt;&gt;""),LOOKUP(A107,Load_Switch_NFET[PARTNUMBER],Load_Switch_NFET[VTHMIN]),"")</f>
        <v/>
      </c>
      <c r="AB107" s="6" t="str">
        <f t="shared" si="66"/>
        <v>#N/A</v>
      </c>
      <c r="AC107" s="6" t="str">
        <f>IF(AND(A107&lt;&gt;0,A107&lt;&gt;""),LOOKUP(A107,Load_Switch_NFET[PARTNUMBER],Load_Switch_NFET[RGIMAX]),"")</f>
        <v/>
      </c>
      <c r="AD107" s="6" t="str">
        <f>IF(AND($A107&lt;&gt;0,$A107&lt;&gt;""),LOOKUP($A107,Load_Switch_NFET[PARTNUMBER],Load_Switch_NFET[QGTYP]),"")</f>
        <v/>
      </c>
      <c r="AE107" s="6" t="str">
        <f>IF(AND($A107&lt;&gt;0,$A107&lt;&gt;""),LOOKUP($A107,Load_Switch_NFET[PARTNUMBER],Load_Switch_NFET[QGS]),"")</f>
        <v/>
      </c>
      <c r="AF107" s="6" t="str">
        <f>IF(AND($A107&lt;&gt;0,$A107&lt;&gt;""),LOOKUP($A107,Load_Switch_NFET[PARTNUMBER],Load_Switch_NFET[QGD]),"")</f>
        <v/>
      </c>
      <c r="AG107" s="6" t="str">
        <f>IF(AND($A107&lt;&gt;0,$A107&lt;&gt;""),LOOKUP($A107,Load_Switch_NFET[PARTNUMBER],Load_Switch_NFET[QGTH]),"")</f>
        <v/>
      </c>
      <c r="AH107" s="6" t="str">
        <f>IF(AND($A107&lt;&gt;0,$A107&lt;&gt;""),LOOKUP($A107,Load_Switch_NFET[PARTNUMBER],Load_Switch_NFET[VMILLER]),"")</f>
        <v/>
      </c>
      <c r="AI107" s="6" t="str">
        <f>IF(AND($A107&lt;&gt;0,$A107&lt;&gt;""),LOOKUP($A107,Load_Switch_NFET[PARTNUMBER],Load_Switch_NFET[COSS_AT_VDSSPEC]),"")</f>
        <v/>
      </c>
      <c r="AJ107" s="6" t="str">
        <f t="shared" si="67"/>
        <v/>
      </c>
      <c r="AK107" s="6" t="str">
        <f t="shared" si="68"/>
        <v/>
      </c>
      <c r="AL107" s="6" t="str">
        <f t="shared" si="69"/>
        <v/>
      </c>
      <c r="AM107" s="49" t="str">
        <f t="shared" si="70"/>
        <v/>
      </c>
      <c r="AN107" s="46" t="str">
        <f>IF(AND($A107&lt;&gt;0,$A107&lt;&gt;""),LOOKUP($A107,Load_Switch_NFET[PARTNUMBER],Load_Switch_NFET[1KPRICE]),"")</f>
        <v/>
      </c>
      <c r="AO107" s="6" t="str">
        <f>IF(AND($A107&lt;&gt;0,$A107&lt;&gt;""),LOOKUP(A107,Load_Switch_NFET[PARTNUMBER],Load_Switch_NFET[TI_EQ_PACKAGE]),"")</f>
        <v/>
      </c>
      <c r="AP107" s="6" t="str">
        <f t="shared" si="71"/>
        <v>Invalid Part</v>
      </c>
    </row>
    <row r="108" spans="1:42" x14ac:dyDescent="0.25">
      <c r="A108" s="6">
        <f>IF(CH="N",NLogic!B108,"")</f>
        <v>0</v>
      </c>
      <c r="B108" s="23" t="str">
        <f>IF(OR($A108=0,$A108=""),"0",IF(LOOKUP($A108,Load_Switch_NFET[PARTNUMBER],Load_Switch_NFET[RDSON18])="(NULL)","0","1"))</f>
        <v>0</v>
      </c>
      <c r="C108" s="8" t="str">
        <f>IF(OR($A108=0,$A108=""),"0",IF(LOOKUP($A108,Load_Switch_NFET[PARTNUMBER],Load_Switch_NFET[RDSON25])="(NULL)","0","1"))</f>
        <v>0</v>
      </c>
      <c r="D108" s="9" t="str">
        <f>IF(OR($A108=0,$A108=""),"0",IF(LOOKUP($A108,Load_Switch_NFET[PARTNUMBER],Load_Switch_NFET[RDSON3])="(NULL)","0","1"))</f>
        <v>0</v>
      </c>
      <c r="E108" s="11" t="str">
        <f>IF(OR($A108=0,$A108=""),"0",IF(LOOKUP($A108,Load_Switch_NFET[PARTNUMBER],Load_Switch_NFET[RDSON45])="(NULL)","0","1"))</f>
        <v>0</v>
      </c>
      <c r="F108" s="16" t="str">
        <f>IF(OR($A108=0,$A108=""),"0",IF(LOOKUP($A108,Load_Switch_NFET[PARTNUMBER],Load_Switch_NFET[RDSON6])="(NULL)","0","1"))</f>
        <v>0</v>
      </c>
      <c r="G108" s="3" t="str">
        <f>IF(OR($A108=0,$A108=""),"0",IF(LOOKUP($A108,Load_Switch_NFET[PARTNUMBER],Load_Switch_NFET[RDSON8])="(NULL)","0","1"))</f>
        <v>0</v>
      </c>
      <c r="H108" s="14" t="str">
        <f>IF(OR($A108=0,$A108=""),"0",IF(LOOKUP($A108,Load_Switch_NFET[PARTNUMBER],Load_Switch_NFET[RDSON10])="(NULL)","0","1"))</f>
        <v>0</v>
      </c>
      <c r="I108" s="24" t="b">
        <f t="shared" si="51"/>
        <v>0</v>
      </c>
      <c r="J108" s="7" t="b">
        <f t="shared" si="72"/>
        <v>0</v>
      </c>
      <c r="K108" s="10" t="b">
        <f t="shared" si="73"/>
        <v>0</v>
      </c>
      <c r="L108" s="12" t="b">
        <f t="shared" si="74"/>
        <v>0</v>
      </c>
      <c r="M108" s="17" t="b">
        <f t="shared" si="75"/>
        <v>0</v>
      </c>
      <c r="N108" s="13" t="b">
        <f t="shared" si="76"/>
        <v>0</v>
      </c>
      <c r="O108" s="15" t="b">
        <f t="shared" si="77"/>
        <v>0</v>
      </c>
      <c r="P108" s="18" t="b">
        <f t="shared" si="58"/>
        <v>0</v>
      </c>
      <c r="Q108" s="24" t="b">
        <f t="shared" si="59"/>
        <v>0</v>
      </c>
      <c r="R108" s="7" t="b">
        <f t="shared" si="78"/>
        <v>0</v>
      </c>
      <c r="S108" s="10" t="b">
        <f t="shared" si="61"/>
        <v>0</v>
      </c>
      <c r="T108" s="12" t="b">
        <f t="shared" si="62"/>
        <v>0</v>
      </c>
      <c r="U108" s="17" t="b">
        <f t="shared" si="63"/>
        <v>0</v>
      </c>
      <c r="V108" s="13" t="b">
        <f t="shared" si="64"/>
        <v>0</v>
      </c>
      <c r="W108" s="15" t="b">
        <f t="shared" si="65"/>
        <v>0</v>
      </c>
      <c r="X108" s="6" t="str">
        <f>IF(W108,LOOKUP(A108,Load_Switch_NFET[PARTNUMBER],Load_Switch_NFET[RDSON10])*1000,IF(V108,LOOKUP(A108,Load_Switch_NFET[PARTNUMBER],Load_Switch_NFET[RDSON8])*1000,IF(U108,LOOKUP(A108,Load_Switch_NFET[PARTNUMBER],Load_Switch_NFET[RDSON6])*1000,IF(T108,LOOKUP(A108,Load_Switch_NFET[PARTNUMBER],Load_Switch_NFET[RDSON45])*1000,IF(S108,LOOKUP(A108,Load_Switch_NFET[PARTNUMBER],Load_Switch_NFET[RDSON3])*1000,IF(R108,LOOKUP(A108,Load_Switch_NFET[PARTNUMBER],Load_Switch_NFET[RDSON25])*1000,IF(Q108,LOOKUP(A108,Load_Switch_NFET[PARTNUMBER],Load_Switch_NFET[RDSON18])*1000,"")))))))</f>
        <v/>
      </c>
      <c r="Y108" s="19" t="str">
        <f>IF(AND(A108&lt;&gt;0,A108&lt;&gt;""),X108*(1+(Tj-25)*(LOOKUP(A108,Load_Switch_NFET[PARTNUMBER],Load_Switch_NFET[RDSDELTA])/((LOOKUP(A108,Load_Switch_NFET[PARTNUMBER],Load_Switch_NFET[TJMAX])-25)))),"")</f>
        <v/>
      </c>
      <c r="Z108" s="6" t="str">
        <f>IF(AND(A108&lt;&gt;0,A108&lt;&gt;""),LOOKUP(A108,Load_Switch_NFET[PARTNUMBER],Load_Switch_NFET[VTHMAX]),"")</f>
        <v/>
      </c>
      <c r="AA108" s="6" t="str">
        <f>IF(AND(A108&lt;&gt;0,A108&lt;&gt;""),LOOKUP(A108,Load_Switch_NFET[PARTNUMBER],Load_Switch_NFET[VTHMIN]),"")</f>
        <v/>
      </c>
      <c r="AB108" s="6" t="str">
        <f t="shared" si="66"/>
        <v>#N/A</v>
      </c>
      <c r="AC108" s="6" t="str">
        <f>IF(AND(A108&lt;&gt;0,A108&lt;&gt;""),LOOKUP(A108,Load_Switch_NFET[PARTNUMBER],Load_Switch_NFET[RGIMAX]),"")</f>
        <v/>
      </c>
      <c r="AD108" s="6" t="str">
        <f>IF(AND($A108&lt;&gt;0,$A108&lt;&gt;""),LOOKUP($A108,Load_Switch_NFET[PARTNUMBER],Load_Switch_NFET[QGTYP]),"")</f>
        <v/>
      </c>
      <c r="AE108" s="6" t="str">
        <f>IF(AND($A108&lt;&gt;0,$A108&lt;&gt;""),LOOKUP($A108,Load_Switch_NFET[PARTNUMBER],Load_Switch_NFET[QGS]),"")</f>
        <v/>
      </c>
      <c r="AF108" s="6" t="str">
        <f>IF(AND($A108&lt;&gt;0,$A108&lt;&gt;""),LOOKUP($A108,Load_Switch_NFET[PARTNUMBER],Load_Switch_NFET[QGD]),"")</f>
        <v/>
      </c>
      <c r="AG108" s="6" t="str">
        <f>IF(AND($A108&lt;&gt;0,$A108&lt;&gt;""),LOOKUP($A108,Load_Switch_NFET[PARTNUMBER],Load_Switch_NFET[QGTH]),"")</f>
        <v/>
      </c>
      <c r="AH108" s="6" t="str">
        <f>IF(AND($A108&lt;&gt;0,$A108&lt;&gt;""),LOOKUP($A108,Load_Switch_NFET[PARTNUMBER],Load_Switch_NFET[VMILLER]),"")</f>
        <v/>
      </c>
      <c r="AI108" s="6" t="str">
        <f>IF(AND($A108&lt;&gt;0,$A108&lt;&gt;""),LOOKUP($A108,Load_Switch_NFET[PARTNUMBER],Load_Switch_NFET[COSS_AT_VDSSPEC]),"")</f>
        <v/>
      </c>
      <c r="AJ108" s="6" t="str">
        <f t="shared" si="67"/>
        <v/>
      </c>
      <c r="AK108" s="6" t="str">
        <f t="shared" si="68"/>
        <v/>
      </c>
      <c r="AL108" s="6" t="str">
        <f t="shared" si="69"/>
        <v/>
      </c>
      <c r="AM108" s="49" t="str">
        <f t="shared" si="70"/>
        <v/>
      </c>
      <c r="AN108" s="46" t="str">
        <f>IF(AND($A108&lt;&gt;0,$A108&lt;&gt;""),LOOKUP($A108,Load_Switch_NFET[PARTNUMBER],Load_Switch_NFET[1KPRICE]),"")</f>
        <v/>
      </c>
      <c r="AO108" s="6" t="str">
        <f>IF(AND($A108&lt;&gt;0,$A108&lt;&gt;""),LOOKUP(A108,Load_Switch_NFET[PARTNUMBER],Load_Switch_NFET[TI_EQ_PACKAGE]),"")</f>
        <v/>
      </c>
      <c r="AP108" s="6" t="str">
        <f t="shared" si="71"/>
        <v>Invalid Part</v>
      </c>
    </row>
    <row r="109" spans="1:42" x14ac:dyDescent="0.25">
      <c r="A109" s="6">
        <f>IF(CH="N",NLogic!B109,"")</f>
        <v>0</v>
      </c>
      <c r="B109" s="23" t="str">
        <f>IF(OR($A109=0,$A109=""),"0",IF(LOOKUP($A109,Load_Switch_NFET[PARTNUMBER],Load_Switch_NFET[RDSON18])="(NULL)","0","1"))</f>
        <v>0</v>
      </c>
      <c r="C109" s="8" t="str">
        <f>IF(OR($A109=0,$A109=""),"0",IF(LOOKUP($A109,Load_Switch_NFET[PARTNUMBER],Load_Switch_NFET[RDSON25])="(NULL)","0","1"))</f>
        <v>0</v>
      </c>
      <c r="D109" s="9" t="str">
        <f>IF(OR($A109=0,$A109=""),"0",IF(LOOKUP($A109,Load_Switch_NFET[PARTNUMBER],Load_Switch_NFET[RDSON3])="(NULL)","0","1"))</f>
        <v>0</v>
      </c>
      <c r="E109" s="11" t="str">
        <f>IF(OR($A109=0,$A109=""),"0",IF(LOOKUP($A109,Load_Switch_NFET[PARTNUMBER],Load_Switch_NFET[RDSON45])="(NULL)","0","1"))</f>
        <v>0</v>
      </c>
      <c r="F109" s="16" t="str">
        <f>IF(OR($A109=0,$A109=""),"0",IF(LOOKUP($A109,Load_Switch_NFET[PARTNUMBER],Load_Switch_NFET[RDSON6])="(NULL)","0","1"))</f>
        <v>0</v>
      </c>
      <c r="G109" s="3" t="str">
        <f>IF(OR($A109=0,$A109=""),"0",IF(LOOKUP($A109,Load_Switch_NFET[PARTNUMBER],Load_Switch_NFET[RDSON8])="(NULL)","0","1"))</f>
        <v>0</v>
      </c>
      <c r="H109" s="14" t="str">
        <f>IF(OR($A109=0,$A109=""),"0",IF(LOOKUP($A109,Load_Switch_NFET[PARTNUMBER],Load_Switch_NFET[RDSON10])="(NULL)","0","1"))</f>
        <v>0</v>
      </c>
      <c r="I109" s="24" t="b">
        <f t="shared" si="51"/>
        <v>0</v>
      </c>
      <c r="J109" s="7" t="b">
        <f t="shared" si="72"/>
        <v>0</v>
      </c>
      <c r="K109" s="10" t="b">
        <f t="shared" si="73"/>
        <v>0</v>
      </c>
      <c r="L109" s="12" t="b">
        <f t="shared" si="74"/>
        <v>0</v>
      </c>
      <c r="M109" s="17" t="b">
        <f t="shared" si="75"/>
        <v>0</v>
      </c>
      <c r="N109" s="13" t="b">
        <f t="shared" si="76"/>
        <v>0</v>
      </c>
      <c r="O109" s="15" t="b">
        <f t="shared" si="77"/>
        <v>0</v>
      </c>
      <c r="P109" s="18" t="b">
        <f t="shared" si="58"/>
        <v>0</v>
      </c>
      <c r="Q109" s="24" t="b">
        <f t="shared" si="59"/>
        <v>0</v>
      </c>
      <c r="R109" s="7" t="b">
        <f t="shared" si="78"/>
        <v>0</v>
      </c>
      <c r="S109" s="10" t="b">
        <f t="shared" si="61"/>
        <v>0</v>
      </c>
      <c r="T109" s="12" t="b">
        <f t="shared" si="62"/>
        <v>0</v>
      </c>
      <c r="U109" s="17" t="b">
        <f t="shared" si="63"/>
        <v>0</v>
      </c>
      <c r="V109" s="13" t="b">
        <f t="shared" si="64"/>
        <v>0</v>
      </c>
      <c r="W109" s="15" t="b">
        <f t="shared" si="65"/>
        <v>0</v>
      </c>
      <c r="X109" s="6" t="str">
        <f>IF(W109,LOOKUP(A109,Load_Switch_NFET[PARTNUMBER],Load_Switch_NFET[RDSON10])*1000,IF(V109,LOOKUP(A109,Load_Switch_NFET[PARTNUMBER],Load_Switch_NFET[RDSON8])*1000,IF(U109,LOOKUP(A109,Load_Switch_NFET[PARTNUMBER],Load_Switch_NFET[RDSON6])*1000,IF(T109,LOOKUP(A109,Load_Switch_NFET[PARTNUMBER],Load_Switch_NFET[RDSON45])*1000,IF(S109,LOOKUP(A109,Load_Switch_NFET[PARTNUMBER],Load_Switch_NFET[RDSON3])*1000,IF(R109,LOOKUP(A109,Load_Switch_NFET[PARTNUMBER],Load_Switch_NFET[RDSON25])*1000,IF(Q109,LOOKUP(A109,Load_Switch_NFET[PARTNUMBER],Load_Switch_NFET[RDSON18])*1000,"")))))))</f>
        <v/>
      </c>
      <c r="Y109" s="19" t="str">
        <f>IF(AND(A109&lt;&gt;0,A109&lt;&gt;""),X109*(1+(Tj-25)*(LOOKUP(A109,Load_Switch_NFET[PARTNUMBER],Load_Switch_NFET[RDSDELTA])/((LOOKUP(A109,Load_Switch_NFET[PARTNUMBER],Load_Switch_NFET[TJMAX])-25)))),"")</f>
        <v/>
      </c>
      <c r="Z109" s="6" t="str">
        <f>IF(AND(A109&lt;&gt;0,A109&lt;&gt;""),LOOKUP(A109,Load_Switch_NFET[PARTNUMBER],Load_Switch_NFET[VTHMAX]),"")</f>
        <v/>
      </c>
      <c r="AA109" s="6" t="str">
        <f>IF(AND(A109&lt;&gt;0,A109&lt;&gt;""),LOOKUP(A109,Load_Switch_NFET[PARTNUMBER],Load_Switch_NFET[VTHMIN]),"")</f>
        <v/>
      </c>
      <c r="AB109" s="6" t="str">
        <f t="shared" si="66"/>
        <v>#N/A</v>
      </c>
      <c r="AC109" s="6" t="str">
        <f>IF(AND(A109&lt;&gt;0,A109&lt;&gt;""),LOOKUP(A109,Load_Switch_NFET[PARTNUMBER],Load_Switch_NFET[RGIMAX]),"")</f>
        <v/>
      </c>
      <c r="AD109" s="6" t="str">
        <f>IF(AND($A109&lt;&gt;0,$A109&lt;&gt;""),LOOKUP($A109,Load_Switch_NFET[PARTNUMBER],Load_Switch_NFET[QGTYP]),"")</f>
        <v/>
      </c>
      <c r="AE109" s="6" t="str">
        <f>IF(AND($A109&lt;&gt;0,$A109&lt;&gt;""),LOOKUP($A109,Load_Switch_NFET[PARTNUMBER],Load_Switch_NFET[QGS]),"")</f>
        <v/>
      </c>
      <c r="AF109" s="6" t="str">
        <f>IF(AND($A109&lt;&gt;0,$A109&lt;&gt;""),LOOKUP($A109,Load_Switch_NFET[PARTNUMBER],Load_Switch_NFET[QGD]),"")</f>
        <v/>
      </c>
      <c r="AG109" s="6" t="str">
        <f>IF(AND($A109&lt;&gt;0,$A109&lt;&gt;""),LOOKUP($A109,Load_Switch_NFET[PARTNUMBER],Load_Switch_NFET[QGTH]),"")</f>
        <v/>
      </c>
      <c r="AH109" s="6" t="str">
        <f>IF(AND($A109&lt;&gt;0,$A109&lt;&gt;""),LOOKUP($A109,Load_Switch_NFET[PARTNUMBER],Load_Switch_NFET[VMILLER]),"")</f>
        <v/>
      </c>
      <c r="AI109" s="6" t="str">
        <f>IF(AND($A109&lt;&gt;0,$A109&lt;&gt;""),LOOKUP($A109,Load_Switch_NFET[PARTNUMBER],Load_Switch_NFET[COSS_AT_VDSSPEC]),"")</f>
        <v/>
      </c>
      <c r="AJ109" s="6" t="str">
        <f t="shared" si="67"/>
        <v/>
      </c>
      <c r="AK109" s="6" t="str">
        <f t="shared" si="68"/>
        <v/>
      </c>
      <c r="AL109" s="6" t="str">
        <f t="shared" si="69"/>
        <v/>
      </c>
      <c r="AM109" s="49" t="str">
        <f t="shared" si="70"/>
        <v/>
      </c>
      <c r="AN109" s="46" t="str">
        <f>IF(AND($A109&lt;&gt;0,$A109&lt;&gt;""),LOOKUP($A109,Load_Switch_NFET[PARTNUMBER],Load_Switch_NFET[1KPRICE]),"")</f>
        <v/>
      </c>
      <c r="AO109" s="6" t="str">
        <f>IF(AND($A109&lt;&gt;0,$A109&lt;&gt;""),LOOKUP(A109,Load_Switch_NFET[PARTNUMBER],Load_Switch_NFET[TI_EQ_PACKAGE]),"")</f>
        <v/>
      </c>
      <c r="AP109" s="6" t="str">
        <f t="shared" si="71"/>
        <v>Invalid Part</v>
      </c>
    </row>
    <row r="110" spans="1:42" x14ac:dyDescent="0.25">
      <c r="A110" s="6">
        <f>IF(CH="N",NLogic!B110,"")</f>
        <v>0</v>
      </c>
      <c r="B110" s="23" t="str">
        <f>IF(OR($A110=0,$A110=""),"0",IF(LOOKUP($A110,Load_Switch_NFET[PARTNUMBER],Load_Switch_NFET[RDSON18])="(NULL)","0","1"))</f>
        <v>0</v>
      </c>
      <c r="C110" s="8" t="str">
        <f>IF(OR($A110=0,$A110=""),"0",IF(LOOKUP($A110,Load_Switch_NFET[PARTNUMBER],Load_Switch_NFET[RDSON25])="(NULL)","0","1"))</f>
        <v>0</v>
      </c>
      <c r="D110" s="9" t="str">
        <f>IF(OR($A110=0,$A110=""),"0",IF(LOOKUP($A110,Load_Switch_NFET[PARTNUMBER],Load_Switch_NFET[RDSON3])="(NULL)","0","1"))</f>
        <v>0</v>
      </c>
      <c r="E110" s="11" t="str">
        <f>IF(OR($A110=0,$A110=""),"0",IF(LOOKUP($A110,Load_Switch_NFET[PARTNUMBER],Load_Switch_NFET[RDSON45])="(NULL)","0","1"))</f>
        <v>0</v>
      </c>
      <c r="F110" s="16" t="str">
        <f>IF(OR($A110=0,$A110=""),"0",IF(LOOKUP($A110,Load_Switch_NFET[PARTNUMBER],Load_Switch_NFET[RDSON6])="(NULL)","0","1"))</f>
        <v>0</v>
      </c>
      <c r="G110" s="3" t="str">
        <f>IF(OR($A110=0,$A110=""),"0",IF(LOOKUP($A110,Load_Switch_NFET[PARTNUMBER],Load_Switch_NFET[RDSON8])="(NULL)","0","1"))</f>
        <v>0</v>
      </c>
      <c r="H110" s="14" t="str">
        <f>IF(OR($A110=0,$A110=""),"0",IF(LOOKUP($A110,Load_Switch_NFET[PARTNUMBER],Load_Switch_NFET[RDSON10])="(NULL)","0","1"))</f>
        <v>0</v>
      </c>
      <c r="I110" s="24" t="b">
        <f t="shared" si="51"/>
        <v>0</v>
      </c>
      <c r="J110" s="7" t="b">
        <f t="shared" si="72"/>
        <v>0</v>
      </c>
      <c r="K110" s="10" t="b">
        <f t="shared" si="73"/>
        <v>0</v>
      </c>
      <c r="L110" s="12" t="b">
        <f t="shared" si="74"/>
        <v>0</v>
      </c>
      <c r="M110" s="17" t="b">
        <f t="shared" si="75"/>
        <v>0</v>
      </c>
      <c r="N110" s="13" t="b">
        <f t="shared" si="76"/>
        <v>0</v>
      </c>
      <c r="O110" s="15" t="b">
        <f t="shared" si="77"/>
        <v>0</v>
      </c>
      <c r="P110" s="18" t="b">
        <f t="shared" si="58"/>
        <v>0</v>
      </c>
      <c r="Q110" s="24" t="b">
        <f t="shared" si="59"/>
        <v>0</v>
      </c>
      <c r="R110" s="7" t="b">
        <f t="shared" si="78"/>
        <v>0</v>
      </c>
      <c r="S110" s="10" t="b">
        <f t="shared" si="61"/>
        <v>0</v>
      </c>
      <c r="T110" s="12" t="b">
        <f t="shared" si="62"/>
        <v>0</v>
      </c>
      <c r="U110" s="17" t="b">
        <f t="shared" si="63"/>
        <v>0</v>
      </c>
      <c r="V110" s="13" t="b">
        <f t="shared" si="64"/>
        <v>0</v>
      </c>
      <c r="W110" s="15" t="b">
        <f t="shared" si="65"/>
        <v>0</v>
      </c>
      <c r="X110" s="6" t="str">
        <f>IF(W110,LOOKUP(A110,Load_Switch_NFET[PARTNUMBER],Load_Switch_NFET[RDSON10])*1000,IF(V110,LOOKUP(A110,Load_Switch_NFET[PARTNUMBER],Load_Switch_NFET[RDSON8])*1000,IF(U110,LOOKUP(A110,Load_Switch_NFET[PARTNUMBER],Load_Switch_NFET[RDSON6])*1000,IF(T110,LOOKUP(A110,Load_Switch_NFET[PARTNUMBER],Load_Switch_NFET[RDSON45])*1000,IF(S110,LOOKUP(A110,Load_Switch_NFET[PARTNUMBER],Load_Switch_NFET[RDSON3])*1000,IF(R110,LOOKUP(A110,Load_Switch_NFET[PARTNUMBER],Load_Switch_NFET[RDSON25])*1000,IF(Q110,LOOKUP(A110,Load_Switch_NFET[PARTNUMBER],Load_Switch_NFET[RDSON18])*1000,"")))))))</f>
        <v/>
      </c>
      <c r="Y110" s="19" t="str">
        <f>IF(AND(A110&lt;&gt;0,A110&lt;&gt;""),X110*(1+(Tj-25)*(LOOKUP(A110,Load_Switch_NFET[PARTNUMBER],Load_Switch_NFET[RDSDELTA])/((LOOKUP(A110,Load_Switch_NFET[PARTNUMBER],Load_Switch_NFET[TJMAX])-25)))),"")</f>
        <v/>
      </c>
      <c r="Z110" s="6" t="str">
        <f>IF(AND(A110&lt;&gt;0,A110&lt;&gt;""),LOOKUP(A110,Load_Switch_NFET[PARTNUMBER],Load_Switch_NFET[VTHMAX]),"")</f>
        <v/>
      </c>
      <c r="AA110" s="6" t="str">
        <f>IF(AND(A110&lt;&gt;0,A110&lt;&gt;""),LOOKUP(A110,Load_Switch_NFET[PARTNUMBER],Load_Switch_NFET[VTHMIN]),"")</f>
        <v/>
      </c>
      <c r="AB110" s="6" t="str">
        <f t="shared" si="66"/>
        <v>#N/A</v>
      </c>
      <c r="AC110" s="6" t="str">
        <f>IF(AND(A110&lt;&gt;0,A110&lt;&gt;""),LOOKUP(A110,Load_Switch_NFET[PARTNUMBER],Load_Switch_NFET[RGIMAX]),"")</f>
        <v/>
      </c>
      <c r="AD110" s="6" t="str">
        <f>IF(AND($A110&lt;&gt;0,$A110&lt;&gt;""),LOOKUP($A110,Load_Switch_NFET[PARTNUMBER],Load_Switch_NFET[QGTYP]),"")</f>
        <v/>
      </c>
      <c r="AE110" s="6" t="str">
        <f>IF(AND($A110&lt;&gt;0,$A110&lt;&gt;""),LOOKUP($A110,Load_Switch_NFET[PARTNUMBER],Load_Switch_NFET[QGS]),"")</f>
        <v/>
      </c>
      <c r="AF110" s="6" t="str">
        <f>IF(AND($A110&lt;&gt;0,$A110&lt;&gt;""),LOOKUP($A110,Load_Switch_NFET[PARTNUMBER],Load_Switch_NFET[QGD]),"")</f>
        <v/>
      </c>
      <c r="AG110" s="6" t="str">
        <f>IF(AND($A110&lt;&gt;0,$A110&lt;&gt;""),LOOKUP($A110,Load_Switch_NFET[PARTNUMBER],Load_Switch_NFET[QGTH]),"")</f>
        <v/>
      </c>
      <c r="AH110" s="6" t="str">
        <f>IF(AND($A110&lt;&gt;0,$A110&lt;&gt;""),LOOKUP($A110,Load_Switch_NFET[PARTNUMBER],Load_Switch_NFET[VMILLER]),"")</f>
        <v/>
      </c>
      <c r="AI110" s="6" t="str">
        <f>IF(AND($A110&lt;&gt;0,$A110&lt;&gt;""),LOOKUP($A110,Load_Switch_NFET[PARTNUMBER],Load_Switch_NFET[COSS_AT_VDSSPEC]),"")</f>
        <v/>
      </c>
      <c r="AJ110" s="6" t="str">
        <f t="shared" si="67"/>
        <v/>
      </c>
      <c r="AK110" s="6" t="str">
        <f t="shared" si="68"/>
        <v/>
      </c>
      <c r="AL110" s="6" t="str">
        <f t="shared" si="69"/>
        <v/>
      </c>
      <c r="AM110" s="49" t="str">
        <f t="shared" si="70"/>
        <v/>
      </c>
      <c r="AN110" s="46" t="str">
        <f>IF(AND($A110&lt;&gt;0,$A110&lt;&gt;""),LOOKUP($A110,Load_Switch_NFET[PARTNUMBER],Load_Switch_NFET[1KPRICE]),"")</f>
        <v/>
      </c>
      <c r="AO110" s="6" t="str">
        <f>IF(AND($A110&lt;&gt;0,$A110&lt;&gt;""),LOOKUP(A110,Load_Switch_NFET[PARTNUMBER],Load_Switch_NFET[TI_EQ_PACKAGE]),"")</f>
        <v/>
      </c>
      <c r="AP110" s="6" t="str">
        <f t="shared" si="71"/>
        <v>Invalid Part</v>
      </c>
    </row>
    <row r="111" spans="1:42" x14ac:dyDescent="0.25">
      <c r="A111" s="6">
        <f>IF(CH="N",NLogic!B111,"")</f>
        <v>0</v>
      </c>
      <c r="B111" s="23" t="str">
        <f>IF(OR($A111=0,$A111=""),"0",IF(LOOKUP($A111,Load_Switch_NFET[PARTNUMBER],Load_Switch_NFET[RDSON18])="(NULL)","0","1"))</f>
        <v>0</v>
      </c>
      <c r="C111" s="8" t="str">
        <f>IF(OR($A111=0,$A111=""),"0",IF(LOOKUP($A111,Load_Switch_NFET[PARTNUMBER],Load_Switch_NFET[RDSON25])="(NULL)","0","1"))</f>
        <v>0</v>
      </c>
      <c r="D111" s="9" t="str">
        <f>IF(OR($A111=0,$A111=""),"0",IF(LOOKUP($A111,Load_Switch_NFET[PARTNUMBER],Load_Switch_NFET[RDSON3])="(NULL)","0","1"))</f>
        <v>0</v>
      </c>
      <c r="E111" s="11" t="str">
        <f>IF(OR($A111=0,$A111=""),"0",IF(LOOKUP($A111,Load_Switch_NFET[PARTNUMBER],Load_Switch_NFET[RDSON45])="(NULL)","0","1"))</f>
        <v>0</v>
      </c>
      <c r="F111" s="16" t="str">
        <f>IF(OR($A111=0,$A111=""),"0",IF(LOOKUP($A111,Load_Switch_NFET[PARTNUMBER],Load_Switch_NFET[RDSON6])="(NULL)","0","1"))</f>
        <v>0</v>
      </c>
      <c r="G111" s="3" t="str">
        <f>IF(OR($A111=0,$A111=""),"0",IF(LOOKUP($A111,Load_Switch_NFET[PARTNUMBER],Load_Switch_NFET[RDSON8])="(NULL)","0","1"))</f>
        <v>0</v>
      </c>
      <c r="H111" s="14" t="str">
        <f>IF(OR($A111=0,$A111=""),"0",IF(LOOKUP($A111,Load_Switch_NFET[PARTNUMBER],Load_Switch_NFET[RDSON10])="(NULL)","0","1"))</f>
        <v>0</v>
      </c>
      <c r="I111" s="24" t="b">
        <f t="shared" si="51"/>
        <v>0</v>
      </c>
      <c r="J111" s="7" t="b">
        <f t="shared" si="72"/>
        <v>0</v>
      </c>
      <c r="K111" s="10" t="b">
        <f t="shared" si="73"/>
        <v>0</v>
      </c>
      <c r="L111" s="12" t="b">
        <f t="shared" si="74"/>
        <v>0</v>
      </c>
      <c r="M111" s="17" t="b">
        <f t="shared" si="75"/>
        <v>0</v>
      </c>
      <c r="N111" s="13" t="b">
        <f t="shared" si="76"/>
        <v>0</v>
      </c>
      <c r="O111" s="15" t="b">
        <f t="shared" si="77"/>
        <v>0</v>
      </c>
      <c r="P111" s="18" t="b">
        <f t="shared" si="58"/>
        <v>0</v>
      </c>
      <c r="Q111" s="24" t="b">
        <f t="shared" si="59"/>
        <v>0</v>
      </c>
      <c r="R111" s="7" t="b">
        <f t="shared" si="78"/>
        <v>0</v>
      </c>
      <c r="S111" s="10" t="b">
        <f t="shared" si="61"/>
        <v>0</v>
      </c>
      <c r="T111" s="12" t="b">
        <f t="shared" si="62"/>
        <v>0</v>
      </c>
      <c r="U111" s="17" t="b">
        <f t="shared" si="63"/>
        <v>0</v>
      </c>
      <c r="V111" s="13" t="b">
        <f t="shared" si="64"/>
        <v>0</v>
      </c>
      <c r="W111" s="15" t="b">
        <f t="shared" si="65"/>
        <v>0</v>
      </c>
      <c r="X111" s="6" t="str">
        <f>IF(W111,LOOKUP(A111,Load_Switch_NFET[PARTNUMBER],Load_Switch_NFET[RDSON10])*1000,IF(V111,LOOKUP(A111,Load_Switch_NFET[PARTNUMBER],Load_Switch_NFET[RDSON8])*1000,IF(U111,LOOKUP(A111,Load_Switch_NFET[PARTNUMBER],Load_Switch_NFET[RDSON6])*1000,IF(T111,LOOKUP(A111,Load_Switch_NFET[PARTNUMBER],Load_Switch_NFET[RDSON45])*1000,IF(S111,LOOKUP(A111,Load_Switch_NFET[PARTNUMBER],Load_Switch_NFET[RDSON3])*1000,IF(R111,LOOKUP(A111,Load_Switch_NFET[PARTNUMBER],Load_Switch_NFET[RDSON25])*1000,IF(Q111,LOOKUP(A111,Load_Switch_NFET[PARTNUMBER],Load_Switch_NFET[RDSON18])*1000,"")))))))</f>
        <v/>
      </c>
      <c r="Y111" s="19" t="str">
        <f>IF(AND(A111&lt;&gt;0,A111&lt;&gt;""),X111*(1+(Tj-25)*(LOOKUP(A111,Load_Switch_NFET[PARTNUMBER],Load_Switch_NFET[RDSDELTA])/((LOOKUP(A111,Load_Switch_NFET[PARTNUMBER],Load_Switch_NFET[TJMAX])-25)))),"")</f>
        <v/>
      </c>
      <c r="Z111" s="6" t="str">
        <f>IF(AND(A111&lt;&gt;0,A111&lt;&gt;""),LOOKUP(A111,Load_Switch_NFET[PARTNUMBER],Load_Switch_NFET[VTHMAX]),"")</f>
        <v/>
      </c>
      <c r="AA111" s="6" t="str">
        <f>IF(AND(A111&lt;&gt;0,A111&lt;&gt;""),LOOKUP(A111,Load_Switch_NFET[PARTNUMBER],Load_Switch_NFET[VTHMIN]),"")</f>
        <v/>
      </c>
      <c r="AB111" s="6" t="str">
        <f t="shared" si="66"/>
        <v>#N/A</v>
      </c>
      <c r="AC111" s="6" t="str">
        <f>IF(AND(A111&lt;&gt;0,A111&lt;&gt;""),LOOKUP(A111,Load_Switch_NFET[PARTNUMBER],Load_Switch_NFET[RGIMAX]),"")</f>
        <v/>
      </c>
      <c r="AD111" s="6" t="str">
        <f>IF(AND($A111&lt;&gt;0,$A111&lt;&gt;""),LOOKUP($A111,Load_Switch_NFET[PARTNUMBER],Load_Switch_NFET[QGTYP]),"")</f>
        <v/>
      </c>
      <c r="AE111" s="6" t="str">
        <f>IF(AND($A111&lt;&gt;0,$A111&lt;&gt;""),LOOKUP($A111,Load_Switch_NFET[PARTNUMBER],Load_Switch_NFET[QGS]),"")</f>
        <v/>
      </c>
      <c r="AF111" s="6" t="str">
        <f>IF(AND($A111&lt;&gt;0,$A111&lt;&gt;""),LOOKUP($A111,Load_Switch_NFET[PARTNUMBER],Load_Switch_NFET[QGD]),"")</f>
        <v/>
      </c>
      <c r="AG111" s="6" t="str">
        <f>IF(AND($A111&lt;&gt;0,$A111&lt;&gt;""),LOOKUP($A111,Load_Switch_NFET[PARTNUMBER],Load_Switch_NFET[QGTH]),"")</f>
        <v/>
      </c>
      <c r="AH111" s="6" t="str">
        <f>IF(AND($A111&lt;&gt;0,$A111&lt;&gt;""),LOOKUP($A111,Load_Switch_NFET[PARTNUMBER],Load_Switch_NFET[VMILLER]),"")</f>
        <v/>
      </c>
      <c r="AI111" s="6" t="str">
        <f>IF(AND($A111&lt;&gt;0,$A111&lt;&gt;""),LOOKUP($A111,Load_Switch_NFET[PARTNUMBER],Load_Switch_NFET[COSS_AT_VDSSPEC]),"")</f>
        <v/>
      </c>
      <c r="AJ111" s="6" t="str">
        <f t="shared" si="67"/>
        <v/>
      </c>
      <c r="AK111" s="6" t="str">
        <f t="shared" si="68"/>
        <v/>
      </c>
      <c r="AL111" s="6" t="str">
        <f t="shared" si="69"/>
        <v/>
      </c>
      <c r="AM111" s="49" t="str">
        <f t="shared" si="70"/>
        <v/>
      </c>
      <c r="AN111" s="46" t="str">
        <f>IF(AND($A111&lt;&gt;0,$A111&lt;&gt;""),LOOKUP($A111,Load_Switch_NFET[PARTNUMBER],Load_Switch_NFET[1KPRICE]),"")</f>
        <v/>
      </c>
      <c r="AO111" s="6" t="str">
        <f>IF(AND($A111&lt;&gt;0,$A111&lt;&gt;""),LOOKUP(A111,Load_Switch_NFET[PARTNUMBER],Load_Switch_NFET[TI_EQ_PACKAGE]),"")</f>
        <v/>
      </c>
      <c r="AP111" s="6" t="str">
        <f t="shared" si="71"/>
        <v>Invalid Part</v>
      </c>
    </row>
    <row r="112" spans="1:42" x14ac:dyDescent="0.25">
      <c r="A112" s="6">
        <f>IF(CH="N",NLogic!B112,"")</f>
        <v>0</v>
      </c>
      <c r="B112" s="23" t="str">
        <f>IF(OR($A112=0,$A112=""),"0",IF(LOOKUP($A112,Load_Switch_NFET[PARTNUMBER],Load_Switch_NFET[RDSON18])="(NULL)","0","1"))</f>
        <v>0</v>
      </c>
      <c r="C112" s="8" t="str">
        <f>IF(OR($A112=0,$A112=""),"0",IF(LOOKUP($A112,Load_Switch_NFET[PARTNUMBER],Load_Switch_NFET[RDSON25])="(NULL)","0","1"))</f>
        <v>0</v>
      </c>
      <c r="D112" s="9" t="str">
        <f>IF(OR($A112=0,$A112=""),"0",IF(LOOKUP($A112,Load_Switch_NFET[PARTNUMBER],Load_Switch_NFET[RDSON3])="(NULL)","0","1"))</f>
        <v>0</v>
      </c>
      <c r="E112" s="11" t="str">
        <f>IF(OR($A112=0,$A112=""),"0",IF(LOOKUP($A112,Load_Switch_NFET[PARTNUMBER],Load_Switch_NFET[RDSON45])="(NULL)","0","1"))</f>
        <v>0</v>
      </c>
      <c r="F112" s="16" t="str">
        <f>IF(OR($A112=0,$A112=""),"0",IF(LOOKUP($A112,Load_Switch_NFET[PARTNUMBER],Load_Switch_NFET[RDSON6])="(NULL)","0","1"))</f>
        <v>0</v>
      </c>
      <c r="G112" s="3" t="str">
        <f>IF(OR($A112=0,$A112=""),"0",IF(LOOKUP($A112,Load_Switch_NFET[PARTNUMBER],Load_Switch_NFET[RDSON8])="(NULL)","0","1"))</f>
        <v>0</v>
      </c>
      <c r="H112" s="14" t="str">
        <f>IF(OR($A112=0,$A112=""),"0",IF(LOOKUP($A112,Load_Switch_NFET[PARTNUMBER],Load_Switch_NFET[RDSON10])="(NULL)","0","1"))</f>
        <v>0</v>
      </c>
      <c r="I112" s="24" t="b">
        <f t="shared" si="51"/>
        <v>0</v>
      </c>
      <c r="J112" s="7" t="b">
        <f t="shared" si="72"/>
        <v>0</v>
      </c>
      <c r="K112" s="10" t="b">
        <f t="shared" si="73"/>
        <v>0</v>
      </c>
      <c r="L112" s="12" t="b">
        <f t="shared" si="74"/>
        <v>0</v>
      </c>
      <c r="M112" s="17" t="b">
        <f t="shared" si="75"/>
        <v>0</v>
      </c>
      <c r="N112" s="13" t="b">
        <f t="shared" si="76"/>
        <v>0</v>
      </c>
      <c r="O112" s="15" t="b">
        <f t="shared" si="77"/>
        <v>0</v>
      </c>
      <c r="P112" s="18" t="b">
        <f t="shared" si="58"/>
        <v>0</v>
      </c>
      <c r="Q112" s="24" t="b">
        <f t="shared" si="59"/>
        <v>0</v>
      </c>
      <c r="R112" s="7" t="b">
        <f t="shared" si="78"/>
        <v>0</v>
      </c>
      <c r="S112" s="10" t="b">
        <f t="shared" si="61"/>
        <v>0</v>
      </c>
      <c r="T112" s="12" t="b">
        <f t="shared" si="62"/>
        <v>0</v>
      </c>
      <c r="U112" s="17" t="b">
        <f t="shared" si="63"/>
        <v>0</v>
      </c>
      <c r="V112" s="13" t="b">
        <f t="shared" si="64"/>
        <v>0</v>
      </c>
      <c r="W112" s="15" t="b">
        <f t="shared" si="65"/>
        <v>0</v>
      </c>
      <c r="X112" s="6" t="str">
        <f>IF(W112,LOOKUP(A112,Load_Switch_NFET[PARTNUMBER],Load_Switch_NFET[RDSON10])*1000,IF(V112,LOOKUP(A112,Load_Switch_NFET[PARTNUMBER],Load_Switch_NFET[RDSON8])*1000,IF(U112,LOOKUP(A112,Load_Switch_NFET[PARTNUMBER],Load_Switch_NFET[RDSON6])*1000,IF(T112,LOOKUP(A112,Load_Switch_NFET[PARTNUMBER],Load_Switch_NFET[RDSON45])*1000,IF(S112,LOOKUP(A112,Load_Switch_NFET[PARTNUMBER],Load_Switch_NFET[RDSON3])*1000,IF(R112,LOOKUP(A112,Load_Switch_NFET[PARTNUMBER],Load_Switch_NFET[RDSON25])*1000,IF(Q112,LOOKUP(A112,Load_Switch_NFET[PARTNUMBER],Load_Switch_NFET[RDSON18])*1000,"")))))))</f>
        <v/>
      </c>
      <c r="Y112" s="19" t="str">
        <f>IF(AND(A112&lt;&gt;0,A112&lt;&gt;""),X112*(1+(Tj-25)*(LOOKUP(A112,Load_Switch_NFET[PARTNUMBER],Load_Switch_NFET[RDSDELTA])/((LOOKUP(A112,Load_Switch_NFET[PARTNUMBER],Load_Switch_NFET[TJMAX])-25)))),"")</f>
        <v/>
      </c>
      <c r="Z112" s="6" t="str">
        <f>IF(AND(A112&lt;&gt;0,A112&lt;&gt;""),LOOKUP(A112,Load_Switch_NFET[PARTNUMBER],Load_Switch_NFET[VTHMAX]),"")</f>
        <v/>
      </c>
      <c r="AA112" s="6" t="str">
        <f>IF(AND(A112&lt;&gt;0,A112&lt;&gt;""),LOOKUP(A112,Load_Switch_NFET[PARTNUMBER],Load_Switch_NFET[VTHMIN]),"")</f>
        <v/>
      </c>
      <c r="AB112" s="6" t="str">
        <f t="shared" si="66"/>
        <v>#N/A</v>
      </c>
      <c r="AC112" s="6" t="str">
        <f>IF(AND(A112&lt;&gt;0,A112&lt;&gt;""),LOOKUP(A112,Load_Switch_NFET[PARTNUMBER],Load_Switch_NFET[RGIMAX]),"")</f>
        <v/>
      </c>
      <c r="AD112" s="6" t="str">
        <f>IF(AND($A112&lt;&gt;0,$A112&lt;&gt;""),LOOKUP($A112,Load_Switch_NFET[PARTNUMBER],Load_Switch_NFET[QGTYP]),"")</f>
        <v/>
      </c>
      <c r="AE112" s="6" t="str">
        <f>IF(AND($A112&lt;&gt;0,$A112&lt;&gt;""),LOOKUP($A112,Load_Switch_NFET[PARTNUMBER],Load_Switch_NFET[QGS]),"")</f>
        <v/>
      </c>
      <c r="AF112" s="6" t="str">
        <f>IF(AND($A112&lt;&gt;0,$A112&lt;&gt;""),LOOKUP($A112,Load_Switch_NFET[PARTNUMBER],Load_Switch_NFET[QGD]),"")</f>
        <v/>
      </c>
      <c r="AG112" s="6" t="str">
        <f>IF(AND($A112&lt;&gt;0,$A112&lt;&gt;""),LOOKUP($A112,Load_Switch_NFET[PARTNUMBER],Load_Switch_NFET[QGTH]),"")</f>
        <v/>
      </c>
      <c r="AH112" s="6" t="str">
        <f>IF(AND($A112&lt;&gt;0,$A112&lt;&gt;""),LOOKUP($A112,Load_Switch_NFET[PARTNUMBER],Load_Switch_NFET[VMILLER]),"")</f>
        <v/>
      </c>
      <c r="AI112" s="6" t="str">
        <f>IF(AND($A112&lt;&gt;0,$A112&lt;&gt;""),LOOKUP($A112,Load_Switch_NFET[PARTNUMBER],Load_Switch_NFET[COSS_AT_VDSSPEC]),"")</f>
        <v/>
      </c>
      <c r="AJ112" s="6" t="str">
        <f t="shared" si="67"/>
        <v/>
      </c>
      <c r="AK112" s="6" t="str">
        <f t="shared" si="68"/>
        <v/>
      </c>
      <c r="AL112" s="6" t="str">
        <f t="shared" si="69"/>
        <v/>
      </c>
      <c r="AM112" s="49" t="str">
        <f t="shared" si="70"/>
        <v/>
      </c>
      <c r="AN112" s="46" t="str">
        <f>IF(AND($A112&lt;&gt;0,$A112&lt;&gt;""),LOOKUP($A112,Load_Switch_NFET[PARTNUMBER],Load_Switch_NFET[1KPRICE]),"")</f>
        <v/>
      </c>
      <c r="AO112" s="6" t="str">
        <f>IF(AND($A112&lt;&gt;0,$A112&lt;&gt;""),LOOKUP(A112,Load_Switch_NFET[PARTNUMBER],Load_Switch_NFET[TI_EQ_PACKAGE]),"")</f>
        <v/>
      </c>
      <c r="AP112" s="6" t="str">
        <f t="shared" si="71"/>
        <v>Invalid Part</v>
      </c>
    </row>
    <row r="113" spans="1:48" x14ac:dyDescent="0.25">
      <c r="A113" s="6">
        <f>IF(CH="N",NLogic!B113,"")</f>
        <v>0</v>
      </c>
      <c r="B113" s="23" t="str">
        <f>IF(OR($A113=0,$A113=""),"0",IF(LOOKUP($A113,Load_Switch_NFET[PARTNUMBER],Load_Switch_NFET[RDSON18])="(NULL)","0","1"))</f>
        <v>0</v>
      </c>
      <c r="C113" s="8" t="str">
        <f>IF(OR($A113=0,$A113=""),"0",IF(LOOKUP($A113,Load_Switch_NFET[PARTNUMBER],Load_Switch_NFET[RDSON25])="(NULL)","0","1"))</f>
        <v>0</v>
      </c>
      <c r="D113" s="9" t="str">
        <f>IF(OR($A113=0,$A113=""),"0",IF(LOOKUP($A113,Load_Switch_NFET[PARTNUMBER],Load_Switch_NFET[RDSON3])="(NULL)","0","1"))</f>
        <v>0</v>
      </c>
      <c r="E113" s="11" t="str">
        <f>IF(OR($A113=0,$A113=""),"0",IF(LOOKUP($A113,Load_Switch_NFET[PARTNUMBER],Load_Switch_NFET[RDSON45])="(NULL)","0","1"))</f>
        <v>0</v>
      </c>
      <c r="F113" s="16" t="str">
        <f>IF(OR($A113=0,$A113=""),"0",IF(LOOKUP($A113,Load_Switch_NFET[PARTNUMBER],Load_Switch_NFET[RDSON6])="(NULL)","0","1"))</f>
        <v>0</v>
      </c>
      <c r="G113" s="3" t="str">
        <f>IF(OR($A113=0,$A113=""),"0",IF(LOOKUP($A113,Load_Switch_NFET[PARTNUMBER],Load_Switch_NFET[RDSON8])="(NULL)","0","1"))</f>
        <v>0</v>
      </c>
      <c r="H113" s="14" t="str">
        <f>IF(OR($A113=0,$A113=""),"0",IF(LOOKUP($A113,Load_Switch_NFET[PARTNUMBER],Load_Switch_NFET[RDSON10])="(NULL)","0","1"))</f>
        <v>0</v>
      </c>
      <c r="I113" s="24" t="b">
        <f t="shared" si="51"/>
        <v>0</v>
      </c>
      <c r="J113" s="7" t="b">
        <f t="shared" si="72"/>
        <v>0</v>
      </c>
      <c r="K113" s="10" t="b">
        <f t="shared" si="73"/>
        <v>0</v>
      </c>
      <c r="L113" s="12" t="b">
        <f t="shared" si="74"/>
        <v>0</v>
      </c>
      <c r="M113" s="17" t="b">
        <f t="shared" si="75"/>
        <v>0</v>
      </c>
      <c r="N113" s="13" t="b">
        <f t="shared" si="76"/>
        <v>0</v>
      </c>
      <c r="O113" s="15" t="b">
        <f t="shared" si="77"/>
        <v>0</v>
      </c>
      <c r="P113" s="18" t="b">
        <f t="shared" si="58"/>
        <v>0</v>
      </c>
      <c r="Q113" s="24" t="b">
        <f t="shared" si="59"/>
        <v>0</v>
      </c>
      <c r="R113" s="7" t="b">
        <f t="shared" si="78"/>
        <v>0</v>
      </c>
      <c r="S113" s="10" t="b">
        <f t="shared" si="61"/>
        <v>0</v>
      </c>
      <c r="T113" s="12" t="b">
        <f t="shared" si="62"/>
        <v>0</v>
      </c>
      <c r="U113" s="17" t="b">
        <f t="shared" si="63"/>
        <v>0</v>
      </c>
      <c r="V113" s="13" t="b">
        <f t="shared" si="64"/>
        <v>0</v>
      </c>
      <c r="W113" s="15" t="b">
        <f t="shared" si="65"/>
        <v>0</v>
      </c>
      <c r="X113" s="6" t="str">
        <f>IF(W113,LOOKUP(A113,Load_Switch_NFET[PARTNUMBER],Load_Switch_NFET[RDSON10])*1000,IF(V113,LOOKUP(A113,Load_Switch_NFET[PARTNUMBER],Load_Switch_NFET[RDSON8])*1000,IF(U113,LOOKUP(A113,Load_Switch_NFET[PARTNUMBER],Load_Switch_NFET[RDSON6])*1000,IF(T113,LOOKUP(A113,Load_Switch_NFET[PARTNUMBER],Load_Switch_NFET[RDSON45])*1000,IF(S113,LOOKUP(A113,Load_Switch_NFET[PARTNUMBER],Load_Switch_NFET[RDSON3])*1000,IF(R113,LOOKUP(A113,Load_Switch_NFET[PARTNUMBER],Load_Switch_NFET[RDSON25])*1000,IF(Q113,LOOKUP(A113,Load_Switch_NFET[PARTNUMBER],Load_Switch_NFET[RDSON18])*1000,"")))))))</f>
        <v/>
      </c>
      <c r="Y113" s="19" t="str">
        <f>IF(AND(A113&lt;&gt;0,A113&lt;&gt;""),X113*(1+(Tj-25)*(LOOKUP(A113,Load_Switch_NFET[PARTNUMBER],Load_Switch_NFET[RDSDELTA])/((LOOKUP(A113,Load_Switch_NFET[PARTNUMBER],Load_Switch_NFET[TJMAX])-25)))),"")</f>
        <v/>
      </c>
      <c r="Z113" s="6" t="str">
        <f>IF(AND(A113&lt;&gt;0,A113&lt;&gt;""),LOOKUP(A113,Load_Switch_NFET[PARTNUMBER],Load_Switch_NFET[VTHMAX]),"")</f>
        <v/>
      </c>
      <c r="AA113" s="6" t="str">
        <f>IF(AND(A113&lt;&gt;0,A113&lt;&gt;""),LOOKUP(A113,Load_Switch_NFET[PARTNUMBER],Load_Switch_NFET[VTHMIN]),"")</f>
        <v/>
      </c>
      <c r="AB113" s="6" t="str">
        <f t="shared" si="66"/>
        <v>#N/A</v>
      </c>
      <c r="AC113" s="6" t="str">
        <f>IF(AND(A113&lt;&gt;0,A113&lt;&gt;""),LOOKUP(A113,Load_Switch_NFET[PARTNUMBER],Load_Switch_NFET[RGIMAX]),"")</f>
        <v/>
      </c>
      <c r="AD113" s="6" t="str">
        <f>IF(AND($A113&lt;&gt;0,$A113&lt;&gt;""),LOOKUP($A113,Load_Switch_NFET[PARTNUMBER],Load_Switch_NFET[QGTYP]),"")</f>
        <v/>
      </c>
      <c r="AE113" s="6" t="str">
        <f>IF(AND($A113&lt;&gt;0,$A113&lt;&gt;""),LOOKUP($A113,Load_Switch_NFET[PARTNUMBER],Load_Switch_NFET[QGS]),"")</f>
        <v/>
      </c>
      <c r="AF113" s="6" t="str">
        <f>IF(AND($A113&lt;&gt;0,$A113&lt;&gt;""),LOOKUP($A113,Load_Switch_NFET[PARTNUMBER],Load_Switch_NFET[QGD]),"")</f>
        <v/>
      </c>
      <c r="AG113" s="6" t="str">
        <f>IF(AND($A113&lt;&gt;0,$A113&lt;&gt;""),LOOKUP($A113,Load_Switch_NFET[PARTNUMBER],Load_Switch_NFET[QGTH]),"")</f>
        <v/>
      </c>
      <c r="AH113" s="6" t="str">
        <f>IF(AND($A113&lt;&gt;0,$A113&lt;&gt;""),LOOKUP($A113,Load_Switch_NFET[PARTNUMBER],Load_Switch_NFET[VMILLER]),"")</f>
        <v/>
      </c>
      <c r="AI113" s="6" t="str">
        <f>IF(AND($A113&lt;&gt;0,$A113&lt;&gt;""),LOOKUP($A113,Load_Switch_NFET[PARTNUMBER],Load_Switch_NFET[COSS_AT_VDSSPEC]),"")</f>
        <v/>
      </c>
      <c r="AJ113" s="6" t="str">
        <f t="shared" si="67"/>
        <v/>
      </c>
      <c r="AK113" s="6" t="str">
        <f t="shared" si="68"/>
        <v/>
      </c>
      <c r="AL113" s="6" t="str">
        <f t="shared" si="69"/>
        <v/>
      </c>
      <c r="AM113" s="49" t="str">
        <f t="shared" si="70"/>
        <v/>
      </c>
      <c r="AN113" s="46" t="str">
        <f>IF(AND($A113&lt;&gt;0,$A113&lt;&gt;""),LOOKUP($A113,Load_Switch_NFET[PARTNUMBER],Load_Switch_NFET[1KPRICE]),"")</f>
        <v/>
      </c>
      <c r="AO113" s="6" t="str">
        <f>IF(AND($A113&lt;&gt;0,$A113&lt;&gt;""),LOOKUP(A113,Load_Switch_NFET[PARTNUMBER],Load_Switch_NFET[TI_EQ_PACKAGE]),"")</f>
        <v/>
      </c>
      <c r="AP113" s="6" t="str">
        <f t="shared" si="71"/>
        <v>Invalid Part</v>
      </c>
    </row>
    <row r="114" spans="1:48" x14ac:dyDescent="0.25">
      <c r="A114" s="6">
        <f>IF(CH="N",NLogic!B114,"")</f>
        <v>0</v>
      </c>
      <c r="B114" s="23" t="str">
        <f>IF(OR($A114=0,$A114=""),"0",IF(LOOKUP($A114,Load_Switch_NFET[PARTNUMBER],Load_Switch_NFET[RDSON18])="(NULL)","0","1"))</f>
        <v>0</v>
      </c>
      <c r="C114" s="8" t="str">
        <f>IF(OR($A114=0,$A114=""),"0",IF(LOOKUP($A114,Load_Switch_NFET[PARTNUMBER],Load_Switch_NFET[RDSON25])="(NULL)","0","1"))</f>
        <v>0</v>
      </c>
      <c r="D114" s="9" t="str">
        <f>IF(OR($A114=0,$A114=""),"0",IF(LOOKUP($A114,Load_Switch_NFET[PARTNUMBER],Load_Switch_NFET[RDSON3])="(NULL)","0","1"))</f>
        <v>0</v>
      </c>
      <c r="E114" s="11" t="str">
        <f>IF(OR($A114=0,$A114=""),"0",IF(LOOKUP($A114,Load_Switch_NFET[PARTNUMBER],Load_Switch_NFET[RDSON45])="(NULL)","0","1"))</f>
        <v>0</v>
      </c>
      <c r="F114" s="16" t="str">
        <f>IF(OR($A114=0,$A114=""),"0",IF(LOOKUP($A114,Load_Switch_NFET[PARTNUMBER],Load_Switch_NFET[RDSON6])="(NULL)","0","1"))</f>
        <v>0</v>
      </c>
      <c r="G114" s="3" t="str">
        <f>IF(OR($A114=0,$A114=""),"0",IF(LOOKUP($A114,Load_Switch_NFET[PARTNUMBER],Load_Switch_NFET[RDSON8])="(NULL)","0","1"))</f>
        <v>0</v>
      </c>
      <c r="H114" s="14" t="str">
        <f>IF(OR($A114=0,$A114=""),"0",IF(LOOKUP($A114,Load_Switch_NFET[PARTNUMBER],Load_Switch_NFET[RDSON10])="(NULL)","0","1"))</f>
        <v>0</v>
      </c>
      <c r="I114" s="24" t="b">
        <f t="shared" si="51"/>
        <v>0</v>
      </c>
      <c r="J114" s="7" t="b">
        <f t="shared" si="72"/>
        <v>0</v>
      </c>
      <c r="K114" s="10" t="b">
        <f t="shared" si="73"/>
        <v>0</v>
      </c>
      <c r="L114" s="12" t="b">
        <f t="shared" si="74"/>
        <v>0</v>
      </c>
      <c r="M114" s="17" t="b">
        <f t="shared" si="75"/>
        <v>0</v>
      </c>
      <c r="N114" s="13" t="b">
        <f t="shared" si="76"/>
        <v>0</v>
      </c>
      <c r="O114" s="15" t="b">
        <f t="shared" si="77"/>
        <v>0</v>
      </c>
      <c r="P114" s="18" t="b">
        <f t="shared" si="58"/>
        <v>0</v>
      </c>
      <c r="Q114" s="24" t="b">
        <f t="shared" si="59"/>
        <v>0</v>
      </c>
      <c r="R114" s="7" t="b">
        <f t="shared" si="78"/>
        <v>0</v>
      </c>
      <c r="S114" s="10" t="b">
        <f t="shared" si="61"/>
        <v>0</v>
      </c>
      <c r="T114" s="12" t="b">
        <f t="shared" si="62"/>
        <v>0</v>
      </c>
      <c r="U114" s="17" t="b">
        <f t="shared" si="63"/>
        <v>0</v>
      </c>
      <c r="V114" s="13" t="b">
        <f t="shared" si="64"/>
        <v>0</v>
      </c>
      <c r="W114" s="15" t="b">
        <f t="shared" si="65"/>
        <v>0</v>
      </c>
      <c r="X114" s="6" t="str">
        <f>IF(W114,LOOKUP(A114,Load_Switch_NFET[PARTNUMBER],Load_Switch_NFET[RDSON10])*1000,IF(V114,LOOKUP(A114,Load_Switch_NFET[PARTNUMBER],Load_Switch_NFET[RDSON8])*1000,IF(U114,LOOKUP(A114,Load_Switch_NFET[PARTNUMBER],Load_Switch_NFET[RDSON6])*1000,IF(T114,LOOKUP(A114,Load_Switch_NFET[PARTNUMBER],Load_Switch_NFET[RDSON45])*1000,IF(S114,LOOKUP(A114,Load_Switch_NFET[PARTNUMBER],Load_Switch_NFET[RDSON3])*1000,IF(R114,LOOKUP(A114,Load_Switch_NFET[PARTNUMBER],Load_Switch_NFET[RDSON25])*1000,IF(Q114,LOOKUP(A114,Load_Switch_NFET[PARTNUMBER],Load_Switch_NFET[RDSON18])*1000,"")))))))</f>
        <v/>
      </c>
      <c r="Y114" s="19" t="str">
        <f>IF(AND(A114&lt;&gt;0,A114&lt;&gt;""),X114*(1+(Tj-25)*(LOOKUP(A114,Load_Switch_NFET[PARTNUMBER],Load_Switch_NFET[RDSDELTA])/((LOOKUP(A114,Load_Switch_NFET[PARTNUMBER],Load_Switch_NFET[TJMAX])-25)))),"")</f>
        <v/>
      </c>
      <c r="Z114" s="6" t="str">
        <f>IF(AND(A114&lt;&gt;0,A114&lt;&gt;""),LOOKUP(A114,Load_Switch_NFET[PARTNUMBER],Load_Switch_NFET[VTHMAX]),"")</f>
        <v/>
      </c>
      <c r="AA114" s="6" t="str">
        <f>IF(AND(A114&lt;&gt;0,A114&lt;&gt;""),LOOKUP(A114,Load_Switch_NFET[PARTNUMBER],Load_Switch_NFET[VTHMIN]),"")</f>
        <v/>
      </c>
      <c r="AB114" s="6" t="str">
        <f t="shared" si="66"/>
        <v>#N/A</v>
      </c>
      <c r="AC114" s="6" t="str">
        <f>IF(AND(A114&lt;&gt;0,A114&lt;&gt;""),LOOKUP(A114,Load_Switch_NFET[PARTNUMBER],Load_Switch_NFET[RGIMAX]),"")</f>
        <v/>
      </c>
      <c r="AD114" s="6" t="str">
        <f>IF(AND($A114&lt;&gt;0,$A114&lt;&gt;""),LOOKUP($A114,Load_Switch_NFET[PARTNUMBER],Load_Switch_NFET[QGTYP]),"")</f>
        <v/>
      </c>
      <c r="AE114" s="6" t="str">
        <f>IF(AND($A114&lt;&gt;0,$A114&lt;&gt;""),LOOKUP($A114,Load_Switch_NFET[PARTNUMBER],Load_Switch_NFET[QGS]),"")</f>
        <v/>
      </c>
      <c r="AF114" s="6" t="str">
        <f>IF(AND($A114&lt;&gt;0,$A114&lt;&gt;""),LOOKUP($A114,Load_Switch_NFET[PARTNUMBER],Load_Switch_NFET[QGD]),"")</f>
        <v/>
      </c>
      <c r="AG114" s="6" t="str">
        <f>IF(AND($A114&lt;&gt;0,$A114&lt;&gt;""),LOOKUP($A114,Load_Switch_NFET[PARTNUMBER],Load_Switch_NFET[QGTH]),"")</f>
        <v/>
      </c>
      <c r="AH114" s="6" t="str">
        <f>IF(AND($A114&lt;&gt;0,$A114&lt;&gt;""),LOOKUP($A114,Load_Switch_NFET[PARTNUMBER],Load_Switch_NFET[VMILLER]),"")</f>
        <v/>
      </c>
      <c r="AI114" s="6" t="str">
        <f>IF(AND($A114&lt;&gt;0,$A114&lt;&gt;""),LOOKUP($A114,Load_Switch_NFET[PARTNUMBER],Load_Switch_NFET[COSS_AT_VDSSPEC]),"")</f>
        <v/>
      </c>
      <c r="AJ114" s="6" t="str">
        <f t="shared" si="67"/>
        <v/>
      </c>
      <c r="AK114" s="6" t="str">
        <f t="shared" si="68"/>
        <v/>
      </c>
      <c r="AL114" s="6" t="str">
        <f t="shared" si="69"/>
        <v/>
      </c>
      <c r="AM114" s="49" t="str">
        <f t="shared" si="70"/>
        <v/>
      </c>
      <c r="AN114" s="46" t="str">
        <f>IF(AND($A114&lt;&gt;0,$A114&lt;&gt;""),LOOKUP($A114,Load_Switch_NFET[PARTNUMBER],Load_Switch_NFET[1KPRICE]),"")</f>
        <v/>
      </c>
      <c r="AO114" s="6" t="str">
        <f>IF(AND($A114&lt;&gt;0,$A114&lt;&gt;""),LOOKUP(A114,Load_Switch_NFET[PARTNUMBER],Load_Switch_NFET[TI_EQ_PACKAGE]),"")</f>
        <v/>
      </c>
      <c r="AP114" s="6" t="str">
        <f t="shared" si="71"/>
        <v>Invalid Part</v>
      </c>
    </row>
    <row r="115" spans="1:48" x14ac:dyDescent="0.25">
      <c r="A115" s="6">
        <f>IF(CH="N",NLogic!B115,"")</f>
        <v>0</v>
      </c>
      <c r="B115" s="23" t="str">
        <f>IF(OR($A115=0,$A115=""),"0",IF(LOOKUP($A115,Load_Switch_NFET[PARTNUMBER],Load_Switch_NFET[RDSON18])="(NULL)","0","1"))</f>
        <v>0</v>
      </c>
      <c r="C115" s="8" t="str">
        <f>IF(OR($A115=0,$A115=""),"0",IF(LOOKUP($A115,Load_Switch_NFET[PARTNUMBER],Load_Switch_NFET[RDSON25])="(NULL)","0","1"))</f>
        <v>0</v>
      </c>
      <c r="D115" s="9" t="str">
        <f>IF(OR($A115=0,$A115=""),"0",IF(LOOKUP($A115,Load_Switch_NFET[PARTNUMBER],Load_Switch_NFET[RDSON3])="(NULL)","0","1"))</f>
        <v>0</v>
      </c>
      <c r="E115" s="11" t="str">
        <f>IF(OR($A115=0,$A115=""),"0",IF(LOOKUP($A115,Load_Switch_NFET[PARTNUMBER],Load_Switch_NFET[RDSON45])="(NULL)","0","1"))</f>
        <v>0</v>
      </c>
      <c r="F115" s="16" t="str">
        <f>IF(OR($A115=0,$A115=""),"0",IF(LOOKUP($A115,Load_Switch_NFET[PARTNUMBER],Load_Switch_NFET[RDSON6])="(NULL)","0","1"))</f>
        <v>0</v>
      </c>
      <c r="G115" s="3" t="str">
        <f>IF(OR($A115=0,$A115=""),"0",IF(LOOKUP($A115,Load_Switch_NFET[PARTNUMBER],Load_Switch_NFET[RDSON8])="(NULL)","0","1"))</f>
        <v>0</v>
      </c>
      <c r="H115" s="14" t="str">
        <f>IF(OR($A115=0,$A115=""),"0",IF(LOOKUP($A115,Load_Switch_NFET[PARTNUMBER],Load_Switch_NFET[RDSON10])="(NULL)","0","1"))</f>
        <v>0</v>
      </c>
      <c r="I115" s="24" t="b">
        <f t="shared" si="51"/>
        <v>0</v>
      </c>
      <c r="J115" s="7" t="b">
        <f t="shared" si="72"/>
        <v>0</v>
      </c>
      <c r="K115" s="10" t="b">
        <f t="shared" si="73"/>
        <v>0</v>
      </c>
      <c r="L115" s="12" t="b">
        <f t="shared" si="74"/>
        <v>0</v>
      </c>
      <c r="M115" s="17" t="b">
        <f t="shared" si="75"/>
        <v>0</v>
      </c>
      <c r="N115" s="13" t="b">
        <f t="shared" si="76"/>
        <v>0</v>
      </c>
      <c r="O115" s="15" t="b">
        <f t="shared" si="77"/>
        <v>0</v>
      </c>
      <c r="P115" s="18" t="b">
        <f t="shared" si="58"/>
        <v>0</v>
      </c>
      <c r="Q115" s="24" t="b">
        <f t="shared" si="59"/>
        <v>0</v>
      </c>
      <c r="R115" s="7" t="b">
        <f t="shared" si="78"/>
        <v>0</v>
      </c>
      <c r="S115" s="10" t="b">
        <f t="shared" si="61"/>
        <v>0</v>
      </c>
      <c r="T115" s="12" t="b">
        <f t="shared" si="62"/>
        <v>0</v>
      </c>
      <c r="U115" s="17" t="b">
        <f t="shared" si="63"/>
        <v>0</v>
      </c>
      <c r="V115" s="13" t="b">
        <f t="shared" si="64"/>
        <v>0</v>
      </c>
      <c r="W115" s="15" t="b">
        <f t="shared" si="65"/>
        <v>0</v>
      </c>
      <c r="X115" s="6" t="str">
        <f>IF(W115,LOOKUP(A115,Load_Switch_NFET[PARTNUMBER],Load_Switch_NFET[RDSON10])*1000,IF(V115,LOOKUP(A115,Load_Switch_NFET[PARTNUMBER],Load_Switch_NFET[RDSON8])*1000,IF(U115,LOOKUP(A115,Load_Switch_NFET[PARTNUMBER],Load_Switch_NFET[RDSON6])*1000,IF(T115,LOOKUP(A115,Load_Switch_NFET[PARTNUMBER],Load_Switch_NFET[RDSON45])*1000,IF(S115,LOOKUP(A115,Load_Switch_NFET[PARTNUMBER],Load_Switch_NFET[RDSON3])*1000,IF(R115,LOOKUP(A115,Load_Switch_NFET[PARTNUMBER],Load_Switch_NFET[RDSON25])*1000,IF(Q115,LOOKUP(A115,Load_Switch_NFET[PARTNUMBER],Load_Switch_NFET[RDSON18])*1000,"")))))))</f>
        <v/>
      </c>
      <c r="Y115" s="19" t="str">
        <f>IF(AND(A115&lt;&gt;0,A115&lt;&gt;""),X115*(1+(Tj-25)*(LOOKUP(A115,Load_Switch_NFET[PARTNUMBER],Load_Switch_NFET[RDSDELTA])/((LOOKUP(A115,Load_Switch_NFET[PARTNUMBER],Load_Switch_NFET[TJMAX])-25)))),"")</f>
        <v/>
      </c>
      <c r="Z115" s="6" t="str">
        <f>IF(AND(A115&lt;&gt;0,A115&lt;&gt;""),LOOKUP(A115,Load_Switch_NFET[PARTNUMBER],Load_Switch_NFET[VTHMAX]),"")</f>
        <v/>
      </c>
      <c r="AA115" s="6" t="str">
        <f>IF(AND(A115&lt;&gt;0,A115&lt;&gt;""),LOOKUP(A115,Load_Switch_NFET[PARTNUMBER],Load_Switch_NFET[VTHMIN]),"")</f>
        <v/>
      </c>
      <c r="AB115" s="6" t="str">
        <f t="shared" si="66"/>
        <v>#N/A</v>
      </c>
      <c r="AC115" s="6" t="str">
        <f>IF(AND(A115&lt;&gt;0,A115&lt;&gt;""),LOOKUP(A115,Load_Switch_NFET[PARTNUMBER],Load_Switch_NFET[RGIMAX]),"")</f>
        <v/>
      </c>
      <c r="AD115" s="6" t="str">
        <f>IF(AND($A115&lt;&gt;0,$A115&lt;&gt;""),LOOKUP($A115,Load_Switch_NFET[PARTNUMBER],Load_Switch_NFET[QGTYP]),"")</f>
        <v/>
      </c>
      <c r="AE115" s="6" t="str">
        <f>IF(AND($A115&lt;&gt;0,$A115&lt;&gt;""),LOOKUP($A115,Load_Switch_NFET[PARTNUMBER],Load_Switch_NFET[QGS]),"")</f>
        <v/>
      </c>
      <c r="AF115" s="6" t="str">
        <f>IF(AND($A115&lt;&gt;0,$A115&lt;&gt;""),LOOKUP($A115,Load_Switch_NFET[PARTNUMBER],Load_Switch_NFET[QGD]),"")</f>
        <v/>
      </c>
      <c r="AG115" s="6" t="str">
        <f>IF(AND($A115&lt;&gt;0,$A115&lt;&gt;""),LOOKUP($A115,Load_Switch_NFET[PARTNUMBER],Load_Switch_NFET[QGTH]),"")</f>
        <v/>
      </c>
      <c r="AH115" s="6" t="str">
        <f>IF(AND($A115&lt;&gt;0,$A115&lt;&gt;""),LOOKUP($A115,Load_Switch_NFET[PARTNUMBER],Load_Switch_NFET[VMILLER]),"")</f>
        <v/>
      </c>
      <c r="AI115" s="6" t="str">
        <f>IF(AND($A115&lt;&gt;0,$A115&lt;&gt;""),LOOKUP($A115,Load_Switch_NFET[PARTNUMBER],Load_Switch_NFET[COSS_AT_VDSSPEC]),"")</f>
        <v/>
      </c>
      <c r="AJ115" s="6" t="str">
        <f t="shared" si="67"/>
        <v/>
      </c>
      <c r="AK115" s="6" t="str">
        <f t="shared" si="68"/>
        <v/>
      </c>
      <c r="AL115" s="6" t="str">
        <f t="shared" si="69"/>
        <v/>
      </c>
      <c r="AM115" s="49" t="str">
        <f t="shared" si="70"/>
        <v/>
      </c>
      <c r="AN115" s="46" t="str">
        <f>IF(AND($A115&lt;&gt;0,$A115&lt;&gt;""),LOOKUP($A115,Load_Switch_NFET[PARTNUMBER],Load_Switch_NFET[1KPRICE]),"")</f>
        <v/>
      </c>
      <c r="AO115" s="6" t="str">
        <f>IF(AND($A115&lt;&gt;0,$A115&lt;&gt;""),LOOKUP(A115,Load_Switch_NFET[PARTNUMBER],Load_Switch_NFET[TI_EQ_PACKAGE]),"")</f>
        <v/>
      </c>
      <c r="AP115" s="6" t="str">
        <f t="shared" si="71"/>
        <v>Invalid Part</v>
      </c>
    </row>
    <row r="116" spans="1:48" s="39" customFormat="1" x14ac:dyDescent="0.25">
      <c r="A116" s="6">
        <f>IF(CH="N",NLogic!B116,"")</f>
        <v>0</v>
      </c>
      <c r="B116" s="23" t="str">
        <f>IF(OR($A116=0,$A116=""),"0",IF(LOOKUP($A116,Load_Switch_NFET[PARTNUMBER],Load_Switch_NFET[RDSON18])="(NULL)","0","1"))</f>
        <v>0</v>
      </c>
      <c r="C116" s="26" t="str">
        <f>IF(OR($A116=0,$A116=""),"0",IF(LOOKUP($A116,Load_Switch_NFET[PARTNUMBER],Load_Switch_NFET[RDSON25])="(NULL)","0","1"))</f>
        <v>0</v>
      </c>
      <c r="D116" s="27" t="str">
        <f>IF(OR($A116=0,$A116=""),"0",IF(LOOKUP($A116,Load_Switch_NFET[PARTNUMBER],Load_Switch_NFET[RDSON3])="(NULL)","0","1"))</f>
        <v>0</v>
      </c>
      <c r="E116" s="28" t="str">
        <f>IF(OR($A116=0,$A116=""),"0",IF(LOOKUP($A116,Load_Switch_NFET[PARTNUMBER],Load_Switch_NFET[RDSON45])="(NULL)","0","1"))</f>
        <v>0</v>
      </c>
      <c r="F116" s="29" t="str">
        <f>IF(OR($A116=0,$A116=""),"0",IF(LOOKUP($A116,Load_Switch_NFET[PARTNUMBER],Load_Switch_NFET[RDSON6])="(NULL)","0","1"))</f>
        <v>0</v>
      </c>
      <c r="G116" s="30" t="str">
        <f>IF(OR($A116=0,$A116=""),"0",IF(LOOKUP($A116,Load_Switch_NFET[PARTNUMBER],Load_Switch_NFET[RDSON8])="(NULL)","0","1"))</f>
        <v>0</v>
      </c>
      <c r="H116" s="31" t="str">
        <f>IF(OR($A116=0,$A116=""),"0",IF(LOOKUP($A116,Load_Switch_NFET[PARTNUMBER],Load_Switch_NFET[RDSON10])="(NULL)","0","1"))</f>
        <v>0</v>
      </c>
      <c r="I116" s="24" t="b">
        <f t="shared" si="51"/>
        <v>0</v>
      </c>
      <c r="J116" s="32" t="b">
        <f t="shared" si="72"/>
        <v>0</v>
      </c>
      <c r="K116" s="33" t="b">
        <f t="shared" si="73"/>
        <v>0</v>
      </c>
      <c r="L116" s="34" t="b">
        <f t="shared" si="74"/>
        <v>0</v>
      </c>
      <c r="M116" s="35" t="b">
        <f t="shared" si="75"/>
        <v>0</v>
      </c>
      <c r="N116" s="36" t="b">
        <f t="shared" si="76"/>
        <v>0</v>
      </c>
      <c r="O116" s="37" t="b">
        <f t="shared" si="77"/>
        <v>0</v>
      </c>
      <c r="P116" s="18" t="b">
        <f t="shared" si="58"/>
        <v>0</v>
      </c>
      <c r="Q116" s="24" t="b">
        <f t="shared" si="59"/>
        <v>0</v>
      </c>
      <c r="R116" s="32" t="b">
        <f t="shared" si="78"/>
        <v>0</v>
      </c>
      <c r="S116" s="33" t="b">
        <f t="shared" si="61"/>
        <v>0</v>
      </c>
      <c r="T116" s="34" t="b">
        <f t="shared" si="62"/>
        <v>0</v>
      </c>
      <c r="U116" s="35" t="b">
        <f t="shared" si="63"/>
        <v>0</v>
      </c>
      <c r="V116" s="36" t="b">
        <f t="shared" si="64"/>
        <v>0</v>
      </c>
      <c r="W116" s="37" t="b">
        <f t="shared" si="65"/>
        <v>0</v>
      </c>
      <c r="X116" s="6" t="str">
        <f>IF(W116,LOOKUP(A116,Load_Switch_NFET[PARTNUMBER],Load_Switch_NFET[RDSON10])*1000,IF(V116,LOOKUP(A116,Load_Switch_NFET[PARTNUMBER],Load_Switch_NFET[RDSON8])*1000,IF(U116,LOOKUP(A116,Load_Switch_NFET[PARTNUMBER],Load_Switch_NFET[RDSON6])*1000,IF(T116,LOOKUP(A116,Load_Switch_NFET[PARTNUMBER],Load_Switch_NFET[RDSON45])*1000,IF(S116,LOOKUP(A116,Load_Switch_NFET[PARTNUMBER],Load_Switch_NFET[RDSON3])*1000,IF(R116,LOOKUP(A116,Load_Switch_NFET[PARTNUMBER],Load_Switch_NFET[RDSON25])*1000,IF(Q116,LOOKUP(A116,Load_Switch_NFET[PARTNUMBER],Load_Switch_NFET[RDSON18])*1000,"")))))))</f>
        <v/>
      </c>
      <c r="Y116" s="38" t="str">
        <f>IF(AND(A116&lt;&gt;0,A116&lt;&gt;""),X116*(1+(Tj-25)*(LOOKUP(A116,Load_Switch_NFET[PARTNUMBER],Load_Switch_NFET[RDSDELTA])/((LOOKUP(A116,Load_Switch_NFET[PARTNUMBER],Load_Switch_NFET[TJMAX])-25)))),"")</f>
        <v/>
      </c>
      <c r="Z116" s="25" t="str">
        <f>IF(AND(A116&lt;&gt;0,A116&lt;&gt;""),LOOKUP(A116,Load_Switch_NFET[PARTNUMBER],Load_Switch_NFET[VTHMAX]),"")</f>
        <v/>
      </c>
      <c r="AA116" s="25" t="str">
        <f>IF(AND(A116&lt;&gt;0,A116&lt;&gt;""),LOOKUP(A116,Load_Switch_NFET[PARTNUMBER],Load_Switch_NFET[VTHMIN]),"")</f>
        <v/>
      </c>
      <c r="AB116" s="6" t="str">
        <f t="shared" si="66"/>
        <v>#N/A</v>
      </c>
      <c r="AC116" s="25" t="str">
        <f>IF(AND(A116&lt;&gt;0,A116&lt;&gt;""),LOOKUP(A116,Load_Switch_NFET[PARTNUMBER],Load_Switch_NFET[RGIMAX]),"")</f>
        <v/>
      </c>
      <c r="AD116" s="25" t="str">
        <f>IF(AND($A116&lt;&gt;0,$A116&lt;&gt;""),LOOKUP($A116,Load_Switch_NFET[PARTNUMBER],Load_Switch_NFET[QGTYP]),"")</f>
        <v/>
      </c>
      <c r="AE116" s="25" t="str">
        <f>IF(AND($A116&lt;&gt;0,$A116&lt;&gt;""),LOOKUP($A116,Load_Switch_NFET[PARTNUMBER],Load_Switch_NFET[QGS]),"")</f>
        <v/>
      </c>
      <c r="AF116" s="25" t="str">
        <f>IF(AND($A116&lt;&gt;0,$A116&lt;&gt;""),LOOKUP($A116,Load_Switch_NFET[PARTNUMBER],Load_Switch_NFET[QGD]),"")</f>
        <v/>
      </c>
      <c r="AG116" s="25" t="str">
        <f>IF(AND($A116&lt;&gt;0,$A116&lt;&gt;""),LOOKUP($A116,Load_Switch_NFET[PARTNUMBER],Load_Switch_NFET[QGTH]),"")</f>
        <v/>
      </c>
      <c r="AH116" s="25" t="str">
        <f>IF(AND($A116&lt;&gt;0,$A116&lt;&gt;""),LOOKUP($A116,Load_Switch_NFET[PARTNUMBER],Load_Switch_NFET[VMILLER]),"")</f>
        <v/>
      </c>
      <c r="AI116" s="25" t="str">
        <f>IF(AND($A116&lt;&gt;0,$A116&lt;&gt;""),LOOKUP($A116,Load_Switch_NFET[PARTNUMBER],Load_Switch_NFET[COSS_AT_VDSSPEC]),"")</f>
        <v/>
      </c>
      <c r="AJ116" s="25" t="str">
        <f t="shared" si="67"/>
        <v/>
      </c>
      <c r="AK116" s="25" t="str">
        <f t="shared" si="68"/>
        <v/>
      </c>
      <c r="AL116" s="25" t="str">
        <f t="shared" si="69"/>
        <v/>
      </c>
      <c r="AM116" s="50" t="str">
        <f t="shared" si="70"/>
        <v/>
      </c>
      <c r="AN116" s="46" t="str">
        <f>IF(AND($A116&lt;&gt;0,$A116&lt;&gt;""),LOOKUP($A116,Load_Switch_NFET[PARTNUMBER],Load_Switch_NFET[1KPRICE]),"")</f>
        <v/>
      </c>
      <c r="AO116" s="25" t="str">
        <f>IF(AND($A116&lt;&gt;0,$A116&lt;&gt;""),LOOKUP(A116,Load_Switch_NFET[PARTNUMBER],Load_Switch_NFET[TI_EQ_PACKAGE]),"")</f>
        <v/>
      </c>
      <c r="AP116" s="6" t="str">
        <f t="shared" si="71"/>
        <v>Invalid Part</v>
      </c>
      <c r="AQ116" s="25"/>
      <c r="AR116" s="25"/>
      <c r="AS116" s="25"/>
      <c r="AT116" s="25"/>
      <c r="AU116" s="25"/>
      <c r="AV116" s="25"/>
    </row>
    <row r="117" spans="1:48" x14ac:dyDescent="0.25">
      <c r="A117" s="6">
        <f>IF(CH="N",NLogic!B117,"")</f>
        <v>0</v>
      </c>
      <c r="B117" s="23" t="str">
        <f>IF(OR($A117=0,$A117=""),"0",IF(LOOKUP($A117,Load_Switch_NFET[PARTNUMBER],Load_Switch_NFET[RDSON18])="(NULL)","0","1"))</f>
        <v>0</v>
      </c>
      <c r="C117" s="26" t="str">
        <f>IF(OR($A117=0,$A117=""),"0",IF(LOOKUP($A117,Load_Switch_NFET[PARTNUMBER],Load_Switch_NFET[RDSON25])="(NULL)","0","1"))</f>
        <v>0</v>
      </c>
      <c r="D117" s="27" t="str">
        <f>IF(OR($A117=0,$A117=""),"0",IF(LOOKUP($A117,Load_Switch_NFET[PARTNUMBER],Load_Switch_NFET[RDSON3])="(NULL)","0","1"))</f>
        <v>0</v>
      </c>
      <c r="E117" s="28" t="str">
        <f>IF(OR($A117=0,$A117=""),"0",IF(LOOKUP($A117,Load_Switch_NFET[PARTNUMBER],Load_Switch_NFET[RDSON45])="(NULL)","0","1"))</f>
        <v>0</v>
      </c>
      <c r="F117" s="29" t="str">
        <f>IF(OR($A117=0,$A117=""),"0",IF(LOOKUP($A117,Load_Switch_NFET[PARTNUMBER],Load_Switch_NFET[RDSON6])="(NULL)","0","1"))</f>
        <v>0</v>
      </c>
      <c r="G117" s="30" t="str">
        <f>IF(OR($A117=0,$A117=""),"0",IF(LOOKUP($A117,Load_Switch_NFET[PARTNUMBER],Load_Switch_NFET[RDSON8])="(NULL)","0","1"))</f>
        <v>0</v>
      </c>
      <c r="H117" s="31" t="str">
        <f>IF(OR($A117=0,$A117=""),"0",IF(LOOKUP($A117,Load_Switch_NFET[PARTNUMBER],Load_Switch_NFET[RDSON10])="(NULL)","0","1"))</f>
        <v>0</v>
      </c>
      <c r="I117" s="24" t="b">
        <f t="shared" si="51"/>
        <v>0</v>
      </c>
      <c r="J117" s="32" t="b">
        <f t="shared" ref="J117:J130" si="79">AND(AT$2,C117="1")</f>
        <v>0</v>
      </c>
      <c r="K117" s="33" t="b">
        <f t="shared" ref="K117:K130" si="80">AND(AU$2,D117="1")</f>
        <v>0</v>
      </c>
      <c r="L117" s="34" t="b">
        <f t="shared" ref="L117:L130" si="81">AND(AV$2,E117="1")</f>
        <v>0</v>
      </c>
      <c r="M117" s="35" t="b">
        <f t="shared" ref="M117:M130" si="82">AND(AW$2,F117="1")</f>
        <v>0</v>
      </c>
      <c r="N117" s="36" t="b">
        <f t="shared" ref="N117:N130" si="83">AND(AX$2,G117="1")</f>
        <v>0</v>
      </c>
      <c r="O117" s="37" t="b">
        <f t="shared" ref="O117:O130" si="84">AND(AY$2,H117="1")</f>
        <v>0</v>
      </c>
      <c r="P117" s="18" t="b">
        <f t="shared" si="58"/>
        <v>0</v>
      </c>
      <c r="Q117" s="24" t="b">
        <f t="shared" si="59"/>
        <v>0</v>
      </c>
      <c r="R117" s="32" t="b">
        <f t="shared" ref="R117:R130" si="85">IF($P117,J117,IF((C117="1"),OR($AR$2,$AR$9)))</f>
        <v>0</v>
      </c>
      <c r="S117" s="33" t="b">
        <f t="shared" ref="S117:S130" si="86">IF($P117,K117,IF((D117="1"),OR(AR$2,AR$9,AV$2,L117)))</f>
        <v>0</v>
      </c>
      <c r="T117" s="34" t="b">
        <f t="shared" ref="T117:T130" si="87">IF($P117,L117,IF((E117="1"),OR(AU$2,K117,AW$2,M117)))</f>
        <v>0</v>
      </c>
      <c r="U117" s="35" t="b">
        <f t="shared" ref="U117:U130" si="88">IF($P117,M117,IF((F117="1"),OR(AV$2,L117,AX$2,N117)))</f>
        <v>0</v>
      </c>
      <c r="V117" s="36" t="b">
        <f t="shared" ref="V117:V130" si="89">IF($P117,N117,IF((G117="1"),OR(AW$2,M117,AY$2,O117)))</f>
        <v>0</v>
      </c>
      <c r="W117" s="37" t="b">
        <f t="shared" ref="W117:W130" si="90">IF($P117,O117,IF((H117="1"),OR(AX$2,N117)))</f>
        <v>0</v>
      </c>
      <c r="X117" s="6" t="str">
        <f>IF(W117,LOOKUP(A117,Load_Switch_NFET[PARTNUMBER],Load_Switch_NFET[RDSON10])*1000,IF(V117,LOOKUP(A117,Load_Switch_NFET[PARTNUMBER],Load_Switch_NFET[RDSON8])*1000,IF(U117,LOOKUP(A117,Load_Switch_NFET[PARTNUMBER],Load_Switch_NFET[RDSON6])*1000,IF(T117,LOOKUP(A117,Load_Switch_NFET[PARTNUMBER],Load_Switch_NFET[RDSON45])*1000,IF(S117,LOOKUP(A117,Load_Switch_NFET[PARTNUMBER],Load_Switch_NFET[RDSON3])*1000,IF(R117,LOOKUP(A117,Load_Switch_NFET[PARTNUMBER],Load_Switch_NFET[RDSON25])*1000,IF(Q117,LOOKUP(A117,Load_Switch_NFET[PARTNUMBER],Load_Switch_NFET[RDSON18])*1000,"")))))))</f>
        <v/>
      </c>
      <c r="Y117" s="19"/>
      <c r="AB117" s="6" t="str">
        <f t="shared" si="66"/>
        <v>#N/A</v>
      </c>
      <c r="AM117" s="49" t="str">
        <f t="shared" si="70"/>
        <v/>
      </c>
      <c r="AN117" s="46" t="str">
        <f>IF(AND($A117&lt;&gt;0,$A117&lt;&gt;""),LOOKUP($A117,Load_Switch_NFET[PARTNUMBER],Load_Switch_NFET[1KPRICE]),"")</f>
        <v/>
      </c>
      <c r="AP117" s="6" t="str">
        <f t="shared" si="71"/>
        <v>Invalid Part</v>
      </c>
    </row>
    <row r="118" spans="1:48" x14ac:dyDescent="0.25">
      <c r="A118" s="6">
        <f>IF(CH="N",NLogic!B118,"")</f>
        <v>0</v>
      </c>
      <c r="B118" s="23" t="str">
        <f>IF(OR($A118=0,$A118=""),"0",IF(LOOKUP($A118,Load_Switch_NFET[PARTNUMBER],Load_Switch_NFET[RDSON18])="(NULL)","0","1"))</f>
        <v>0</v>
      </c>
      <c r="C118" s="26" t="str">
        <f>IF(OR($A118=0,$A118=""),"0",IF(LOOKUP($A118,Load_Switch_NFET[PARTNUMBER],Load_Switch_NFET[RDSON25])="(NULL)","0","1"))</f>
        <v>0</v>
      </c>
      <c r="D118" s="27" t="str">
        <f>IF(OR($A118=0,$A118=""),"0",IF(LOOKUP($A118,Load_Switch_NFET[PARTNUMBER],Load_Switch_NFET[RDSON3])="(NULL)","0","1"))</f>
        <v>0</v>
      </c>
      <c r="E118" s="28" t="str">
        <f>IF(OR($A118=0,$A118=""),"0",IF(LOOKUP($A118,Load_Switch_NFET[PARTNUMBER],Load_Switch_NFET[RDSON45])="(NULL)","0","1"))</f>
        <v>0</v>
      </c>
      <c r="F118" s="29" t="str">
        <f>IF(OR($A118=0,$A118=""),"0",IF(LOOKUP($A118,Load_Switch_NFET[PARTNUMBER],Load_Switch_NFET[RDSON6])="(NULL)","0","1"))</f>
        <v>0</v>
      </c>
      <c r="G118" s="30" t="str">
        <f>IF(OR($A118=0,$A118=""),"0",IF(LOOKUP($A118,Load_Switch_NFET[PARTNUMBER],Load_Switch_NFET[RDSON8])="(NULL)","0","1"))</f>
        <v>0</v>
      </c>
      <c r="H118" s="31" t="str">
        <f>IF(OR($A118=0,$A118=""),"0",IF(LOOKUP($A118,Load_Switch_NFET[PARTNUMBER],Load_Switch_NFET[RDSON10])="(NULL)","0","1"))</f>
        <v>0</v>
      </c>
      <c r="I118" s="24" t="b">
        <f t="shared" si="51"/>
        <v>0</v>
      </c>
      <c r="J118" s="32" t="b">
        <f t="shared" si="79"/>
        <v>0</v>
      </c>
      <c r="K118" s="33" t="b">
        <f t="shared" si="80"/>
        <v>0</v>
      </c>
      <c r="L118" s="34" t="b">
        <f t="shared" si="81"/>
        <v>0</v>
      </c>
      <c r="M118" s="35" t="b">
        <f t="shared" si="82"/>
        <v>0</v>
      </c>
      <c r="N118" s="36" t="b">
        <f t="shared" si="83"/>
        <v>0</v>
      </c>
      <c r="O118" s="37" t="b">
        <f t="shared" si="84"/>
        <v>0</v>
      </c>
      <c r="P118" s="18" t="b">
        <f t="shared" si="58"/>
        <v>0</v>
      </c>
      <c r="Q118" s="24" t="b">
        <f t="shared" si="59"/>
        <v>0</v>
      </c>
      <c r="R118" s="32" t="b">
        <f t="shared" si="85"/>
        <v>0</v>
      </c>
      <c r="S118" s="33" t="b">
        <f t="shared" si="86"/>
        <v>0</v>
      </c>
      <c r="T118" s="34" t="b">
        <f t="shared" si="87"/>
        <v>0</v>
      </c>
      <c r="U118" s="35" t="b">
        <f t="shared" si="88"/>
        <v>0</v>
      </c>
      <c r="V118" s="36" t="b">
        <f t="shared" si="89"/>
        <v>0</v>
      </c>
      <c r="W118" s="37" t="b">
        <f t="shared" si="90"/>
        <v>0</v>
      </c>
      <c r="X118" s="6" t="str">
        <f>IF(W118,LOOKUP(A118,Load_Switch_NFET[PARTNUMBER],Load_Switch_NFET[RDSON10])*1000,IF(V118,LOOKUP(A118,Load_Switch_NFET[PARTNUMBER],Load_Switch_NFET[RDSON8])*1000,IF(U118,LOOKUP(A118,Load_Switch_NFET[PARTNUMBER],Load_Switch_NFET[RDSON6])*1000,IF(T118,LOOKUP(A118,Load_Switch_NFET[PARTNUMBER],Load_Switch_NFET[RDSON45])*1000,IF(S118,LOOKUP(A118,Load_Switch_NFET[PARTNUMBER],Load_Switch_NFET[RDSON3])*1000,IF(R118,LOOKUP(A118,Load_Switch_NFET[PARTNUMBER],Load_Switch_NFET[RDSON25])*1000,IF(Q118,LOOKUP(A118,Load_Switch_NFET[PARTNUMBER],Load_Switch_NFET[RDSON18])*1000,"")))))))</f>
        <v/>
      </c>
      <c r="Y118" s="19"/>
      <c r="AB118" s="6" t="str">
        <f t="shared" si="66"/>
        <v>#N/A</v>
      </c>
      <c r="AM118" s="49" t="str">
        <f t="shared" si="70"/>
        <v/>
      </c>
      <c r="AN118" s="46" t="str">
        <f>IF(AND($A118&lt;&gt;0,$A118&lt;&gt;""),LOOKUP($A118,Load_Switch_NFET[PARTNUMBER],Load_Switch_NFET[1KPRICE]),"")</f>
        <v/>
      </c>
      <c r="AP118" s="6" t="str">
        <f t="shared" si="71"/>
        <v>Invalid Part</v>
      </c>
    </row>
    <row r="119" spans="1:48" x14ac:dyDescent="0.25">
      <c r="A119" s="6">
        <f>IF(CH="N",NLogic!B119,"")</f>
        <v>0</v>
      </c>
      <c r="B119" s="23" t="str">
        <f>IF(OR($A119=0,$A119=""),"0",IF(LOOKUP($A119,Load_Switch_NFET[PARTNUMBER],Load_Switch_NFET[RDSON18])="(NULL)","0","1"))</f>
        <v>0</v>
      </c>
      <c r="C119" s="26" t="str">
        <f>IF(OR($A119=0,$A119=""),"0",IF(LOOKUP($A119,Load_Switch_NFET[PARTNUMBER],Load_Switch_NFET[RDSON25])="(NULL)","0","1"))</f>
        <v>0</v>
      </c>
      <c r="D119" s="27" t="str">
        <f>IF(OR($A119=0,$A119=""),"0",IF(LOOKUP($A119,Load_Switch_NFET[PARTNUMBER],Load_Switch_NFET[RDSON3])="(NULL)","0","1"))</f>
        <v>0</v>
      </c>
      <c r="E119" s="28" t="str">
        <f>IF(OR($A119=0,$A119=""),"0",IF(LOOKUP($A119,Load_Switch_NFET[PARTNUMBER],Load_Switch_NFET[RDSON45])="(NULL)","0","1"))</f>
        <v>0</v>
      </c>
      <c r="F119" s="29" t="str">
        <f>IF(OR($A119=0,$A119=""),"0",IF(LOOKUP($A119,Load_Switch_NFET[PARTNUMBER],Load_Switch_NFET[RDSON6])="(NULL)","0","1"))</f>
        <v>0</v>
      </c>
      <c r="G119" s="30" t="str">
        <f>IF(OR($A119=0,$A119=""),"0",IF(LOOKUP($A119,Load_Switch_NFET[PARTNUMBER],Load_Switch_NFET[RDSON8])="(NULL)","0","1"))</f>
        <v>0</v>
      </c>
      <c r="H119" s="31" t="str">
        <f>IF(OR($A119=0,$A119=""),"0",IF(LOOKUP($A119,Load_Switch_NFET[PARTNUMBER],Load_Switch_NFET[RDSON10])="(NULL)","0","1"))</f>
        <v>0</v>
      </c>
      <c r="I119" s="24" t="b">
        <f t="shared" si="51"/>
        <v>0</v>
      </c>
      <c r="J119" s="32" t="b">
        <f t="shared" si="79"/>
        <v>0</v>
      </c>
      <c r="K119" s="33" t="b">
        <f t="shared" si="80"/>
        <v>0</v>
      </c>
      <c r="L119" s="34" t="b">
        <f t="shared" si="81"/>
        <v>0</v>
      </c>
      <c r="M119" s="35" t="b">
        <f t="shared" si="82"/>
        <v>0</v>
      </c>
      <c r="N119" s="36" t="b">
        <f t="shared" si="83"/>
        <v>0</v>
      </c>
      <c r="O119" s="37" t="b">
        <f t="shared" si="84"/>
        <v>0</v>
      </c>
      <c r="P119" s="18" t="b">
        <f t="shared" si="58"/>
        <v>0</v>
      </c>
      <c r="Q119" s="24" t="b">
        <f t="shared" si="59"/>
        <v>0</v>
      </c>
      <c r="R119" s="32" t="b">
        <f t="shared" si="85"/>
        <v>0</v>
      </c>
      <c r="S119" s="33" t="b">
        <f t="shared" si="86"/>
        <v>0</v>
      </c>
      <c r="T119" s="34" t="b">
        <f t="shared" si="87"/>
        <v>0</v>
      </c>
      <c r="U119" s="35" t="b">
        <f t="shared" si="88"/>
        <v>0</v>
      </c>
      <c r="V119" s="36" t="b">
        <f t="shared" si="89"/>
        <v>0</v>
      </c>
      <c r="W119" s="37" t="b">
        <f t="shared" si="90"/>
        <v>0</v>
      </c>
      <c r="X119" s="6" t="str">
        <f>IF(W119,LOOKUP(A119,Load_Switch_NFET[PARTNUMBER],Load_Switch_NFET[RDSON10])*1000,IF(V119,LOOKUP(A119,Load_Switch_NFET[PARTNUMBER],Load_Switch_NFET[RDSON8])*1000,IF(U119,LOOKUP(A119,Load_Switch_NFET[PARTNUMBER],Load_Switch_NFET[RDSON6])*1000,IF(T119,LOOKUP(A119,Load_Switch_NFET[PARTNUMBER],Load_Switch_NFET[RDSON45])*1000,IF(S119,LOOKUP(A119,Load_Switch_NFET[PARTNUMBER],Load_Switch_NFET[RDSON3])*1000,IF(R119,LOOKUP(A119,Load_Switch_NFET[PARTNUMBER],Load_Switch_NFET[RDSON25])*1000,IF(Q119,LOOKUP(A119,Load_Switch_NFET[PARTNUMBER],Load_Switch_NFET[RDSON18])*1000,"")))))))</f>
        <v/>
      </c>
      <c r="Y119" s="19"/>
      <c r="AB119" s="6" t="str">
        <f t="shared" si="66"/>
        <v>#N/A</v>
      </c>
      <c r="AM119" s="49" t="str">
        <f t="shared" si="70"/>
        <v/>
      </c>
      <c r="AN119" s="46" t="str">
        <f>IF(AND($A119&lt;&gt;0,$A119&lt;&gt;""),LOOKUP($A119,Load_Switch_NFET[PARTNUMBER],Load_Switch_NFET[1KPRICE]),"")</f>
        <v/>
      </c>
      <c r="AP119" s="6" t="str">
        <f t="shared" si="71"/>
        <v>Invalid Part</v>
      </c>
    </row>
    <row r="120" spans="1:48" x14ac:dyDescent="0.25">
      <c r="A120" s="6">
        <f>IF(CH="N",NLogic!B120,"")</f>
        <v>0</v>
      </c>
      <c r="B120" s="23" t="str">
        <f>IF(OR($A120=0,$A120=""),"0",IF(LOOKUP($A120,Load_Switch_NFET[PARTNUMBER],Load_Switch_NFET[RDSON18])="(NULL)","0","1"))</f>
        <v>0</v>
      </c>
      <c r="C120" s="26" t="str">
        <f>IF(OR($A120=0,$A120=""),"0",IF(LOOKUP($A120,Load_Switch_NFET[PARTNUMBER],Load_Switch_NFET[RDSON25])="(NULL)","0","1"))</f>
        <v>0</v>
      </c>
      <c r="D120" s="27" t="str">
        <f>IF(OR($A120=0,$A120=""),"0",IF(LOOKUP($A120,Load_Switch_NFET[PARTNUMBER],Load_Switch_NFET[RDSON3])="(NULL)","0","1"))</f>
        <v>0</v>
      </c>
      <c r="E120" s="28" t="str">
        <f>IF(OR($A120=0,$A120=""),"0",IF(LOOKUP($A120,Load_Switch_NFET[PARTNUMBER],Load_Switch_NFET[RDSON45])="(NULL)","0","1"))</f>
        <v>0</v>
      </c>
      <c r="F120" s="29" t="str">
        <f>IF(OR($A120=0,$A120=""),"0",IF(LOOKUP($A120,Load_Switch_NFET[PARTNUMBER],Load_Switch_NFET[RDSON6])="(NULL)","0","1"))</f>
        <v>0</v>
      </c>
      <c r="G120" s="30" t="str">
        <f>IF(OR($A120=0,$A120=""),"0",IF(LOOKUP($A120,Load_Switch_NFET[PARTNUMBER],Load_Switch_NFET[RDSON8])="(NULL)","0","1"))</f>
        <v>0</v>
      </c>
      <c r="H120" s="31" t="str">
        <f>IF(OR($A120=0,$A120=""),"0",IF(LOOKUP($A120,Load_Switch_NFET[PARTNUMBER],Load_Switch_NFET[RDSON10])="(NULL)","0","1"))</f>
        <v>0</v>
      </c>
      <c r="I120" s="24" t="b">
        <f t="shared" si="51"/>
        <v>0</v>
      </c>
      <c r="J120" s="32" t="b">
        <f t="shared" si="79"/>
        <v>0</v>
      </c>
      <c r="K120" s="33" t="b">
        <f t="shared" si="80"/>
        <v>0</v>
      </c>
      <c r="L120" s="34" t="b">
        <f t="shared" si="81"/>
        <v>0</v>
      </c>
      <c r="M120" s="35" t="b">
        <f t="shared" si="82"/>
        <v>0</v>
      </c>
      <c r="N120" s="36" t="b">
        <f t="shared" si="83"/>
        <v>0</v>
      </c>
      <c r="O120" s="37" t="b">
        <f t="shared" si="84"/>
        <v>0</v>
      </c>
      <c r="P120" s="18" t="b">
        <f t="shared" si="58"/>
        <v>0</v>
      </c>
      <c r="Q120" s="24" t="b">
        <f t="shared" si="59"/>
        <v>0</v>
      </c>
      <c r="R120" s="32" t="b">
        <f t="shared" si="85"/>
        <v>0</v>
      </c>
      <c r="S120" s="33" t="b">
        <f t="shared" si="86"/>
        <v>0</v>
      </c>
      <c r="T120" s="34" t="b">
        <f t="shared" si="87"/>
        <v>0</v>
      </c>
      <c r="U120" s="35" t="b">
        <f t="shared" si="88"/>
        <v>0</v>
      </c>
      <c r="V120" s="36" t="b">
        <f t="shared" si="89"/>
        <v>0</v>
      </c>
      <c r="W120" s="37" t="b">
        <f t="shared" si="90"/>
        <v>0</v>
      </c>
      <c r="X120" s="6" t="str">
        <f>IF(W120,LOOKUP(A120,Load_Switch_NFET[PARTNUMBER],Load_Switch_NFET[RDSON10])*1000,IF(V120,LOOKUP(A120,Load_Switch_NFET[PARTNUMBER],Load_Switch_NFET[RDSON8])*1000,IF(U120,LOOKUP(A120,Load_Switch_NFET[PARTNUMBER],Load_Switch_NFET[RDSON6])*1000,IF(T120,LOOKUP(A120,Load_Switch_NFET[PARTNUMBER],Load_Switch_NFET[RDSON45])*1000,IF(S120,LOOKUP(A120,Load_Switch_NFET[PARTNUMBER],Load_Switch_NFET[RDSON3])*1000,IF(R120,LOOKUP(A120,Load_Switch_NFET[PARTNUMBER],Load_Switch_NFET[RDSON25])*1000,IF(Q120,LOOKUP(A120,Load_Switch_NFET[PARTNUMBER],Load_Switch_NFET[RDSON18])*1000,"")))))))</f>
        <v/>
      </c>
      <c r="Y120" s="19"/>
      <c r="AB120" s="6" t="str">
        <f t="shared" si="66"/>
        <v>#N/A</v>
      </c>
      <c r="AM120" s="49" t="str">
        <f t="shared" si="70"/>
        <v/>
      </c>
      <c r="AN120" s="46" t="str">
        <f>IF(AND($A120&lt;&gt;0,$A120&lt;&gt;""),LOOKUP($A120,Load_Switch_NFET[PARTNUMBER],Load_Switch_NFET[1KPRICE]),"")</f>
        <v/>
      </c>
      <c r="AP120" s="6" t="str">
        <f t="shared" si="71"/>
        <v>Invalid Part</v>
      </c>
    </row>
    <row r="121" spans="1:48" x14ac:dyDescent="0.25">
      <c r="A121" s="6">
        <f>IF(CH="N",NLogic!B121,"")</f>
        <v>0</v>
      </c>
      <c r="B121" s="23" t="str">
        <f>IF(OR($A121=0,$A121=""),"0",IF(LOOKUP($A121,Load_Switch_NFET[PARTNUMBER],Load_Switch_NFET[RDSON18])="(NULL)","0","1"))</f>
        <v>0</v>
      </c>
      <c r="C121" s="26" t="str">
        <f>IF(OR($A121=0,$A121=""),"0",IF(LOOKUP($A121,Load_Switch_NFET[PARTNUMBER],Load_Switch_NFET[RDSON25])="(NULL)","0","1"))</f>
        <v>0</v>
      </c>
      <c r="D121" s="27" t="str">
        <f>IF(OR($A121=0,$A121=""),"0",IF(LOOKUP($A121,Load_Switch_NFET[PARTNUMBER],Load_Switch_NFET[RDSON3])="(NULL)","0","1"))</f>
        <v>0</v>
      </c>
      <c r="E121" s="28" t="str">
        <f>IF(OR($A121=0,$A121=""),"0",IF(LOOKUP($A121,Load_Switch_NFET[PARTNUMBER],Load_Switch_NFET[RDSON45])="(NULL)","0","1"))</f>
        <v>0</v>
      </c>
      <c r="F121" s="29" t="str">
        <f>IF(OR($A121=0,$A121=""),"0",IF(LOOKUP($A121,Load_Switch_NFET[PARTNUMBER],Load_Switch_NFET[RDSON6])="(NULL)","0","1"))</f>
        <v>0</v>
      </c>
      <c r="G121" s="30" t="str">
        <f>IF(OR($A121=0,$A121=""),"0",IF(LOOKUP($A121,Load_Switch_NFET[PARTNUMBER],Load_Switch_NFET[RDSON8])="(NULL)","0","1"))</f>
        <v>0</v>
      </c>
      <c r="H121" s="31" t="str">
        <f>IF(OR($A121=0,$A121=""),"0",IF(LOOKUP($A121,Load_Switch_NFET[PARTNUMBER],Load_Switch_NFET[RDSON10])="(NULL)","0","1"))</f>
        <v>0</v>
      </c>
      <c r="I121" s="24" t="b">
        <f t="shared" si="51"/>
        <v>0</v>
      </c>
      <c r="J121" s="32" t="b">
        <f t="shared" si="79"/>
        <v>0</v>
      </c>
      <c r="K121" s="33" t="b">
        <f t="shared" si="80"/>
        <v>0</v>
      </c>
      <c r="L121" s="34" t="b">
        <f t="shared" si="81"/>
        <v>0</v>
      </c>
      <c r="M121" s="35" t="b">
        <f t="shared" si="82"/>
        <v>0</v>
      </c>
      <c r="N121" s="36" t="b">
        <f t="shared" si="83"/>
        <v>0</v>
      </c>
      <c r="O121" s="37" t="b">
        <f t="shared" si="84"/>
        <v>0</v>
      </c>
      <c r="P121" s="18" t="b">
        <f t="shared" si="58"/>
        <v>0</v>
      </c>
      <c r="Q121" s="24" t="b">
        <f t="shared" si="59"/>
        <v>0</v>
      </c>
      <c r="R121" s="32" t="b">
        <f t="shared" si="85"/>
        <v>0</v>
      </c>
      <c r="S121" s="33" t="b">
        <f t="shared" si="86"/>
        <v>0</v>
      </c>
      <c r="T121" s="34" t="b">
        <f t="shared" si="87"/>
        <v>0</v>
      </c>
      <c r="U121" s="35" t="b">
        <f t="shared" si="88"/>
        <v>0</v>
      </c>
      <c r="V121" s="36" t="b">
        <f t="shared" si="89"/>
        <v>0</v>
      </c>
      <c r="W121" s="37" t="b">
        <f t="shared" si="90"/>
        <v>0</v>
      </c>
      <c r="X121" s="6" t="str">
        <f>IF(W121,LOOKUP(A121,Load_Switch_NFET[PARTNUMBER],Load_Switch_NFET[RDSON10])*1000,IF(V121,LOOKUP(A121,Load_Switch_NFET[PARTNUMBER],Load_Switch_NFET[RDSON8])*1000,IF(U121,LOOKUP(A121,Load_Switch_NFET[PARTNUMBER],Load_Switch_NFET[RDSON6])*1000,IF(T121,LOOKUP(A121,Load_Switch_NFET[PARTNUMBER],Load_Switch_NFET[RDSON45])*1000,IF(S121,LOOKUP(A121,Load_Switch_NFET[PARTNUMBER],Load_Switch_NFET[RDSON3])*1000,IF(R121,LOOKUP(A121,Load_Switch_NFET[PARTNUMBER],Load_Switch_NFET[RDSON25])*1000,IF(Q121,LOOKUP(A121,Load_Switch_NFET[PARTNUMBER],Load_Switch_NFET[RDSON18])*1000,"")))))))</f>
        <v/>
      </c>
      <c r="Y121" s="19"/>
      <c r="AB121" s="6" t="str">
        <f t="shared" si="66"/>
        <v>#N/A</v>
      </c>
      <c r="AM121" s="49" t="str">
        <f t="shared" si="70"/>
        <v/>
      </c>
      <c r="AN121" s="46" t="str">
        <f>IF(AND($A121&lt;&gt;0,$A121&lt;&gt;""),LOOKUP($A121,Load_Switch_NFET[PARTNUMBER],Load_Switch_NFET[1KPRICE]),"")</f>
        <v/>
      </c>
      <c r="AP121" s="6" t="str">
        <f t="shared" si="71"/>
        <v>Invalid Part</v>
      </c>
    </row>
    <row r="122" spans="1:48" x14ac:dyDescent="0.25">
      <c r="A122" s="6">
        <f>IF(CH="N",NLogic!B122,"")</f>
        <v>0</v>
      </c>
      <c r="B122" s="23" t="str">
        <f>IF(OR($A122=0,$A122=""),"0",IF(LOOKUP($A122,Load_Switch_NFET[PARTNUMBER],Load_Switch_NFET[RDSON18])="(NULL)","0","1"))</f>
        <v>0</v>
      </c>
      <c r="C122" s="26" t="str">
        <f>IF(OR($A122=0,$A122=""),"0",IF(LOOKUP($A122,Load_Switch_NFET[PARTNUMBER],Load_Switch_NFET[RDSON25])="(NULL)","0","1"))</f>
        <v>0</v>
      </c>
      <c r="D122" s="27" t="str">
        <f>IF(OR($A122=0,$A122=""),"0",IF(LOOKUP($A122,Load_Switch_NFET[PARTNUMBER],Load_Switch_NFET[RDSON3])="(NULL)","0","1"))</f>
        <v>0</v>
      </c>
      <c r="E122" s="28" t="str">
        <f>IF(OR($A122=0,$A122=""),"0",IF(LOOKUP($A122,Load_Switch_NFET[PARTNUMBER],Load_Switch_NFET[RDSON45])="(NULL)","0","1"))</f>
        <v>0</v>
      </c>
      <c r="F122" s="29" t="str">
        <f>IF(OR($A122=0,$A122=""),"0",IF(LOOKUP($A122,Load_Switch_NFET[PARTNUMBER],Load_Switch_NFET[RDSON6])="(NULL)","0","1"))</f>
        <v>0</v>
      </c>
      <c r="G122" s="30" t="str">
        <f>IF(OR($A122=0,$A122=""),"0",IF(LOOKUP($A122,Load_Switch_NFET[PARTNUMBER],Load_Switch_NFET[RDSON8])="(NULL)","0","1"))</f>
        <v>0</v>
      </c>
      <c r="H122" s="31" t="str">
        <f>IF(OR($A122=0,$A122=""),"0",IF(LOOKUP($A122,Load_Switch_NFET[PARTNUMBER],Load_Switch_NFET[RDSON10])="(NULL)","0","1"))</f>
        <v>0</v>
      </c>
      <c r="I122" s="24" t="b">
        <f t="shared" si="51"/>
        <v>0</v>
      </c>
      <c r="J122" s="32" t="b">
        <f t="shared" si="79"/>
        <v>0</v>
      </c>
      <c r="K122" s="33" t="b">
        <f t="shared" si="80"/>
        <v>0</v>
      </c>
      <c r="L122" s="34" t="b">
        <f t="shared" si="81"/>
        <v>0</v>
      </c>
      <c r="M122" s="35" t="b">
        <f t="shared" si="82"/>
        <v>0</v>
      </c>
      <c r="N122" s="36" t="b">
        <f t="shared" si="83"/>
        <v>0</v>
      </c>
      <c r="O122" s="37" t="b">
        <f t="shared" si="84"/>
        <v>0</v>
      </c>
      <c r="P122" s="18" t="b">
        <f t="shared" si="58"/>
        <v>0</v>
      </c>
      <c r="Q122" s="24" t="b">
        <f t="shared" si="59"/>
        <v>0</v>
      </c>
      <c r="R122" s="32" t="b">
        <f t="shared" si="85"/>
        <v>0</v>
      </c>
      <c r="S122" s="33" t="b">
        <f t="shared" si="86"/>
        <v>0</v>
      </c>
      <c r="T122" s="34" t="b">
        <f t="shared" si="87"/>
        <v>0</v>
      </c>
      <c r="U122" s="35" t="b">
        <f t="shared" si="88"/>
        <v>0</v>
      </c>
      <c r="V122" s="36" t="b">
        <f t="shared" si="89"/>
        <v>0</v>
      </c>
      <c r="W122" s="37" t="b">
        <f t="shared" si="90"/>
        <v>0</v>
      </c>
      <c r="X122" s="6" t="str">
        <f>IF(W122,LOOKUP(A122,Load_Switch_NFET[PARTNUMBER],Load_Switch_NFET[RDSON10])*1000,IF(V122,LOOKUP(A122,Load_Switch_NFET[PARTNUMBER],Load_Switch_NFET[RDSON8])*1000,IF(U122,LOOKUP(A122,Load_Switch_NFET[PARTNUMBER],Load_Switch_NFET[RDSON6])*1000,IF(T122,LOOKUP(A122,Load_Switch_NFET[PARTNUMBER],Load_Switch_NFET[RDSON45])*1000,IF(S122,LOOKUP(A122,Load_Switch_NFET[PARTNUMBER],Load_Switch_NFET[RDSON3])*1000,IF(R122,LOOKUP(A122,Load_Switch_NFET[PARTNUMBER],Load_Switch_NFET[RDSON25])*1000,IF(Q122,LOOKUP(A122,Load_Switch_NFET[PARTNUMBER],Load_Switch_NFET[RDSON18])*1000,"")))))))</f>
        <v/>
      </c>
      <c r="Y122" s="19"/>
      <c r="AB122" s="6" t="str">
        <f t="shared" si="66"/>
        <v>#N/A</v>
      </c>
      <c r="AM122" s="49" t="str">
        <f t="shared" si="70"/>
        <v/>
      </c>
      <c r="AN122" s="46" t="str">
        <f>IF(AND($A122&lt;&gt;0,$A122&lt;&gt;""),LOOKUP($A122,Load_Switch_NFET[PARTNUMBER],Load_Switch_NFET[1KPRICE]),"")</f>
        <v/>
      </c>
      <c r="AP122" s="6" t="str">
        <f t="shared" si="71"/>
        <v>Invalid Part</v>
      </c>
    </row>
    <row r="123" spans="1:48" x14ac:dyDescent="0.25">
      <c r="A123" s="6">
        <f>IF(CH="N",NLogic!B123,"")</f>
        <v>0</v>
      </c>
      <c r="B123" s="23" t="str">
        <f>IF(OR($A123=0,$A123=""),"0",IF(LOOKUP($A123,Load_Switch_NFET[PARTNUMBER],Load_Switch_NFET[RDSON18])="(NULL)","0","1"))</f>
        <v>0</v>
      </c>
      <c r="C123" s="26" t="str">
        <f>IF(OR($A123=0,$A123=""),"0",IF(LOOKUP($A123,Load_Switch_NFET[PARTNUMBER],Load_Switch_NFET[RDSON25])="(NULL)","0","1"))</f>
        <v>0</v>
      </c>
      <c r="D123" s="27" t="str">
        <f>IF(OR($A123=0,$A123=""),"0",IF(LOOKUP($A123,Load_Switch_NFET[PARTNUMBER],Load_Switch_NFET[RDSON3])="(NULL)","0","1"))</f>
        <v>0</v>
      </c>
      <c r="E123" s="28" t="str">
        <f>IF(OR($A123=0,$A123=""),"0",IF(LOOKUP($A123,Load_Switch_NFET[PARTNUMBER],Load_Switch_NFET[RDSON45])="(NULL)","0","1"))</f>
        <v>0</v>
      </c>
      <c r="F123" s="29" t="str">
        <f>IF(OR($A123=0,$A123=""),"0",IF(LOOKUP($A123,Load_Switch_NFET[PARTNUMBER],Load_Switch_NFET[RDSON6])="(NULL)","0","1"))</f>
        <v>0</v>
      </c>
      <c r="G123" s="30" t="str">
        <f>IF(OR($A123=0,$A123=""),"0",IF(LOOKUP($A123,Load_Switch_NFET[PARTNUMBER],Load_Switch_NFET[RDSON8])="(NULL)","0","1"))</f>
        <v>0</v>
      </c>
      <c r="H123" s="31" t="str">
        <f>IF(OR($A123=0,$A123=""),"0",IF(LOOKUP($A123,Load_Switch_NFET[PARTNUMBER],Load_Switch_NFET[RDSON10])="(NULL)","0","1"))</f>
        <v>0</v>
      </c>
      <c r="I123" s="24" t="b">
        <f t="shared" si="51"/>
        <v>0</v>
      </c>
      <c r="J123" s="32" t="b">
        <f t="shared" si="79"/>
        <v>0</v>
      </c>
      <c r="K123" s="33" t="b">
        <f t="shared" si="80"/>
        <v>0</v>
      </c>
      <c r="L123" s="34" t="b">
        <f t="shared" si="81"/>
        <v>0</v>
      </c>
      <c r="M123" s="35" t="b">
        <f t="shared" si="82"/>
        <v>0</v>
      </c>
      <c r="N123" s="36" t="b">
        <f t="shared" si="83"/>
        <v>0</v>
      </c>
      <c r="O123" s="37" t="b">
        <f t="shared" si="84"/>
        <v>0</v>
      </c>
      <c r="P123" s="18" t="b">
        <f t="shared" si="58"/>
        <v>0</v>
      </c>
      <c r="Q123" s="24" t="b">
        <f t="shared" si="59"/>
        <v>0</v>
      </c>
      <c r="R123" s="32" t="b">
        <f t="shared" si="85"/>
        <v>0</v>
      </c>
      <c r="S123" s="33" t="b">
        <f t="shared" si="86"/>
        <v>0</v>
      </c>
      <c r="T123" s="34" t="b">
        <f t="shared" si="87"/>
        <v>0</v>
      </c>
      <c r="U123" s="35" t="b">
        <f t="shared" si="88"/>
        <v>0</v>
      </c>
      <c r="V123" s="36" t="b">
        <f t="shared" si="89"/>
        <v>0</v>
      </c>
      <c r="W123" s="37" t="b">
        <f t="shared" si="90"/>
        <v>0</v>
      </c>
      <c r="X123" s="6" t="str">
        <f>IF(W123,LOOKUP(A123,Load_Switch_NFET[PARTNUMBER],Load_Switch_NFET[RDSON10])*1000,IF(V123,LOOKUP(A123,Load_Switch_NFET[PARTNUMBER],Load_Switch_NFET[RDSON8])*1000,IF(U123,LOOKUP(A123,Load_Switch_NFET[PARTNUMBER],Load_Switch_NFET[RDSON6])*1000,IF(T123,LOOKUP(A123,Load_Switch_NFET[PARTNUMBER],Load_Switch_NFET[RDSON45])*1000,IF(S123,LOOKUP(A123,Load_Switch_NFET[PARTNUMBER],Load_Switch_NFET[RDSON3])*1000,IF(R123,LOOKUP(A123,Load_Switch_NFET[PARTNUMBER],Load_Switch_NFET[RDSON25])*1000,IF(Q123,LOOKUP(A123,Load_Switch_NFET[PARTNUMBER],Load_Switch_NFET[RDSON18])*1000,"")))))))</f>
        <v/>
      </c>
      <c r="Y123" s="19"/>
      <c r="AB123" s="6" t="str">
        <f t="shared" si="66"/>
        <v>#N/A</v>
      </c>
      <c r="AM123" s="49" t="str">
        <f t="shared" si="70"/>
        <v/>
      </c>
      <c r="AN123" s="46" t="str">
        <f>IF(AND($A123&lt;&gt;0,$A123&lt;&gt;""),LOOKUP($A123,Load_Switch_NFET[PARTNUMBER],Load_Switch_NFET[1KPRICE]),"")</f>
        <v/>
      </c>
      <c r="AP123" s="6" t="str">
        <f t="shared" si="71"/>
        <v>Invalid Part</v>
      </c>
    </row>
    <row r="124" spans="1:48" x14ac:dyDescent="0.25">
      <c r="A124" s="6">
        <f>IF(CH="N",NLogic!B124,"")</f>
        <v>0</v>
      </c>
      <c r="B124" s="23" t="str">
        <f>IF(OR($A124=0,$A124=""),"0",IF(LOOKUP($A124,Load_Switch_NFET[PARTNUMBER],Load_Switch_NFET[RDSON18])="(NULL)","0","1"))</f>
        <v>0</v>
      </c>
      <c r="C124" s="26" t="str">
        <f>IF(OR($A124=0,$A124=""),"0",IF(LOOKUP($A124,Load_Switch_NFET[PARTNUMBER],Load_Switch_NFET[RDSON25])="(NULL)","0","1"))</f>
        <v>0</v>
      </c>
      <c r="D124" s="27" t="str">
        <f>IF(OR($A124=0,$A124=""),"0",IF(LOOKUP($A124,Load_Switch_NFET[PARTNUMBER],Load_Switch_NFET[RDSON3])="(NULL)","0","1"))</f>
        <v>0</v>
      </c>
      <c r="E124" s="28" t="str">
        <f>IF(OR($A124=0,$A124=""),"0",IF(LOOKUP($A124,Load_Switch_NFET[PARTNUMBER],Load_Switch_NFET[RDSON45])="(NULL)","0","1"))</f>
        <v>0</v>
      </c>
      <c r="F124" s="29" t="str">
        <f>IF(OR($A124=0,$A124=""),"0",IF(LOOKUP($A124,Load_Switch_NFET[PARTNUMBER],Load_Switch_NFET[RDSON6])="(NULL)","0","1"))</f>
        <v>0</v>
      </c>
      <c r="G124" s="30" t="str">
        <f>IF(OR($A124=0,$A124=""),"0",IF(LOOKUP($A124,Load_Switch_NFET[PARTNUMBER],Load_Switch_NFET[RDSON8])="(NULL)","0","1"))</f>
        <v>0</v>
      </c>
      <c r="H124" s="31" t="str">
        <f>IF(OR($A124=0,$A124=""),"0",IF(LOOKUP($A124,Load_Switch_NFET[PARTNUMBER],Load_Switch_NFET[RDSON10])="(NULL)","0","1"))</f>
        <v>0</v>
      </c>
      <c r="I124" s="24" t="b">
        <f t="shared" si="51"/>
        <v>0</v>
      </c>
      <c r="J124" s="32" t="b">
        <f t="shared" si="79"/>
        <v>0</v>
      </c>
      <c r="K124" s="33" t="b">
        <f t="shared" si="80"/>
        <v>0</v>
      </c>
      <c r="L124" s="34" t="b">
        <f t="shared" si="81"/>
        <v>0</v>
      </c>
      <c r="M124" s="35" t="b">
        <f t="shared" si="82"/>
        <v>0</v>
      </c>
      <c r="N124" s="36" t="b">
        <f t="shared" si="83"/>
        <v>0</v>
      </c>
      <c r="O124" s="37" t="b">
        <f t="shared" si="84"/>
        <v>0</v>
      </c>
      <c r="P124" s="18" t="b">
        <f t="shared" si="58"/>
        <v>0</v>
      </c>
      <c r="Q124" s="24" t="b">
        <f t="shared" si="59"/>
        <v>0</v>
      </c>
      <c r="R124" s="32" t="b">
        <f t="shared" si="85"/>
        <v>0</v>
      </c>
      <c r="S124" s="33" t="b">
        <f t="shared" si="86"/>
        <v>0</v>
      </c>
      <c r="T124" s="34" t="b">
        <f t="shared" si="87"/>
        <v>0</v>
      </c>
      <c r="U124" s="35" t="b">
        <f t="shared" si="88"/>
        <v>0</v>
      </c>
      <c r="V124" s="36" t="b">
        <f t="shared" si="89"/>
        <v>0</v>
      </c>
      <c r="W124" s="37" t="b">
        <f t="shared" si="90"/>
        <v>0</v>
      </c>
      <c r="X124" s="6" t="str">
        <f>IF(W124,LOOKUP(A124,Load_Switch_NFET[PARTNUMBER],Load_Switch_NFET[RDSON10])*1000,IF(V124,LOOKUP(A124,Load_Switch_NFET[PARTNUMBER],Load_Switch_NFET[RDSON8])*1000,IF(U124,LOOKUP(A124,Load_Switch_NFET[PARTNUMBER],Load_Switch_NFET[RDSON6])*1000,IF(T124,LOOKUP(A124,Load_Switch_NFET[PARTNUMBER],Load_Switch_NFET[RDSON45])*1000,IF(S124,LOOKUP(A124,Load_Switch_NFET[PARTNUMBER],Load_Switch_NFET[RDSON3])*1000,IF(R124,LOOKUP(A124,Load_Switch_NFET[PARTNUMBER],Load_Switch_NFET[RDSON25])*1000,IF(Q124,LOOKUP(A124,Load_Switch_NFET[PARTNUMBER],Load_Switch_NFET[RDSON18])*1000,"")))))))</f>
        <v/>
      </c>
      <c r="Y124" s="19"/>
      <c r="AB124" s="6" t="str">
        <f t="shared" si="66"/>
        <v>#N/A</v>
      </c>
      <c r="AM124" s="49" t="str">
        <f t="shared" si="70"/>
        <v/>
      </c>
      <c r="AN124" s="46" t="str">
        <f>IF(AND($A124&lt;&gt;0,$A124&lt;&gt;""),LOOKUP($A124,Load_Switch_NFET[PARTNUMBER],Load_Switch_NFET[1KPRICE]),"")</f>
        <v/>
      </c>
      <c r="AP124" s="6" t="str">
        <f t="shared" si="71"/>
        <v>Invalid Part</v>
      </c>
    </row>
    <row r="125" spans="1:48" x14ac:dyDescent="0.25">
      <c r="A125" s="6">
        <f>IF(CH="N",NLogic!B125,"")</f>
        <v>0</v>
      </c>
      <c r="B125" s="23" t="str">
        <f>IF(OR($A125=0,$A125=""),"0",IF(LOOKUP($A125,Load_Switch_NFET[PARTNUMBER],Load_Switch_NFET[RDSON18])="(NULL)","0","1"))</f>
        <v>0</v>
      </c>
      <c r="C125" s="26" t="str">
        <f>IF(OR($A125=0,$A125=""),"0",IF(LOOKUP($A125,Load_Switch_NFET[PARTNUMBER],Load_Switch_NFET[RDSON25])="(NULL)","0","1"))</f>
        <v>0</v>
      </c>
      <c r="D125" s="27" t="str">
        <f>IF(OR($A125=0,$A125=""),"0",IF(LOOKUP($A125,Load_Switch_NFET[PARTNUMBER],Load_Switch_NFET[RDSON3])="(NULL)","0","1"))</f>
        <v>0</v>
      </c>
      <c r="E125" s="28" t="str">
        <f>IF(OR($A125=0,$A125=""),"0",IF(LOOKUP($A125,Load_Switch_NFET[PARTNUMBER],Load_Switch_NFET[RDSON45])="(NULL)","0","1"))</f>
        <v>0</v>
      </c>
      <c r="F125" s="29" t="str">
        <f>IF(OR($A125=0,$A125=""),"0",IF(LOOKUP($A125,Load_Switch_NFET[PARTNUMBER],Load_Switch_NFET[RDSON6])="(NULL)","0","1"))</f>
        <v>0</v>
      </c>
      <c r="G125" s="30" t="str">
        <f>IF(OR($A125=0,$A125=""),"0",IF(LOOKUP($A125,Load_Switch_NFET[PARTNUMBER],Load_Switch_NFET[RDSON8])="(NULL)","0","1"))</f>
        <v>0</v>
      </c>
      <c r="H125" s="31" t="str">
        <f>IF(OR($A125=0,$A125=""),"0",IF(LOOKUP($A125,Load_Switch_NFET[PARTNUMBER],Load_Switch_NFET[RDSON10])="(NULL)","0","1"))</f>
        <v>0</v>
      </c>
      <c r="I125" s="24" t="b">
        <f t="shared" si="51"/>
        <v>0</v>
      </c>
      <c r="J125" s="32" t="b">
        <f t="shared" si="79"/>
        <v>0</v>
      </c>
      <c r="K125" s="33" t="b">
        <f t="shared" si="80"/>
        <v>0</v>
      </c>
      <c r="L125" s="34" t="b">
        <f t="shared" si="81"/>
        <v>0</v>
      </c>
      <c r="M125" s="35" t="b">
        <f t="shared" si="82"/>
        <v>0</v>
      </c>
      <c r="N125" s="36" t="b">
        <f t="shared" si="83"/>
        <v>0</v>
      </c>
      <c r="O125" s="37" t="b">
        <f t="shared" si="84"/>
        <v>0</v>
      </c>
      <c r="P125" s="18" t="b">
        <f t="shared" si="58"/>
        <v>0</v>
      </c>
      <c r="Q125" s="24" t="b">
        <f t="shared" si="59"/>
        <v>0</v>
      </c>
      <c r="R125" s="32" t="b">
        <f t="shared" si="85"/>
        <v>0</v>
      </c>
      <c r="S125" s="33" t="b">
        <f t="shared" si="86"/>
        <v>0</v>
      </c>
      <c r="T125" s="34" t="b">
        <f t="shared" si="87"/>
        <v>0</v>
      </c>
      <c r="U125" s="35" t="b">
        <f t="shared" si="88"/>
        <v>0</v>
      </c>
      <c r="V125" s="36" t="b">
        <f t="shared" si="89"/>
        <v>0</v>
      </c>
      <c r="W125" s="37" t="b">
        <f t="shared" si="90"/>
        <v>0</v>
      </c>
      <c r="X125" s="6" t="str">
        <f>IF(W125,LOOKUP(A125,Load_Switch_NFET[PARTNUMBER],Load_Switch_NFET[RDSON10])*1000,IF(V125,LOOKUP(A125,Load_Switch_NFET[PARTNUMBER],Load_Switch_NFET[RDSON8])*1000,IF(U125,LOOKUP(A125,Load_Switch_NFET[PARTNUMBER],Load_Switch_NFET[RDSON6])*1000,IF(T125,LOOKUP(A125,Load_Switch_NFET[PARTNUMBER],Load_Switch_NFET[RDSON45])*1000,IF(S125,LOOKUP(A125,Load_Switch_NFET[PARTNUMBER],Load_Switch_NFET[RDSON3])*1000,IF(R125,LOOKUP(A125,Load_Switch_NFET[PARTNUMBER],Load_Switch_NFET[RDSON25])*1000,IF(Q125,LOOKUP(A125,Load_Switch_NFET[PARTNUMBER],Load_Switch_NFET[RDSON18])*1000,"")))))))</f>
        <v/>
      </c>
      <c r="Y125" s="19"/>
      <c r="AB125" s="6" t="str">
        <f t="shared" si="66"/>
        <v>#N/A</v>
      </c>
      <c r="AM125" s="49" t="str">
        <f t="shared" si="70"/>
        <v/>
      </c>
      <c r="AN125" s="46" t="str">
        <f>IF(AND($A125&lt;&gt;0,$A125&lt;&gt;""),LOOKUP($A125,Load_Switch_NFET[PARTNUMBER],Load_Switch_NFET[1KPRICE]),"")</f>
        <v/>
      </c>
      <c r="AP125" s="6" t="str">
        <f t="shared" si="71"/>
        <v>Invalid Part</v>
      </c>
    </row>
    <row r="126" spans="1:48" x14ac:dyDescent="0.25">
      <c r="A126" s="6">
        <f>IF(CH="N",NLogic!B126,"")</f>
        <v>0</v>
      </c>
      <c r="B126" s="23" t="str">
        <f>IF(OR($A126=0,$A126=""),"0",IF(LOOKUP($A126,Load_Switch_NFET[PARTNUMBER],Load_Switch_NFET[RDSON18])="(NULL)","0","1"))</f>
        <v>0</v>
      </c>
      <c r="C126" s="26" t="str">
        <f>IF(OR($A126=0,$A126=""),"0",IF(LOOKUP($A126,Load_Switch_NFET[PARTNUMBER],Load_Switch_NFET[RDSON25])="(NULL)","0","1"))</f>
        <v>0</v>
      </c>
      <c r="D126" s="27" t="str">
        <f>IF(OR($A126=0,$A126=""),"0",IF(LOOKUP($A126,Load_Switch_NFET[PARTNUMBER],Load_Switch_NFET[RDSON3])="(NULL)","0","1"))</f>
        <v>0</v>
      </c>
      <c r="E126" s="28" t="str">
        <f>IF(OR($A126=0,$A126=""),"0",IF(LOOKUP($A126,Load_Switch_NFET[PARTNUMBER],Load_Switch_NFET[RDSON45])="(NULL)","0","1"))</f>
        <v>0</v>
      </c>
      <c r="F126" s="29" t="str">
        <f>IF(OR($A126=0,$A126=""),"0",IF(LOOKUP($A126,Load_Switch_NFET[PARTNUMBER],Load_Switch_NFET[RDSON6])="(NULL)","0","1"))</f>
        <v>0</v>
      </c>
      <c r="G126" s="30" t="str">
        <f>IF(OR($A126=0,$A126=""),"0",IF(LOOKUP($A126,Load_Switch_NFET[PARTNUMBER],Load_Switch_NFET[RDSON8])="(NULL)","0","1"))</f>
        <v>0</v>
      </c>
      <c r="H126" s="31" t="str">
        <f>IF(OR($A126=0,$A126=""),"0",IF(LOOKUP($A126,Load_Switch_NFET[PARTNUMBER],Load_Switch_NFET[RDSON10])="(NULL)","0","1"))</f>
        <v>0</v>
      </c>
      <c r="I126" s="24" t="b">
        <f t="shared" si="51"/>
        <v>0</v>
      </c>
      <c r="J126" s="32" t="b">
        <f t="shared" si="79"/>
        <v>0</v>
      </c>
      <c r="K126" s="33" t="b">
        <f t="shared" si="80"/>
        <v>0</v>
      </c>
      <c r="L126" s="34" t="b">
        <f t="shared" si="81"/>
        <v>0</v>
      </c>
      <c r="M126" s="35" t="b">
        <f t="shared" si="82"/>
        <v>0</v>
      </c>
      <c r="N126" s="36" t="b">
        <f t="shared" si="83"/>
        <v>0</v>
      </c>
      <c r="O126" s="37" t="b">
        <f t="shared" si="84"/>
        <v>0</v>
      </c>
      <c r="P126" s="18" t="b">
        <f t="shared" si="58"/>
        <v>0</v>
      </c>
      <c r="Q126" s="24" t="b">
        <f t="shared" si="59"/>
        <v>0</v>
      </c>
      <c r="R126" s="32" t="b">
        <f t="shared" si="85"/>
        <v>0</v>
      </c>
      <c r="S126" s="33" t="b">
        <f t="shared" si="86"/>
        <v>0</v>
      </c>
      <c r="T126" s="34" t="b">
        <f t="shared" si="87"/>
        <v>0</v>
      </c>
      <c r="U126" s="35" t="b">
        <f t="shared" si="88"/>
        <v>0</v>
      </c>
      <c r="V126" s="36" t="b">
        <f t="shared" si="89"/>
        <v>0</v>
      </c>
      <c r="W126" s="37" t="b">
        <f t="shared" si="90"/>
        <v>0</v>
      </c>
      <c r="X126" s="6" t="str">
        <f>IF(W126,LOOKUP(A126,Load_Switch_NFET[PARTNUMBER],Load_Switch_NFET[RDSON10])*1000,IF(V126,LOOKUP(A126,Load_Switch_NFET[PARTNUMBER],Load_Switch_NFET[RDSON8])*1000,IF(U126,LOOKUP(A126,Load_Switch_NFET[PARTNUMBER],Load_Switch_NFET[RDSON6])*1000,IF(T126,LOOKUP(A126,Load_Switch_NFET[PARTNUMBER],Load_Switch_NFET[RDSON45])*1000,IF(S126,LOOKUP(A126,Load_Switch_NFET[PARTNUMBER],Load_Switch_NFET[RDSON3])*1000,IF(R126,LOOKUP(A126,Load_Switch_NFET[PARTNUMBER],Load_Switch_NFET[RDSON25])*1000,IF(Q126,LOOKUP(A126,Load_Switch_NFET[PARTNUMBER],Load_Switch_NFET[RDSON18])*1000,"")))))))</f>
        <v/>
      </c>
      <c r="Y126" s="19"/>
      <c r="AB126" s="6" t="str">
        <f t="shared" si="66"/>
        <v>#N/A</v>
      </c>
      <c r="AM126" s="49" t="str">
        <f t="shared" si="70"/>
        <v/>
      </c>
      <c r="AN126" s="46" t="str">
        <f>IF(AND($A126&lt;&gt;0,$A126&lt;&gt;""),LOOKUP($A126,Load_Switch_NFET[PARTNUMBER],Load_Switch_NFET[1KPRICE]),"")</f>
        <v/>
      </c>
      <c r="AP126" s="6" t="str">
        <f t="shared" si="71"/>
        <v>Invalid Part</v>
      </c>
    </row>
    <row r="127" spans="1:48" x14ac:dyDescent="0.25">
      <c r="A127" s="6">
        <f>IF(CH="N",NLogic!B127,"")</f>
        <v>0</v>
      </c>
      <c r="B127" s="23" t="str">
        <f>IF(OR($A127=0,$A127=""),"0",IF(LOOKUP($A127,Load_Switch_NFET[PARTNUMBER],Load_Switch_NFET[RDSON18])="(NULL)","0","1"))</f>
        <v>0</v>
      </c>
      <c r="C127" s="26" t="str">
        <f>IF(OR($A127=0,$A127=""),"0",IF(LOOKUP($A127,Load_Switch_NFET[PARTNUMBER],Load_Switch_NFET[RDSON25])="(NULL)","0","1"))</f>
        <v>0</v>
      </c>
      <c r="D127" s="27" t="str">
        <f>IF(OR($A127=0,$A127=""),"0",IF(LOOKUP($A127,Load_Switch_NFET[PARTNUMBER],Load_Switch_NFET[RDSON3])="(NULL)","0","1"))</f>
        <v>0</v>
      </c>
      <c r="E127" s="28" t="str">
        <f>IF(OR($A127=0,$A127=""),"0",IF(LOOKUP($A127,Load_Switch_NFET[PARTNUMBER],Load_Switch_NFET[RDSON45])="(NULL)","0","1"))</f>
        <v>0</v>
      </c>
      <c r="F127" s="29" t="str">
        <f>IF(OR($A127=0,$A127=""),"0",IF(LOOKUP($A127,Load_Switch_NFET[PARTNUMBER],Load_Switch_NFET[RDSON6])="(NULL)","0","1"))</f>
        <v>0</v>
      </c>
      <c r="G127" s="30" t="str">
        <f>IF(OR($A127=0,$A127=""),"0",IF(LOOKUP($A127,Load_Switch_NFET[PARTNUMBER],Load_Switch_NFET[RDSON8])="(NULL)","0","1"))</f>
        <v>0</v>
      </c>
      <c r="H127" s="31" t="str">
        <f>IF(OR($A127=0,$A127=""),"0",IF(LOOKUP($A127,Load_Switch_NFET[PARTNUMBER],Load_Switch_NFET[RDSON10])="(NULL)","0","1"))</f>
        <v>0</v>
      </c>
      <c r="I127" s="24" t="b">
        <f t="shared" si="51"/>
        <v>0</v>
      </c>
      <c r="J127" s="32" t="b">
        <f t="shared" si="79"/>
        <v>0</v>
      </c>
      <c r="K127" s="33" t="b">
        <f t="shared" si="80"/>
        <v>0</v>
      </c>
      <c r="L127" s="34" t="b">
        <f t="shared" si="81"/>
        <v>0</v>
      </c>
      <c r="M127" s="35" t="b">
        <f t="shared" si="82"/>
        <v>0</v>
      </c>
      <c r="N127" s="36" t="b">
        <f t="shared" si="83"/>
        <v>0</v>
      </c>
      <c r="O127" s="37" t="b">
        <f t="shared" si="84"/>
        <v>0</v>
      </c>
      <c r="P127" s="18" t="b">
        <f t="shared" si="58"/>
        <v>0</v>
      </c>
      <c r="Q127" s="24" t="b">
        <f t="shared" si="59"/>
        <v>0</v>
      </c>
      <c r="R127" s="32" t="b">
        <f t="shared" si="85"/>
        <v>0</v>
      </c>
      <c r="S127" s="33" t="b">
        <f t="shared" si="86"/>
        <v>0</v>
      </c>
      <c r="T127" s="34" t="b">
        <f t="shared" si="87"/>
        <v>0</v>
      </c>
      <c r="U127" s="35" t="b">
        <f t="shared" si="88"/>
        <v>0</v>
      </c>
      <c r="V127" s="36" t="b">
        <f t="shared" si="89"/>
        <v>0</v>
      </c>
      <c r="W127" s="37" t="b">
        <f t="shared" si="90"/>
        <v>0</v>
      </c>
      <c r="X127" s="6" t="str">
        <f>IF(W127,LOOKUP(A127,Load_Switch_NFET[PARTNUMBER],Load_Switch_NFET[RDSON10])*1000,IF(V127,LOOKUP(A127,Load_Switch_NFET[PARTNUMBER],Load_Switch_NFET[RDSON8])*1000,IF(U127,LOOKUP(A127,Load_Switch_NFET[PARTNUMBER],Load_Switch_NFET[RDSON6])*1000,IF(T127,LOOKUP(A127,Load_Switch_NFET[PARTNUMBER],Load_Switch_NFET[RDSON45])*1000,IF(S127,LOOKUP(A127,Load_Switch_NFET[PARTNUMBER],Load_Switch_NFET[RDSON3])*1000,IF(R127,LOOKUP(A127,Load_Switch_NFET[PARTNUMBER],Load_Switch_NFET[RDSON25])*1000,IF(Q127,LOOKUP(A127,Load_Switch_NFET[PARTNUMBER],Load_Switch_NFET[RDSON18])*1000,"")))))))</f>
        <v/>
      </c>
      <c r="Y127" s="19"/>
      <c r="AB127" s="6" t="str">
        <f t="shared" si="66"/>
        <v>#N/A</v>
      </c>
      <c r="AM127" s="49" t="str">
        <f t="shared" si="70"/>
        <v/>
      </c>
      <c r="AN127" s="46" t="str">
        <f>IF(AND($A127&lt;&gt;0,$A127&lt;&gt;""),LOOKUP($A127,Load_Switch_NFET[PARTNUMBER],Load_Switch_NFET[1KPRICE]),"")</f>
        <v/>
      </c>
      <c r="AP127" s="6" t="str">
        <f t="shared" si="71"/>
        <v>Invalid Part</v>
      </c>
    </row>
    <row r="128" spans="1:48" x14ac:dyDescent="0.25">
      <c r="A128" s="6">
        <f>IF(CH="N",NLogic!B128,"")</f>
        <v>0</v>
      </c>
      <c r="B128" s="23" t="str">
        <f>IF(OR($A128=0,$A128=""),"0",IF(LOOKUP($A128,Load_Switch_NFET[PARTNUMBER],Load_Switch_NFET[RDSON18])="(NULL)","0","1"))</f>
        <v>0</v>
      </c>
      <c r="C128" s="26" t="str">
        <f>IF(OR($A128=0,$A128=""),"0",IF(LOOKUP($A128,Load_Switch_NFET[PARTNUMBER],Load_Switch_NFET[RDSON25])="(NULL)","0","1"))</f>
        <v>0</v>
      </c>
      <c r="D128" s="27" t="str">
        <f>IF(OR($A128=0,$A128=""),"0",IF(LOOKUP($A128,Load_Switch_NFET[PARTNUMBER],Load_Switch_NFET[RDSON3])="(NULL)","0","1"))</f>
        <v>0</v>
      </c>
      <c r="E128" s="28" t="str">
        <f>IF(OR($A128=0,$A128=""),"0",IF(LOOKUP($A128,Load_Switch_NFET[PARTNUMBER],Load_Switch_NFET[RDSON45])="(NULL)","0","1"))</f>
        <v>0</v>
      </c>
      <c r="F128" s="29" t="str">
        <f>IF(OR($A128=0,$A128=""),"0",IF(LOOKUP($A128,Load_Switch_NFET[PARTNUMBER],Load_Switch_NFET[RDSON6])="(NULL)","0","1"))</f>
        <v>0</v>
      </c>
      <c r="G128" s="30" t="str">
        <f>IF(OR($A128=0,$A128=""),"0",IF(LOOKUP($A128,Load_Switch_NFET[PARTNUMBER],Load_Switch_NFET[RDSON8])="(NULL)","0","1"))</f>
        <v>0</v>
      </c>
      <c r="H128" s="31" t="str">
        <f>IF(OR($A128=0,$A128=""),"0",IF(LOOKUP($A128,Load_Switch_NFET[PARTNUMBER],Load_Switch_NFET[RDSON10])="(NULL)","0","1"))</f>
        <v>0</v>
      </c>
      <c r="I128" s="24" t="b">
        <f t="shared" si="51"/>
        <v>0</v>
      </c>
      <c r="J128" s="32" t="b">
        <f t="shared" si="79"/>
        <v>0</v>
      </c>
      <c r="K128" s="33" t="b">
        <f t="shared" si="80"/>
        <v>0</v>
      </c>
      <c r="L128" s="34" t="b">
        <f t="shared" si="81"/>
        <v>0</v>
      </c>
      <c r="M128" s="35" t="b">
        <f t="shared" si="82"/>
        <v>0</v>
      </c>
      <c r="N128" s="36" t="b">
        <f t="shared" si="83"/>
        <v>0</v>
      </c>
      <c r="O128" s="37" t="b">
        <f t="shared" si="84"/>
        <v>0</v>
      </c>
      <c r="P128" s="18" t="b">
        <f t="shared" si="58"/>
        <v>0</v>
      </c>
      <c r="Q128" s="24" t="b">
        <f t="shared" si="59"/>
        <v>0</v>
      </c>
      <c r="R128" s="32" t="b">
        <f t="shared" si="85"/>
        <v>0</v>
      </c>
      <c r="S128" s="33" t="b">
        <f t="shared" si="86"/>
        <v>0</v>
      </c>
      <c r="T128" s="34" t="b">
        <f t="shared" si="87"/>
        <v>0</v>
      </c>
      <c r="U128" s="35" t="b">
        <f t="shared" si="88"/>
        <v>0</v>
      </c>
      <c r="V128" s="36" t="b">
        <f t="shared" si="89"/>
        <v>0</v>
      </c>
      <c r="W128" s="37" t="b">
        <f t="shared" si="90"/>
        <v>0</v>
      </c>
      <c r="X128" s="6" t="str">
        <f>IF(W128,LOOKUP(A128,Load_Switch_NFET[PARTNUMBER],Load_Switch_NFET[RDSON10])*1000,IF(V128,LOOKUP(A128,Load_Switch_NFET[PARTNUMBER],Load_Switch_NFET[RDSON8])*1000,IF(U128,LOOKUP(A128,Load_Switch_NFET[PARTNUMBER],Load_Switch_NFET[RDSON6])*1000,IF(T128,LOOKUP(A128,Load_Switch_NFET[PARTNUMBER],Load_Switch_NFET[RDSON45])*1000,IF(S128,LOOKUP(A128,Load_Switch_NFET[PARTNUMBER],Load_Switch_NFET[RDSON3])*1000,IF(R128,LOOKUP(A128,Load_Switch_NFET[PARTNUMBER],Load_Switch_NFET[RDSON25])*1000,IF(Q128,LOOKUP(A128,Load_Switch_NFET[PARTNUMBER],Load_Switch_NFET[RDSON18])*1000,"")))))))</f>
        <v/>
      </c>
      <c r="Y128" s="19"/>
      <c r="AB128" s="6" t="str">
        <f t="shared" si="66"/>
        <v>#N/A</v>
      </c>
      <c r="AM128" s="49" t="str">
        <f t="shared" si="70"/>
        <v/>
      </c>
      <c r="AN128" s="46" t="str">
        <f>IF(AND($A128&lt;&gt;0,$A128&lt;&gt;""),LOOKUP($A128,Load_Switch_NFET[PARTNUMBER],Load_Switch_NFET[1KPRICE]),"")</f>
        <v/>
      </c>
      <c r="AP128" s="6" t="str">
        <f t="shared" si="71"/>
        <v>Invalid Part</v>
      </c>
    </row>
    <row r="129" spans="1:48" x14ac:dyDescent="0.25">
      <c r="A129" s="6">
        <f>IF(CH="N",NLogic!B129,"")</f>
        <v>0</v>
      </c>
      <c r="B129" s="23" t="str">
        <f>IF(OR($A129=0,$A129=""),"0",IF(LOOKUP($A129,Load_Switch_NFET[PARTNUMBER],Load_Switch_NFET[RDSON18])="(NULL)","0","1"))</f>
        <v>0</v>
      </c>
      <c r="C129" s="26" t="str">
        <f>IF(OR($A129=0,$A129=""),"0",IF(LOOKUP($A129,Load_Switch_NFET[PARTNUMBER],Load_Switch_NFET[RDSON25])="(NULL)","0","1"))</f>
        <v>0</v>
      </c>
      <c r="D129" s="27" t="str">
        <f>IF(OR($A129=0,$A129=""),"0",IF(LOOKUP($A129,Load_Switch_NFET[PARTNUMBER],Load_Switch_NFET[RDSON3])="(NULL)","0","1"))</f>
        <v>0</v>
      </c>
      <c r="E129" s="28" t="str">
        <f>IF(OR($A129=0,$A129=""),"0",IF(LOOKUP($A129,Load_Switch_NFET[PARTNUMBER],Load_Switch_NFET[RDSON45])="(NULL)","0","1"))</f>
        <v>0</v>
      </c>
      <c r="F129" s="29" t="str">
        <f>IF(OR($A129=0,$A129=""),"0",IF(LOOKUP($A129,Load_Switch_NFET[PARTNUMBER],Load_Switch_NFET[RDSON6])="(NULL)","0","1"))</f>
        <v>0</v>
      </c>
      <c r="G129" s="30" t="str">
        <f>IF(OR($A129=0,$A129=""),"0",IF(LOOKUP($A129,Load_Switch_NFET[PARTNUMBER],Load_Switch_NFET[RDSON8])="(NULL)","0","1"))</f>
        <v>0</v>
      </c>
      <c r="H129" s="31" t="str">
        <f>IF(OR($A129=0,$A129=""),"0",IF(LOOKUP($A129,Load_Switch_NFET[PARTNUMBER],Load_Switch_NFET[RDSON10])="(NULL)","0","1"))</f>
        <v>0</v>
      </c>
      <c r="I129" s="24" t="b">
        <f t="shared" si="51"/>
        <v>0</v>
      </c>
      <c r="J129" s="32" t="b">
        <f t="shared" si="79"/>
        <v>0</v>
      </c>
      <c r="K129" s="33" t="b">
        <f t="shared" si="80"/>
        <v>0</v>
      </c>
      <c r="L129" s="34" t="b">
        <f t="shared" si="81"/>
        <v>0</v>
      </c>
      <c r="M129" s="35" t="b">
        <f t="shared" si="82"/>
        <v>0</v>
      </c>
      <c r="N129" s="36" t="b">
        <f t="shared" si="83"/>
        <v>0</v>
      </c>
      <c r="O129" s="37" t="b">
        <f t="shared" si="84"/>
        <v>0</v>
      </c>
      <c r="P129" s="18" t="b">
        <f t="shared" si="58"/>
        <v>0</v>
      </c>
      <c r="Q129" s="24" t="b">
        <f t="shared" si="59"/>
        <v>0</v>
      </c>
      <c r="R129" s="32" t="b">
        <f t="shared" si="85"/>
        <v>0</v>
      </c>
      <c r="S129" s="33" t="b">
        <f t="shared" si="86"/>
        <v>0</v>
      </c>
      <c r="T129" s="34" t="b">
        <f t="shared" si="87"/>
        <v>0</v>
      </c>
      <c r="U129" s="35" t="b">
        <f t="shared" si="88"/>
        <v>0</v>
      </c>
      <c r="V129" s="36" t="b">
        <f t="shared" si="89"/>
        <v>0</v>
      </c>
      <c r="W129" s="37" t="b">
        <f t="shared" si="90"/>
        <v>0</v>
      </c>
      <c r="X129" s="6" t="str">
        <f>IF(W129,LOOKUP(A129,Load_Switch_NFET[PARTNUMBER],Load_Switch_NFET[RDSON10])*1000,IF(V129,LOOKUP(A129,Load_Switch_NFET[PARTNUMBER],Load_Switch_NFET[RDSON8])*1000,IF(U129,LOOKUP(A129,Load_Switch_NFET[PARTNUMBER],Load_Switch_NFET[RDSON6])*1000,IF(T129,LOOKUP(A129,Load_Switch_NFET[PARTNUMBER],Load_Switch_NFET[RDSON45])*1000,IF(S129,LOOKUP(A129,Load_Switch_NFET[PARTNUMBER],Load_Switch_NFET[RDSON3])*1000,IF(R129,LOOKUP(A129,Load_Switch_NFET[PARTNUMBER],Load_Switch_NFET[RDSON25])*1000,IF(Q129,LOOKUP(A129,Load_Switch_NFET[PARTNUMBER],Load_Switch_NFET[RDSON18])*1000,"")))))))</f>
        <v/>
      </c>
      <c r="Y129" s="19"/>
      <c r="AB129" s="6" t="str">
        <f t="shared" si="66"/>
        <v>#N/A</v>
      </c>
      <c r="AM129" s="49" t="str">
        <f t="shared" si="70"/>
        <v/>
      </c>
      <c r="AN129" s="46" t="str">
        <f>IF(AND($A129&lt;&gt;0,$A129&lt;&gt;""),LOOKUP($A129,Load_Switch_NFET[PARTNUMBER],Load_Switch_NFET[1KPRICE]),"")</f>
        <v/>
      </c>
      <c r="AP129" s="6" t="str">
        <f t="shared" si="71"/>
        <v>Invalid Part</v>
      </c>
    </row>
    <row r="130" spans="1:48" s="45" customFormat="1" ht="15.75" thickBot="1" x14ac:dyDescent="0.3">
      <c r="A130" s="25">
        <f>IF(CH="N",NLogic!B130,"")</f>
        <v>0</v>
      </c>
      <c r="B130" s="41" t="str">
        <f>IF(OR($A130=0,$A130=""),"0",IF(LOOKUP($A130,Load_Switch_NFET[PARTNUMBER],Load_Switch_NFET[RDSON18])="(NULL)","0","1"))</f>
        <v>0</v>
      </c>
      <c r="C130" s="26" t="str">
        <f>IF(OR($A130=0,$A130=""),"0",IF(LOOKUP($A130,Load_Switch_NFET[PARTNUMBER],Load_Switch_NFET[RDSON25])="(NULL)","0","1"))</f>
        <v>0</v>
      </c>
      <c r="D130" s="27" t="str">
        <f>IF(OR($A130=0,$A130=""),"0",IF(LOOKUP($A130,Load_Switch_NFET[PARTNUMBER],Load_Switch_NFET[RDSON3])="(NULL)","0","1"))</f>
        <v>0</v>
      </c>
      <c r="E130" s="28" t="str">
        <f>IF(OR($A130=0,$A130=""),"0",IF(LOOKUP($A130,Load_Switch_NFET[PARTNUMBER],Load_Switch_NFET[RDSON45])="(NULL)","0","1"))</f>
        <v>0</v>
      </c>
      <c r="F130" s="29" t="str">
        <f>IF(OR($A130=0,$A130=""),"0",IF(LOOKUP($A130,Load_Switch_NFET[PARTNUMBER],Load_Switch_NFET[RDSON6])="(NULL)","0","1"))</f>
        <v>0</v>
      </c>
      <c r="G130" s="30" t="str">
        <f>IF(OR($A130=0,$A130=""),"0",IF(LOOKUP($A130,Load_Switch_NFET[PARTNUMBER],Load_Switch_NFET[RDSON8])="(NULL)","0","1"))</f>
        <v>0</v>
      </c>
      <c r="H130" s="31" t="str">
        <f>IF(OR($A130=0,$A130=""),"0",IF(LOOKUP($A130,Load_Switch_NFET[PARTNUMBER],Load_Switch_NFET[RDSON10])="(NULL)","0","1"))</f>
        <v>0</v>
      </c>
      <c r="I130" s="42" t="b">
        <f t="shared" si="51"/>
        <v>0</v>
      </c>
      <c r="J130" s="32" t="b">
        <f t="shared" si="79"/>
        <v>0</v>
      </c>
      <c r="K130" s="33" t="b">
        <f t="shared" si="80"/>
        <v>0</v>
      </c>
      <c r="L130" s="34" t="b">
        <f t="shared" si="81"/>
        <v>0</v>
      </c>
      <c r="M130" s="35" t="b">
        <f t="shared" si="82"/>
        <v>0</v>
      </c>
      <c r="N130" s="36" t="b">
        <f t="shared" si="83"/>
        <v>0</v>
      </c>
      <c r="O130" s="37" t="b">
        <f t="shared" si="84"/>
        <v>0</v>
      </c>
      <c r="P130" s="43" t="b">
        <f t="shared" si="58"/>
        <v>0</v>
      </c>
      <c r="Q130" s="42" t="b">
        <f t="shared" si="59"/>
        <v>0</v>
      </c>
      <c r="R130" s="32" t="b">
        <f t="shared" si="85"/>
        <v>0</v>
      </c>
      <c r="S130" s="33" t="b">
        <f t="shared" si="86"/>
        <v>0</v>
      </c>
      <c r="T130" s="34" t="b">
        <f t="shared" si="87"/>
        <v>0</v>
      </c>
      <c r="U130" s="35" t="b">
        <f t="shared" si="88"/>
        <v>0</v>
      </c>
      <c r="V130" s="36" t="b">
        <f t="shared" si="89"/>
        <v>0</v>
      </c>
      <c r="W130" s="37" t="b">
        <f t="shared" si="90"/>
        <v>0</v>
      </c>
      <c r="X130" s="25" t="str">
        <f>IF(W130,LOOKUP(A130,Load_Switch_NFET[PARTNUMBER],Load_Switch_NFET[RDSON10])*1000,IF(V130,LOOKUP(A130,Load_Switch_NFET[PARTNUMBER],Load_Switch_NFET[RDSON8])*1000,IF(U130,LOOKUP(A130,Load_Switch_NFET[PARTNUMBER],Load_Switch_NFET[RDSON6])*1000,IF(T130,LOOKUP(A130,Load_Switch_NFET[PARTNUMBER],Load_Switch_NFET[RDSON45])*1000,IF(S130,LOOKUP(A130,Load_Switch_NFET[PARTNUMBER],Load_Switch_NFET[RDSON3])*1000,IF(R130,LOOKUP(A130,Load_Switch_NFET[PARTNUMBER],Load_Switch_NFET[RDSON25])*1000,IF(Q130,LOOKUP(A130,Load_Switch_NFET[PARTNUMBER],Load_Switch_NFET[RDSON18])*1000,"")))))))</f>
        <v/>
      </c>
      <c r="Y130" s="38"/>
      <c r="Z130" s="25"/>
      <c r="AA130" s="25"/>
      <c r="AB130" s="25" t="str">
        <f t="shared" si="66"/>
        <v>#N/A</v>
      </c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50" t="str">
        <f t="shared" ref="AM130" si="91">IF(AND($A130&lt;&gt;0,$A130&lt;&gt;""),ROUND(SUM(AL130:AL130),3),"")</f>
        <v/>
      </c>
      <c r="AN130" s="51" t="str">
        <f>IF(AND($A130&lt;&gt;0,$A130&lt;&gt;""),LOOKUP($A130,Load_Switch_NFET[PARTNUMBER],Load_Switch_NFET[1KPRICE]),"")</f>
        <v/>
      </c>
      <c r="AO130" s="25"/>
      <c r="AP130" s="25" t="str">
        <f t="shared" ref="AP130" si="92">IF(AND($A130&lt;&gt;0,$A130&lt;&gt;""),CONCATENATE(A130,", ",AO130,", ",AM130,"W, $",AN130),"Invalid Part")</f>
        <v>Invalid Part</v>
      </c>
      <c r="AQ130" s="44"/>
      <c r="AR130" s="44"/>
      <c r="AS130" s="44"/>
      <c r="AT130" s="44"/>
      <c r="AU130" s="44"/>
      <c r="AV130" s="44"/>
    </row>
    <row r="131" spans="1:48" s="39" customFormat="1" x14ac:dyDescent="0.25">
      <c r="A131" s="25">
        <f>IF(CH="N",NLogic!B131,"")</f>
        <v>0</v>
      </c>
      <c r="B131" s="41" t="str">
        <f>IF(OR($A131=0,$A131=""),"0",IF(LOOKUP($A131,Load_Switch_NFET[PARTNUMBER],Load_Switch_NFET[RDSON18])="(NULL)","0","1"))</f>
        <v>0</v>
      </c>
      <c r="C131" s="26" t="str">
        <f>IF(OR($A131=0,$A131=""),"0",IF(LOOKUP($A131,Load_Switch_NFET[PARTNUMBER],Load_Switch_NFET[RDSON25])="(NULL)","0","1"))</f>
        <v>0</v>
      </c>
      <c r="D131" s="27" t="str">
        <f>IF(OR($A131=0,$A131=""),"0",IF(LOOKUP($A131,Load_Switch_NFET[PARTNUMBER],Load_Switch_NFET[RDSON3])="(NULL)","0","1"))</f>
        <v>0</v>
      </c>
      <c r="E131" s="28" t="str">
        <f>IF(OR($A131=0,$A131=""),"0",IF(LOOKUP($A131,Load_Switch_NFET[PARTNUMBER],Load_Switch_NFET[RDSON45])="(NULL)","0","1"))</f>
        <v>0</v>
      </c>
      <c r="F131" s="29" t="str">
        <f>IF(OR($A131=0,$A131=""),"0",IF(LOOKUP($A131,Load_Switch_NFET[PARTNUMBER],Load_Switch_NFET[RDSON6])="(NULL)","0","1"))</f>
        <v>0</v>
      </c>
      <c r="G131" s="30" t="str">
        <f>IF(OR($A131=0,$A131=""),"0",IF(LOOKUP($A131,Load_Switch_NFET[PARTNUMBER],Load_Switch_NFET[RDSON8])="(NULL)","0","1"))</f>
        <v>0</v>
      </c>
      <c r="H131" s="31" t="str">
        <f>IF(OR($A131=0,$A131=""),"0",IF(LOOKUP($A131,Load_Switch_NFET[PARTNUMBER],Load_Switch_NFET[RDSON10])="(NULL)","0","1"))</f>
        <v>0</v>
      </c>
      <c r="I131" s="42" t="b">
        <f t="shared" ref="I131:I144" si="93">AND(AS$2,B131="1")</f>
        <v>0</v>
      </c>
      <c r="J131" s="32" t="b">
        <f t="shared" ref="J131:J144" si="94">AND(AT$2,C131="1")</f>
        <v>0</v>
      </c>
      <c r="K131" s="33" t="b">
        <f t="shared" ref="K131:K144" si="95">AND(AU$2,D131="1")</f>
        <v>0</v>
      </c>
      <c r="L131" s="34" t="b">
        <f t="shared" ref="L131:L144" si="96">AND(AV$2,E131="1")</f>
        <v>0</v>
      </c>
      <c r="M131" s="35" t="b">
        <f t="shared" ref="M131:M144" si="97">AND(AW$2,F131="1")</f>
        <v>0</v>
      </c>
      <c r="N131" s="36" t="b">
        <f t="shared" ref="N131:N144" si="98">AND(AX$2,G131="1")</f>
        <v>0</v>
      </c>
      <c r="O131" s="37" t="b">
        <f t="shared" ref="O131:O144" si="99">AND(AY$2,H131="1")</f>
        <v>0</v>
      </c>
      <c r="P131" s="43" t="b">
        <f t="shared" ref="P131:P144" si="100">OR(I131:O131)</f>
        <v>0</v>
      </c>
      <c r="Q131" s="42" t="b">
        <f t="shared" ref="Q131:Q144" si="101">IF($P131,I131,IF((B131="1"),OR($AR$2,$AR$9)))</f>
        <v>0</v>
      </c>
      <c r="R131" s="32" t="b">
        <f t="shared" ref="R131:R144" si="102">IF($P131,J131,IF((C131="1"),OR($AR$2,$AR$9)))</f>
        <v>0</v>
      </c>
      <c r="S131" s="33" t="b">
        <f t="shared" ref="S131:S144" si="103">IF($P131,K131,IF((D131="1"),OR(AR$2,AR$9,AV$2,L131)))</f>
        <v>0</v>
      </c>
      <c r="T131" s="34" t="b">
        <f t="shared" ref="T131:T144" si="104">IF($P131,L131,IF((E131="1"),OR(AU$2,K131,AW$2,M131)))</f>
        <v>0</v>
      </c>
      <c r="U131" s="35" t="b">
        <f t="shared" ref="U131:U144" si="105">IF($P131,M131,IF((F131="1"),OR(AV$2,L131,AX$2,N131)))</f>
        <v>0</v>
      </c>
      <c r="V131" s="36" t="b">
        <f t="shared" ref="V131:V144" si="106">IF($P131,N131,IF((G131="1"),OR(AW$2,M131,AY$2,O131)))</f>
        <v>0</v>
      </c>
      <c r="W131" s="37" t="b">
        <f t="shared" ref="W131:W144" si="107">IF($P131,O131,IF((H131="1"),OR(AX$2,N131)))</f>
        <v>0</v>
      </c>
      <c r="X131" s="25" t="str">
        <f>IF(W131,LOOKUP(A131,Load_Switch_NFET[PARTNUMBER],Load_Switch_NFET[RDSON10])*1000,IF(V131,LOOKUP(A131,Load_Switch_NFET[PARTNUMBER],Load_Switch_NFET[RDSON8])*1000,IF(U131,LOOKUP(A131,Load_Switch_NFET[PARTNUMBER],Load_Switch_NFET[RDSON6])*1000,IF(T131,LOOKUP(A131,Load_Switch_NFET[PARTNUMBER],Load_Switch_NFET[RDSON45])*1000,IF(S131,LOOKUP(A131,Load_Switch_NFET[PARTNUMBER],Load_Switch_NFET[RDSON3])*1000,IF(R131,LOOKUP(A131,Load_Switch_NFET[PARTNUMBER],Load_Switch_NFET[RDSON25])*1000,IF(Q131,LOOKUP(A131,Load_Switch_NFET[PARTNUMBER],Load_Switch_NFET[RDSON18])*1000,"")))))))</f>
        <v/>
      </c>
      <c r="Y131" s="38"/>
      <c r="Z131" s="25"/>
      <c r="AA131" s="25"/>
      <c r="AB131" s="25" t="str">
        <f t="shared" ref="AB131:AB144" si="108">IF(AND(A131&lt;&gt;0,A131&lt;&gt;""),IF(B131="1",1.8,IF(C131="1",2.5,IF(D131="1",3,IF(E131="1",4.5,IF(F131="1",6,IF(G131="1",8,IF(H131="1",10))))))),"#N/A")</f>
        <v>#N/A</v>
      </c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50" t="str">
        <f t="shared" ref="AM131:AM144" si="109">IF(AND($A131&lt;&gt;0,$A131&lt;&gt;""),ROUND(SUM(AL131:AL131),3),"")</f>
        <v/>
      </c>
      <c r="AN131" s="51" t="str">
        <f>IF(AND($A131&lt;&gt;0,$A131&lt;&gt;""),LOOKUP($A131,Load_Switch_NFET[PARTNUMBER],Load_Switch_NFET[1KPRICE]),"")</f>
        <v/>
      </c>
      <c r="AO131" s="25"/>
      <c r="AP131" s="25" t="str">
        <f t="shared" ref="AP131:AP144" si="110">IF(AND($A131&lt;&gt;0,$A131&lt;&gt;""),CONCATENATE(A131,", ",AO131,", ",AM131,"W, $",AN131),"Invalid Part")</f>
        <v>Invalid Part</v>
      </c>
      <c r="AQ131" s="25"/>
      <c r="AR131" s="25"/>
      <c r="AS131" s="25"/>
      <c r="AT131" s="25"/>
      <c r="AU131" s="25"/>
      <c r="AV131" s="25"/>
    </row>
    <row r="132" spans="1:48" x14ac:dyDescent="0.25">
      <c r="A132" s="25">
        <f>IF(CH="N",NLogic!B132,"")</f>
        <v>0</v>
      </c>
      <c r="B132" s="41" t="str">
        <f>IF(OR($A132=0,$A132=""),"0",IF(LOOKUP($A132,Load_Switch_NFET[PARTNUMBER],Load_Switch_NFET[RDSON18])="(NULL)","0","1"))</f>
        <v>0</v>
      </c>
      <c r="C132" s="26" t="str">
        <f>IF(OR($A132=0,$A132=""),"0",IF(LOOKUP($A132,Load_Switch_NFET[PARTNUMBER],Load_Switch_NFET[RDSON25])="(NULL)","0","1"))</f>
        <v>0</v>
      </c>
      <c r="D132" s="27" t="str">
        <f>IF(OR($A132=0,$A132=""),"0",IF(LOOKUP($A132,Load_Switch_NFET[PARTNUMBER],Load_Switch_NFET[RDSON3])="(NULL)","0","1"))</f>
        <v>0</v>
      </c>
      <c r="E132" s="28" t="str">
        <f>IF(OR($A132=0,$A132=""),"0",IF(LOOKUP($A132,Load_Switch_NFET[PARTNUMBER],Load_Switch_NFET[RDSON45])="(NULL)","0","1"))</f>
        <v>0</v>
      </c>
      <c r="F132" s="29" t="str">
        <f>IF(OR($A132=0,$A132=""),"0",IF(LOOKUP($A132,Load_Switch_NFET[PARTNUMBER],Load_Switch_NFET[RDSON6])="(NULL)","0","1"))</f>
        <v>0</v>
      </c>
      <c r="G132" s="30" t="str">
        <f>IF(OR($A132=0,$A132=""),"0",IF(LOOKUP($A132,Load_Switch_NFET[PARTNUMBER],Load_Switch_NFET[RDSON8])="(NULL)","0","1"))</f>
        <v>0</v>
      </c>
      <c r="H132" s="31" t="str">
        <f>IF(OR($A132=0,$A132=""),"0",IF(LOOKUP($A132,Load_Switch_NFET[PARTNUMBER],Load_Switch_NFET[RDSON10])="(NULL)","0","1"))</f>
        <v>0</v>
      </c>
      <c r="I132" s="42" t="b">
        <f t="shared" si="93"/>
        <v>0</v>
      </c>
      <c r="J132" s="32" t="b">
        <f t="shared" si="94"/>
        <v>0</v>
      </c>
      <c r="K132" s="33" t="b">
        <f t="shared" si="95"/>
        <v>0</v>
      </c>
      <c r="L132" s="34" t="b">
        <f t="shared" si="96"/>
        <v>0</v>
      </c>
      <c r="M132" s="35" t="b">
        <f t="shared" si="97"/>
        <v>0</v>
      </c>
      <c r="N132" s="36" t="b">
        <f t="shared" si="98"/>
        <v>0</v>
      </c>
      <c r="O132" s="37" t="b">
        <f t="shared" si="99"/>
        <v>0</v>
      </c>
      <c r="P132" s="43" t="b">
        <f t="shared" si="100"/>
        <v>0</v>
      </c>
      <c r="Q132" s="42" t="b">
        <f t="shared" si="101"/>
        <v>0</v>
      </c>
      <c r="R132" s="32" t="b">
        <f t="shared" si="102"/>
        <v>0</v>
      </c>
      <c r="S132" s="33" t="b">
        <f t="shared" si="103"/>
        <v>0</v>
      </c>
      <c r="T132" s="34" t="b">
        <f t="shared" si="104"/>
        <v>0</v>
      </c>
      <c r="U132" s="35" t="b">
        <f t="shared" si="105"/>
        <v>0</v>
      </c>
      <c r="V132" s="36" t="b">
        <f t="shared" si="106"/>
        <v>0</v>
      </c>
      <c r="W132" s="37" t="b">
        <f t="shared" si="107"/>
        <v>0</v>
      </c>
      <c r="X132" s="25" t="str">
        <f>IF(W132,LOOKUP(A132,Load_Switch_NFET[PARTNUMBER],Load_Switch_NFET[RDSON10])*1000,IF(V132,LOOKUP(A132,Load_Switch_NFET[PARTNUMBER],Load_Switch_NFET[RDSON8])*1000,IF(U132,LOOKUP(A132,Load_Switch_NFET[PARTNUMBER],Load_Switch_NFET[RDSON6])*1000,IF(T132,LOOKUP(A132,Load_Switch_NFET[PARTNUMBER],Load_Switch_NFET[RDSON45])*1000,IF(S132,LOOKUP(A132,Load_Switch_NFET[PARTNUMBER],Load_Switch_NFET[RDSON3])*1000,IF(R132,LOOKUP(A132,Load_Switch_NFET[PARTNUMBER],Load_Switch_NFET[RDSON25])*1000,IF(Q132,LOOKUP(A132,Load_Switch_NFET[PARTNUMBER],Load_Switch_NFET[RDSON18])*1000,"")))))))</f>
        <v/>
      </c>
      <c r="Y132" s="38"/>
      <c r="Z132" s="25"/>
      <c r="AA132" s="25"/>
      <c r="AB132" s="25" t="str">
        <f t="shared" si="108"/>
        <v>#N/A</v>
      </c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50" t="str">
        <f t="shared" si="109"/>
        <v/>
      </c>
      <c r="AN132" s="51" t="str">
        <f>IF(AND($A132&lt;&gt;0,$A132&lt;&gt;""),LOOKUP($A132,Load_Switch_NFET[PARTNUMBER],Load_Switch_NFET[1KPRICE]),"")</f>
        <v/>
      </c>
      <c r="AO132" s="25"/>
      <c r="AP132" s="25" t="str">
        <f t="shared" si="110"/>
        <v>Invalid Part</v>
      </c>
    </row>
    <row r="133" spans="1:48" x14ac:dyDescent="0.25">
      <c r="A133" s="25">
        <f>IF(CH="N",NLogic!B133,"")</f>
        <v>0</v>
      </c>
      <c r="B133" s="41" t="str">
        <f>IF(OR($A133=0,$A133=""),"0",IF(LOOKUP($A133,Load_Switch_NFET[PARTNUMBER],Load_Switch_NFET[RDSON18])="(NULL)","0","1"))</f>
        <v>0</v>
      </c>
      <c r="C133" s="26" t="str">
        <f>IF(OR($A133=0,$A133=""),"0",IF(LOOKUP($A133,Load_Switch_NFET[PARTNUMBER],Load_Switch_NFET[RDSON25])="(NULL)","0","1"))</f>
        <v>0</v>
      </c>
      <c r="D133" s="27" t="str">
        <f>IF(OR($A133=0,$A133=""),"0",IF(LOOKUP($A133,Load_Switch_NFET[PARTNUMBER],Load_Switch_NFET[RDSON3])="(NULL)","0","1"))</f>
        <v>0</v>
      </c>
      <c r="E133" s="28" t="str">
        <f>IF(OR($A133=0,$A133=""),"0",IF(LOOKUP($A133,Load_Switch_NFET[PARTNUMBER],Load_Switch_NFET[RDSON45])="(NULL)","0","1"))</f>
        <v>0</v>
      </c>
      <c r="F133" s="29" t="str">
        <f>IF(OR($A133=0,$A133=""),"0",IF(LOOKUP($A133,Load_Switch_NFET[PARTNUMBER],Load_Switch_NFET[RDSON6])="(NULL)","0","1"))</f>
        <v>0</v>
      </c>
      <c r="G133" s="30" t="str">
        <f>IF(OR($A133=0,$A133=""),"0",IF(LOOKUP($A133,Load_Switch_NFET[PARTNUMBER],Load_Switch_NFET[RDSON8])="(NULL)","0","1"))</f>
        <v>0</v>
      </c>
      <c r="H133" s="31" t="str">
        <f>IF(OR($A133=0,$A133=""),"0",IF(LOOKUP($A133,Load_Switch_NFET[PARTNUMBER],Load_Switch_NFET[RDSON10])="(NULL)","0","1"))</f>
        <v>0</v>
      </c>
      <c r="I133" s="42" t="b">
        <f t="shared" si="93"/>
        <v>0</v>
      </c>
      <c r="J133" s="32" t="b">
        <f t="shared" si="94"/>
        <v>0</v>
      </c>
      <c r="K133" s="33" t="b">
        <f t="shared" si="95"/>
        <v>0</v>
      </c>
      <c r="L133" s="34" t="b">
        <f t="shared" si="96"/>
        <v>0</v>
      </c>
      <c r="M133" s="35" t="b">
        <f t="shared" si="97"/>
        <v>0</v>
      </c>
      <c r="N133" s="36" t="b">
        <f t="shared" si="98"/>
        <v>0</v>
      </c>
      <c r="O133" s="37" t="b">
        <f t="shared" si="99"/>
        <v>0</v>
      </c>
      <c r="P133" s="43" t="b">
        <f t="shared" si="100"/>
        <v>0</v>
      </c>
      <c r="Q133" s="42" t="b">
        <f t="shared" si="101"/>
        <v>0</v>
      </c>
      <c r="R133" s="32" t="b">
        <f t="shared" si="102"/>
        <v>0</v>
      </c>
      <c r="S133" s="33" t="b">
        <f t="shared" si="103"/>
        <v>0</v>
      </c>
      <c r="T133" s="34" t="b">
        <f t="shared" si="104"/>
        <v>0</v>
      </c>
      <c r="U133" s="35" t="b">
        <f t="shared" si="105"/>
        <v>0</v>
      </c>
      <c r="V133" s="36" t="b">
        <f t="shared" si="106"/>
        <v>0</v>
      </c>
      <c r="W133" s="37" t="b">
        <f t="shared" si="107"/>
        <v>0</v>
      </c>
      <c r="X133" s="25" t="str">
        <f>IF(W133,LOOKUP(A133,Load_Switch_NFET[PARTNUMBER],Load_Switch_NFET[RDSON10])*1000,IF(V133,LOOKUP(A133,Load_Switch_NFET[PARTNUMBER],Load_Switch_NFET[RDSON8])*1000,IF(U133,LOOKUP(A133,Load_Switch_NFET[PARTNUMBER],Load_Switch_NFET[RDSON6])*1000,IF(T133,LOOKUP(A133,Load_Switch_NFET[PARTNUMBER],Load_Switch_NFET[RDSON45])*1000,IF(S133,LOOKUP(A133,Load_Switch_NFET[PARTNUMBER],Load_Switch_NFET[RDSON3])*1000,IF(R133,LOOKUP(A133,Load_Switch_NFET[PARTNUMBER],Load_Switch_NFET[RDSON25])*1000,IF(Q133,LOOKUP(A133,Load_Switch_NFET[PARTNUMBER],Load_Switch_NFET[RDSON18])*1000,"")))))))</f>
        <v/>
      </c>
      <c r="Y133" s="38"/>
      <c r="Z133" s="25"/>
      <c r="AA133" s="25"/>
      <c r="AB133" s="25" t="str">
        <f t="shared" si="108"/>
        <v>#N/A</v>
      </c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50" t="str">
        <f t="shared" si="109"/>
        <v/>
      </c>
      <c r="AN133" s="51" t="str">
        <f>IF(AND($A133&lt;&gt;0,$A133&lt;&gt;""),LOOKUP($A133,Load_Switch_NFET[PARTNUMBER],Load_Switch_NFET[1KPRICE]),"")</f>
        <v/>
      </c>
      <c r="AO133" s="25"/>
      <c r="AP133" s="25" t="str">
        <f t="shared" si="110"/>
        <v>Invalid Part</v>
      </c>
    </row>
    <row r="134" spans="1:48" x14ac:dyDescent="0.25">
      <c r="A134" s="25">
        <f>IF(CH="N",NLogic!B134,"")</f>
        <v>0</v>
      </c>
      <c r="B134" s="41" t="str">
        <f>IF(OR($A134=0,$A134=""),"0",IF(LOOKUP($A134,Load_Switch_NFET[PARTNUMBER],Load_Switch_NFET[RDSON18])="(NULL)","0","1"))</f>
        <v>0</v>
      </c>
      <c r="C134" s="26" t="str">
        <f>IF(OR($A134=0,$A134=""),"0",IF(LOOKUP($A134,Load_Switch_NFET[PARTNUMBER],Load_Switch_NFET[RDSON25])="(NULL)","0","1"))</f>
        <v>0</v>
      </c>
      <c r="D134" s="27" t="str">
        <f>IF(OR($A134=0,$A134=""),"0",IF(LOOKUP($A134,Load_Switch_NFET[PARTNUMBER],Load_Switch_NFET[RDSON3])="(NULL)","0","1"))</f>
        <v>0</v>
      </c>
      <c r="E134" s="28" t="str">
        <f>IF(OR($A134=0,$A134=""),"0",IF(LOOKUP($A134,Load_Switch_NFET[PARTNUMBER],Load_Switch_NFET[RDSON45])="(NULL)","0","1"))</f>
        <v>0</v>
      </c>
      <c r="F134" s="29" t="str">
        <f>IF(OR($A134=0,$A134=""),"0",IF(LOOKUP($A134,Load_Switch_NFET[PARTNUMBER],Load_Switch_NFET[RDSON6])="(NULL)","0","1"))</f>
        <v>0</v>
      </c>
      <c r="G134" s="30" t="str">
        <f>IF(OR($A134=0,$A134=""),"0",IF(LOOKUP($A134,Load_Switch_NFET[PARTNUMBER],Load_Switch_NFET[RDSON8])="(NULL)","0","1"))</f>
        <v>0</v>
      </c>
      <c r="H134" s="31" t="str">
        <f>IF(OR($A134=0,$A134=""),"0",IF(LOOKUP($A134,Load_Switch_NFET[PARTNUMBER],Load_Switch_NFET[RDSON10])="(NULL)","0","1"))</f>
        <v>0</v>
      </c>
      <c r="I134" s="42" t="b">
        <f t="shared" si="93"/>
        <v>0</v>
      </c>
      <c r="J134" s="32" t="b">
        <f t="shared" si="94"/>
        <v>0</v>
      </c>
      <c r="K134" s="33" t="b">
        <f t="shared" si="95"/>
        <v>0</v>
      </c>
      <c r="L134" s="34" t="b">
        <f t="shared" si="96"/>
        <v>0</v>
      </c>
      <c r="M134" s="35" t="b">
        <f t="shared" si="97"/>
        <v>0</v>
      </c>
      <c r="N134" s="36" t="b">
        <f t="shared" si="98"/>
        <v>0</v>
      </c>
      <c r="O134" s="37" t="b">
        <f t="shared" si="99"/>
        <v>0</v>
      </c>
      <c r="P134" s="43" t="b">
        <f t="shared" si="100"/>
        <v>0</v>
      </c>
      <c r="Q134" s="42" t="b">
        <f t="shared" si="101"/>
        <v>0</v>
      </c>
      <c r="R134" s="32" t="b">
        <f t="shared" si="102"/>
        <v>0</v>
      </c>
      <c r="S134" s="33" t="b">
        <f t="shared" si="103"/>
        <v>0</v>
      </c>
      <c r="T134" s="34" t="b">
        <f t="shared" si="104"/>
        <v>0</v>
      </c>
      <c r="U134" s="35" t="b">
        <f t="shared" si="105"/>
        <v>0</v>
      </c>
      <c r="V134" s="36" t="b">
        <f t="shared" si="106"/>
        <v>0</v>
      </c>
      <c r="W134" s="37" t="b">
        <f t="shared" si="107"/>
        <v>0</v>
      </c>
      <c r="X134" s="25" t="str">
        <f>IF(W134,LOOKUP(A134,Load_Switch_NFET[PARTNUMBER],Load_Switch_NFET[RDSON10])*1000,IF(V134,LOOKUP(A134,Load_Switch_NFET[PARTNUMBER],Load_Switch_NFET[RDSON8])*1000,IF(U134,LOOKUP(A134,Load_Switch_NFET[PARTNUMBER],Load_Switch_NFET[RDSON6])*1000,IF(T134,LOOKUP(A134,Load_Switch_NFET[PARTNUMBER],Load_Switch_NFET[RDSON45])*1000,IF(S134,LOOKUP(A134,Load_Switch_NFET[PARTNUMBER],Load_Switch_NFET[RDSON3])*1000,IF(R134,LOOKUP(A134,Load_Switch_NFET[PARTNUMBER],Load_Switch_NFET[RDSON25])*1000,IF(Q134,LOOKUP(A134,Load_Switch_NFET[PARTNUMBER],Load_Switch_NFET[RDSON18])*1000,"")))))))</f>
        <v/>
      </c>
      <c r="Y134" s="38"/>
      <c r="Z134" s="25"/>
      <c r="AA134" s="25"/>
      <c r="AB134" s="25" t="str">
        <f t="shared" si="108"/>
        <v>#N/A</v>
      </c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50" t="str">
        <f t="shared" si="109"/>
        <v/>
      </c>
      <c r="AN134" s="51" t="str">
        <f>IF(AND($A134&lt;&gt;0,$A134&lt;&gt;""),LOOKUP($A134,Load_Switch_NFET[PARTNUMBER],Load_Switch_NFET[1KPRICE]),"")</f>
        <v/>
      </c>
      <c r="AO134" s="25"/>
      <c r="AP134" s="25" t="str">
        <f t="shared" si="110"/>
        <v>Invalid Part</v>
      </c>
    </row>
    <row r="135" spans="1:48" x14ac:dyDescent="0.25">
      <c r="A135" s="25">
        <f>IF(CH="N",NLogic!B135,"")</f>
        <v>0</v>
      </c>
      <c r="B135" s="41" t="str">
        <f>IF(OR($A135=0,$A135=""),"0",IF(LOOKUP($A135,Load_Switch_NFET[PARTNUMBER],Load_Switch_NFET[RDSON18])="(NULL)","0","1"))</f>
        <v>0</v>
      </c>
      <c r="C135" s="26" t="str">
        <f>IF(OR($A135=0,$A135=""),"0",IF(LOOKUP($A135,Load_Switch_NFET[PARTNUMBER],Load_Switch_NFET[RDSON25])="(NULL)","0","1"))</f>
        <v>0</v>
      </c>
      <c r="D135" s="27" t="str">
        <f>IF(OR($A135=0,$A135=""),"0",IF(LOOKUP($A135,Load_Switch_NFET[PARTNUMBER],Load_Switch_NFET[RDSON3])="(NULL)","0","1"))</f>
        <v>0</v>
      </c>
      <c r="E135" s="28" t="str">
        <f>IF(OR($A135=0,$A135=""),"0",IF(LOOKUP($A135,Load_Switch_NFET[PARTNUMBER],Load_Switch_NFET[RDSON45])="(NULL)","0","1"))</f>
        <v>0</v>
      </c>
      <c r="F135" s="29" t="str">
        <f>IF(OR($A135=0,$A135=""),"0",IF(LOOKUP($A135,Load_Switch_NFET[PARTNUMBER],Load_Switch_NFET[RDSON6])="(NULL)","0","1"))</f>
        <v>0</v>
      </c>
      <c r="G135" s="30" t="str">
        <f>IF(OR($A135=0,$A135=""),"0",IF(LOOKUP($A135,Load_Switch_NFET[PARTNUMBER],Load_Switch_NFET[RDSON8])="(NULL)","0","1"))</f>
        <v>0</v>
      </c>
      <c r="H135" s="31" t="str">
        <f>IF(OR($A135=0,$A135=""),"0",IF(LOOKUP($A135,Load_Switch_NFET[PARTNUMBER],Load_Switch_NFET[RDSON10])="(NULL)","0","1"))</f>
        <v>0</v>
      </c>
      <c r="I135" s="42" t="b">
        <f t="shared" si="93"/>
        <v>0</v>
      </c>
      <c r="J135" s="32" t="b">
        <f t="shared" si="94"/>
        <v>0</v>
      </c>
      <c r="K135" s="33" t="b">
        <f t="shared" si="95"/>
        <v>0</v>
      </c>
      <c r="L135" s="34" t="b">
        <f t="shared" si="96"/>
        <v>0</v>
      </c>
      <c r="M135" s="35" t="b">
        <f t="shared" si="97"/>
        <v>0</v>
      </c>
      <c r="N135" s="36" t="b">
        <f t="shared" si="98"/>
        <v>0</v>
      </c>
      <c r="O135" s="37" t="b">
        <f t="shared" si="99"/>
        <v>0</v>
      </c>
      <c r="P135" s="43" t="b">
        <f t="shared" si="100"/>
        <v>0</v>
      </c>
      <c r="Q135" s="42" t="b">
        <f t="shared" si="101"/>
        <v>0</v>
      </c>
      <c r="R135" s="32" t="b">
        <f t="shared" si="102"/>
        <v>0</v>
      </c>
      <c r="S135" s="33" t="b">
        <f t="shared" si="103"/>
        <v>0</v>
      </c>
      <c r="T135" s="34" t="b">
        <f t="shared" si="104"/>
        <v>0</v>
      </c>
      <c r="U135" s="35" t="b">
        <f t="shared" si="105"/>
        <v>0</v>
      </c>
      <c r="V135" s="36" t="b">
        <f t="shared" si="106"/>
        <v>0</v>
      </c>
      <c r="W135" s="37" t="b">
        <f t="shared" si="107"/>
        <v>0</v>
      </c>
      <c r="X135" s="25" t="str">
        <f>IF(W135,LOOKUP(A135,Load_Switch_NFET[PARTNUMBER],Load_Switch_NFET[RDSON10])*1000,IF(V135,LOOKUP(A135,Load_Switch_NFET[PARTNUMBER],Load_Switch_NFET[RDSON8])*1000,IF(U135,LOOKUP(A135,Load_Switch_NFET[PARTNUMBER],Load_Switch_NFET[RDSON6])*1000,IF(T135,LOOKUP(A135,Load_Switch_NFET[PARTNUMBER],Load_Switch_NFET[RDSON45])*1000,IF(S135,LOOKUP(A135,Load_Switch_NFET[PARTNUMBER],Load_Switch_NFET[RDSON3])*1000,IF(R135,LOOKUP(A135,Load_Switch_NFET[PARTNUMBER],Load_Switch_NFET[RDSON25])*1000,IF(Q135,LOOKUP(A135,Load_Switch_NFET[PARTNUMBER],Load_Switch_NFET[RDSON18])*1000,"")))))))</f>
        <v/>
      </c>
      <c r="Y135" s="38"/>
      <c r="Z135" s="25"/>
      <c r="AA135" s="25"/>
      <c r="AB135" s="25" t="str">
        <f t="shared" si="108"/>
        <v>#N/A</v>
      </c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50" t="str">
        <f t="shared" si="109"/>
        <v/>
      </c>
      <c r="AN135" s="51" t="str">
        <f>IF(AND($A135&lt;&gt;0,$A135&lt;&gt;""),LOOKUP($A135,Load_Switch_NFET[PARTNUMBER],Load_Switch_NFET[1KPRICE]),"")</f>
        <v/>
      </c>
      <c r="AO135" s="25"/>
      <c r="AP135" s="25" t="str">
        <f t="shared" si="110"/>
        <v>Invalid Part</v>
      </c>
    </row>
    <row r="136" spans="1:48" x14ac:dyDescent="0.25">
      <c r="A136" s="25">
        <f>IF(CH="N",NLogic!B136,"")</f>
        <v>0</v>
      </c>
      <c r="B136" s="41" t="str">
        <f>IF(OR($A136=0,$A136=""),"0",IF(LOOKUP($A136,Load_Switch_NFET[PARTNUMBER],Load_Switch_NFET[RDSON18])="(NULL)","0","1"))</f>
        <v>0</v>
      </c>
      <c r="C136" s="26" t="str">
        <f>IF(OR($A136=0,$A136=""),"0",IF(LOOKUP($A136,Load_Switch_NFET[PARTNUMBER],Load_Switch_NFET[RDSON25])="(NULL)","0","1"))</f>
        <v>0</v>
      </c>
      <c r="D136" s="27" t="str">
        <f>IF(OR($A136=0,$A136=""),"0",IF(LOOKUP($A136,Load_Switch_NFET[PARTNUMBER],Load_Switch_NFET[RDSON3])="(NULL)","0","1"))</f>
        <v>0</v>
      </c>
      <c r="E136" s="28" t="str">
        <f>IF(OR($A136=0,$A136=""),"0",IF(LOOKUP($A136,Load_Switch_NFET[PARTNUMBER],Load_Switch_NFET[RDSON45])="(NULL)","0","1"))</f>
        <v>0</v>
      </c>
      <c r="F136" s="29" t="str">
        <f>IF(OR($A136=0,$A136=""),"0",IF(LOOKUP($A136,Load_Switch_NFET[PARTNUMBER],Load_Switch_NFET[RDSON6])="(NULL)","0","1"))</f>
        <v>0</v>
      </c>
      <c r="G136" s="30" t="str">
        <f>IF(OR($A136=0,$A136=""),"0",IF(LOOKUP($A136,Load_Switch_NFET[PARTNUMBER],Load_Switch_NFET[RDSON8])="(NULL)","0","1"))</f>
        <v>0</v>
      </c>
      <c r="H136" s="31" t="str">
        <f>IF(OR($A136=0,$A136=""),"0",IF(LOOKUP($A136,Load_Switch_NFET[PARTNUMBER],Load_Switch_NFET[RDSON10])="(NULL)","0","1"))</f>
        <v>0</v>
      </c>
      <c r="I136" s="42" t="b">
        <f t="shared" si="93"/>
        <v>0</v>
      </c>
      <c r="J136" s="32" t="b">
        <f t="shared" si="94"/>
        <v>0</v>
      </c>
      <c r="K136" s="33" t="b">
        <f t="shared" si="95"/>
        <v>0</v>
      </c>
      <c r="L136" s="34" t="b">
        <f t="shared" si="96"/>
        <v>0</v>
      </c>
      <c r="M136" s="35" t="b">
        <f t="shared" si="97"/>
        <v>0</v>
      </c>
      <c r="N136" s="36" t="b">
        <f t="shared" si="98"/>
        <v>0</v>
      </c>
      <c r="O136" s="37" t="b">
        <f t="shared" si="99"/>
        <v>0</v>
      </c>
      <c r="P136" s="43" t="b">
        <f t="shared" si="100"/>
        <v>0</v>
      </c>
      <c r="Q136" s="42" t="b">
        <f t="shared" si="101"/>
        <v>0</v>
      </c>
      <c r="R136" s="32" t="b">
        <f t="shared" si="102"/>
        <v>0</v>
      </c>
      <c r="S136" s="33" t="b">
        <f t="shared" si="103"/>
        <v>0</v>
      </c>
      <c r="T136" s="34" t="b">
        <f t="shared" si="104"/>
        <v>0</v>
      </c>
      <c r="U136" s="35" t="b">
        <f t="shared" si="105"/>
        <v>0</v>
      </c>
      <c r="V136" s="36" t="b">
        <f t="shared" si="106"/>
        <v>0</v>
      </c>
      <c r="W136" s="37" t="b">
        <f t="shared" si="107"/>
        <v>0</v>
      </c>
      <c r="X136" s="25" t="str">
        <f>IF(W136,LOOKUP(A136,Load_Switch_NFET[PARTNUMBER],Load_Switch_NFET[RDSON10])*1000,IF(V136,LOOKUP(A136,Load_Switch_NFET[PARTNUMBER],Load_Switch_NFET[RDSON8])*1000,IF(U136,LOOKUP(A136,Load_Switch_NFET[PARTNUMBER],Load_Switch_NFET[RDSON6])*1000,IF(T136,LOOKUP(A136,Load_Switch_NFET[PARTNUMBER],Load_Switch_NFET[RDSON45])*1000,IF(S136,LOOKUP(A136,Load_Switch_NFET[PARTNUMBER],Load_Switch_NFET[RDSON3])*1000,IF(R136,LOOKUP(A136,Load_Switch_NFET[PARTNUMBER],Load_Switch_NFET[RDSON25])*1000,IF(Q136,LOOKUP(A136,Load_Switch_NFET[PARTNUMBER],Load_Switch_NFET[RDSON18])*1000,"")))))))</f>
        <v/>
      </c>
      <c r="Y136" s="38"/>
      <c r="Z136" s="25"/>
      <c r="AA136" s="25"/>
      <c r="AB136" s="25" t="str">
        <f t="shared" si="108"/>
        <v>#N/A</v>
      </c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50" t="str">
        <f t="shared" si="109"/>
        <v/>
      </c>
      <c r="AN136" s="51" t="str">
        <f>IF(AND($A136&lt;&gt;0,$A136&lt;&gt;""),LOOKUP($A136,Load_Switch_NFET[PARTNUMBER],Load_Switch_NFET[1KPRICE]),"")</f>
        <v/>
      </c>
      <c r="AO136" s="25"/>
      <c r="AP136" s="25" t="str">
        <f t="shared" si="110"/>
        <v>Invalid Part</v>
      </c>
    </row>
    <row r="137" spans="1:48" x14ac:dyDescent="0.25">
      <c r="A137" s="25">
        <f>IF(CH="N",NLogic!B137,"")</f>
        <v>0</v>
      </c>
      <c r="B137" s="41" t="str">
        <f>IF(OR($A137=0,$A137=""),"0",IF(LOOKUP($A137,Load_Switch_NFET[PARTNUMBER],Load_Switch_NFET[RDSON18])="(NULL)","0","1"))</f>
        <v>0</v>
      </c>
      <c r="C137" s="26" t="str">
        <f>IF(OR($A137=0,$A137=""),"0",IF(LOOKUP($A137,Load_Switch_NFET[PARTNUMBER],Load_Switch_NFET[RDSON25])="(NULL)","0","1"))</f>
        <v>0</v>
      </c>
      <c r="D137" s="27" t="str">
        <f>IF(OR($A137=0,$A137=""),"0",IF(LOOKUP($A137,Load_Switch_NFET[PARTNUMBER],Load_Switch_NFET[RDSON3])="(NULL)","0","1"))</f>
        <v>0</v>
      </c>
      <c r="E137" s="28" t="str">
        <f>IF(OR($A137=0,$A137=""),"0",IF(LOOKUP($A137,Load_Switch_NFET[PARTNUMBER],Load_Switch_NFET[RDSON45])="(NULL)","0","1"))</f>
        <v>0</v>
      </c>
      <c r="F137" s="29" t="str">
        <f>IF(OR($A137=0,$A137=""),"0",IF(LOOKUP($A137,Load_Switch_NFET[PARTNUMBER],Load_Switch_NFET[RDSON6])="(NULL)","0","1"))</f>
        <v>0</v>
      </c>
      <c r="G137" s="30" t="str">
        <f>IF(OR($A137=0,$A137=""),"0",IF(LOOKUP($A137,Load_Switch_NFET[PARTNUMBER],Load_Switch_NFET[RDSON8])="(NULL)","0","1"))</f>
        <v>0</v>
      </c>
      <c r="H137" s="31" t="str">
        <f>IF(OR($A137=0,$A137=""),"0",IF(LOOKUP($A137,Load_Switch_NFET[PARTNUMBER],Load_Switch_NFET[RDSON10])="(NULL)","0","1"))</f>
        <v>0</v>
      </c>
      <c r="I137" s="42" t="b">
        <f t="shared" si="93"/>
        <v>0</v>
      </c>
      <c r="J137" s="32" t="b">
        <f t="shared" si="94"/>
        <v>0</v>
      </c>
      <c r="K137" s="33" t="b">
        <f t="shared" si="95"/>
        <v>0</v>
      </c>
      <c r="L137" s="34" t="b">
        <f t="shared" si="96"/>
        <v>0</v>
      </c>
      <c r="M137" s="35" t="b">
        <f t="shared" si="97"/>
        <v>0</v>
      </c>
      <c r="N137" s="36" t="b">
        <f t="shared" si="98"/>
        <v>0</v>
      </c>
      <c r="O137" s="37" t="b">
        <f t="shared" si="99"/>
        <v>0</v>
      </c>
      <c r="P137" s="43" t="b">
        <f t="shared" si="100"/>
        <v>0</v>
      </c>
      <c r="Q137" s="42" t="b">
        <f t="shared" si="101"/>
        <v>0</v>
      </c>
      <c r="R137" s="32" t="b">
        <f t="shared" si="102"/>
        <v>0</v>
      </c>
      <c r="S137" s="33" t="b">
        <f t="shared" si="103"/>
        <v>0</v>
      </c>
      <c r="T137" s="34" t="b">
        <f t="shared" si="104"/>
        <v>0</v>
      </c>
      <c r="U137" s="35" t="b">
        <f t="shared" si="105"/>
        <v>0</v>
      </c>
      <c r="V137" s="36" t="b">
        <f t="shared" si="106"/>
        <v>0</v>
      </c>
      <c r="W137" s="37" t="b">
        <f t="shared" si="107"/>
        <v>0</v>
      </c>
      <c r="X137" s="25" t="str">
        <f>IF(W137,LOOKUP(A137,Load_Switch_NFET[PARTNUMBER],Load_Switch_NFET[RDSON10])*1000,IF(V137,LOOKUP(A137,Load_Switch_NFET[PARTNUMBER],Load_Switch_NFET[RDSON8])*1000,IF(U137,LOOKUP(A137,Load_Switch_NFET[PARTNUMBER],Load_Switch_NFET[RDSON6])*1000,IF(T137,LOOKUP(A137,Load_Switch_NFET[PARTNUMBER],Load_Switch_NFET[RDSON45])*1000,IF(S137,LOOKUP(A137,Load_Switch_NFET[PARTNUMBER],Load_Switch_NFET[RDSON3])*1000,IF(R137,LOOKUP(A137,Load_Switch_NFET[PARTNUMBER],Load_Switch_NFET[RDSON25])*1000,IF(Q137,LOOKUP(A137,Load_Switch_NFET[PARTNUMBER],Load_Switch_NFET[RDSON18])*1000,"")))))))</f>
        <v/>
      </c>
      <c r="Y137" s="38"/>
      <c r="Z137" s="25"/>
      <c r="AA137" s="25"/>
      <c r="AB137" s="25" t="str">
        <f t="shared" si="108"/>
        <v>#N/A</v>
      </c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50" t="str">
        <f t="shared" si="109"/>
        <v/>
      </c>
      <c r="AN137" s="51" t="str">
        <f>IF(AND($A137&lt;&gt;0,$A137&lt;&gt;""),LOOKUP($A137,Load_Switch_NFET[PARTNUMBER],Load_Switch_NFET[1KPRICE]),"")</f>
        <v/>
      </c>
      <c r="AO137" s="25"/>
      <c r="AP137" s="25" t="str">
        <f t="shared" si="110"/>
        <v>Invalid Part</v>
      </c>
    </row>
    <row r="138" spans="1:48" x14ac:dyDescent="0.25">
      <c r="A138" s="25">
        <f>IF(CH="N",NLogic!B138,"")</f>
        <v>0</v>
      </c>
      <c r="B138" s="41" t="str">
        <f>IF(OR($A138=0,$A138=""),"0",IF(LOOKUP($A138,Load_Switch_NFET[PARTNUMBER],Load_Switch_NFET[RDSON18])="(NULL)","0","1"))</f>
        <v>0</v>
      </c>
      <c r="C138" s="26" t="str">
        <f>IF(OR($A138=0,$A138=""),"0",IF(LOOKUP($A138,Load_Switch_NFET[PARTNUMBER],Load_Switch_NFET[RDSON25])="(NULL)","0","1"))</f>
        <v>0</v>
      </c>
      <c r="D138" s="27" t="str">
        <f>IF(OR($A138=0,$A138=""),"0",IF(LOOKUP($A138,Load_Switch_NFET[PARTNUMBER],Load_Switch_NFET[RDSON3])="(NULL)","0","1"))</f>
        <v>0</v>
      </c>
      <c r="E138" s="28" t="str">
        <f>IF(OR($A138=0,$A138=""),"0",IF(LOOKUP($A138,Load_Switch_NFET[PARTNUMBER],Load_Switch_NFET[RDSON45])="(NULL)","0","1"))</f>
        <v>0</v>
      </c>
      <c r="F138" s="29" t="str">
        <f>IF(OR($A138=0,$A138=""),"0",IF(LOOKUP($A138,Load_Switch_NFET[PARTNUMBER],Load_Switch_NFET[RDSON6])="(NULL)","0","1"))</f>
        <v>0</v>
      </c>
      <c r="G138" s="30" t="str">
        <f>IF(OR($A138=0,$A138=""),"0",IF(LOOKUP($A138,Load_Switch_NFET[PARTNUMBER],Load_Switch_NFET[RDSON8])="(NULL)","0","1"))</f>
        <v>0</v>
      </c>
      <c r="H138" s="31" t="str">
        <f>IF(OR($A138=0,$A138=""),"0",IF(LOOKUP($A138,Load_Switch_NFET[PARTNUMBER],Load_Switch_NFET[RDSON10])="(NULL)","0","1"))</f>
        <v>0</v>
      </c>
      <c r="I138" s="42" t="b">
        <f t="shared" si="93"/>
        <v>0</v>
      </c>
      <c r="J138" s="32" t="b">
        <f t="shared" si="94"/>
        <v>0</v>
      </c>
      <c r="K138" s="33" t="b">
        <f t="shared" si="95"/>
        <v>0</v>
      </c>
      <c r="L138" s="34" t="b">
        <f t="shared" si="96"/>
        <v>0</v>
      </c>
      <c r="M138" s="35" t="b">
        <f t="shared" si="97"/>
        <v>0</v>
      </c>
      <c r="N138" s="36" t="b">
        <f t="shared" si="98"/>
        <v>0</v>
      </c>
      <c r="O138" s="37" t="b">
        <f t="shared" si="99"/>
        <v>0</v>
      </c>
      <c r="P138" s="43" t="b">
        <f t="shared" si="100"/>
        <v>0</v>
      </c>
      <c r="Q138" s="42" t="b">
        <f t="shared" si="101"/>
        <v>0</v>
      </c>
      <c r="R138" s="32" t="b">
        <f t="shared" si="102"/>
        <v>0</v>
      </c>
      <c r="S138" s="33" t="b">
        <f t="shared" si="103"/>
        <v>0</v>
      </c>
      <c r="T138" s="34" t="b">
        <f t="shared" si="104"/>
        <v>0</v>
      </c>
      <c r="U138" s="35" t="b">
        <f t="shared" si="105"/>
        <v>0</v>
      </c>
      <c r="V138" s="36" t="b">
        <f t="shared" si="106"/>
        <v>0</v>
      </c>
      <c r="W138" s="37" t="b">
        <f t="shared" si="107"/>
        <v>0</v>
      </c>
      <c r="X138" s="25" t="str">
        <f>IF(W138,LOOKUP(A138,Load_Switch_NFET[PARTNUMBER],Load_Switch_NFET[RDSON10])*1000,IF(V138,LOOKUP(A138,Load_Switch_NFET[PARTNUMBER],Load_Switch_NFET[RDSON8])*1000,IF(U138,LOOKUP(A138,Load_Switch_NFET[PARTNUMBER],Load_Switch_NFET[RDSON6])*1000,IF(T138,LOOKUP(A138,Load_Switch_NFET[PARTNUMBER],Load_Switch_NFET[RDSON45])*1000,IF(S138,LOOKUP(A138,Load_Switch_NFET[PARTNUMBER],Load_Switch_NFET[RDSON3])*1000,IF(R138,LOOKUP(A138,Load_Switch_NFET[PARTNUMBER],Load_Switch_NFET[RDSON25])*1000,IF(Q138,LOOKUP(A138,Load_Switch_NFET[PARTNUMBER],Load_Switch_NFET[RDSON18])*1000,"")))))))</f>
        <v/>
      </c>
      <c r="Y138" s="38"/>
      <c r="Z138" s="25"/>
      <c r="AA138" s="25"/>
      <c r="AB138" s="25" t="str">
        <f t="shared" si="108"/>
        <v>#N/A</v>
      </c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50" t="str">
        <f t="shared" si="109"/>
        <v/>
      </c>
      <c r="AN138" s="51" t="str">
        <f>IF(AND($A138&lt;&gt;0,$A138&lt;&gt;""),LOOKUP($A138,Load_Switch_NFET[PARTNUMBER],Load_Switch_NFET[1KPRICE]),"")</f>
        <v/>
      </c>
      <c r="AO138" s="25"/>
      <c r="AP138" s="25" t="str">
        <f t="shared" si="110"/>
        <v>Invalid Part</v>
      </c>
    </row>
    <row r="139" spans="1:48" x14ac:dyDescent="0.25">
      <c r="A139" s="25">
        <f>IF(CH="N",NLogic!B139,"")</f>
        <v>0</v>
      </c>
      <c r="B139" s="41" t="str">
        <f>IF(OR($A139=0,$A139=""),"0",IF(LOOKUP($A139,Load_Switch_NFET[PARTNUMBER],Load_Switch_NFET[RDSON18])="(NULL)","0","1"))</f>
        <v>0</v>
      </c>
      <c r="C139" s="26" t="str">
        <f>IF(OR($A139=0,$A139=""),"0",IF(LOOKUP($A139,Load_Switch_NFET[PARTNUMBER],Load_Switch_NFET[RDSON25])="(NULL)","0","1"))</f>
        <v>0</v>
      </c>
      <c r="D139" s="27" t="str">
        <f>IF(OR($A139=0,$A139=""),"0",IF(LOOKUP($A139,Load_Switch_NFET[PARTNUMBER],Load_Switch_NFET[RDSON3])="(NULL)","0","1"))</f>
        <v>0</v>
      </c>
      <c r="E139" s="28" t="str">
        <f>IF(OR($A139=0,$A139=""),"0",IF(LOOKUP($A139,Load_Switch_NFET[PARTNUMBER],Load_Switch_NFET[RDSON45])="(NULL)","0","1"))</f>
        <v>0</v>
      </c>
      <c r="F139" s="29" t="str">
        <f>IF(OR($A139=0,$A139=""),"0",IF(LOOKUP($A139,Load_Switch_NFET[PARTNUMBER],Load_Switch_NFET[RDSON6])="(NULL)","0","1"))</f>
        <v>0</v>
      </c>
      <c r="G139" s="30" t="str">
        <f>IF(OR($A139=0,$A139=""),"0",IF(LOOKUP($A139,Load_Switch_NFET[PARTNUMBER],Load_Switch_NFET[RDSON8])="(NULL)","0","1"))</f>
        <v>0</v>
      </c>
      <c r="H139" s="31" t="str">
        <f>IF(OR($A139=0,$A139=""),"0",IF(LOOKUP($A139,Load_Switch_NFET[PARTNUMBER],Load_Switch_NFET[RDSON10])="(NULL)","0","1"))</f>
        <v>0</v>
      </c>
      <c r="I139" s="42" t="b">
        <f t="shared" si="93"/>
        <v>0</v>
      </c>
      <c r="J139" s="32" t="b">
        <f t="shared" si="94"/>
        <v>0</v>
      </c>
      <c r="K139" s="33" t="b">
        <f t="shared" si="95"/>
        <v>0</v>
      </c>
      <c r="L139" s="34" t="b">
        <f t="shared" si="96"/>
        <v>0</v>
      </c>
      <c r="M139" s="35" t="b">
        <f t="shared" si="97"/>
        <v>0</v>
      </c>
      <c r="N139" s="36" t="b">
        <f t="shared" si="98"/>
        <v>0</v>
      </c>
      <c r="O139" s="37" t="b">
        <f t="shared" si="99"/>
        <v>0</v>
      </c>
      <c r="P139" s="43" t="b">
        <f t="shared" si="100"/>
        <v>0</v>
      </c>
      <c r="Q139" s="42" t="b">
        <f t="shared" si="101"/>
        <v>0</v>
      </c>
      <c r="R139" s="32" t="b">
        <f t="shared" si="102"/>
        <v>0</v>
      </c>
      <c r="S139" s="33" t="b">
        <f t="shared" si="103"/>
        <v>0</v>
      </c>
      <c r="T139" s="34" t="b">
        <f t="shared" si="104"/>
        <v>0</v>
      </c>
      <c r="U139" s="35" t="b">
        <f t="shared" si="105"/>
        <v>0</v>
      </c>
      <c r="V139" s="36" t="b">
        <f t="shared" si="106"/>
        <v>0</v>
      </c>
      <c r="W139" s="37" t="b">
        <f t="shared" si="107"/>
        <v>0</v>
      </c>
      <c r="X139" s="25" t="str">
        <f>IF(W139,LOOKUP(A139,Load_Switch_NFET[PARTNUMBER],Load_Switch_NFET[RDSON10])*1000,IF(V139,LOOKUP(A139,Load_Switch_NFET[PARTNUMBER],Load_Switch_NFET[RDSON8])*1000,IF(U139,LOOKUP(A139,Load_Switch_NFET[PARTNUMBER],Load_Switch_NFET[RDSON6])*1000,IF(T139,LOOKUP(A139,Load_Switch_NFET[PARTNUMBER],Load_Switch_NFET[RDSON45])*1000,IF(S139,LOOKUP(A139,Load_Switch_NFET[PARTNUMBER],Load_Switch_NFET[RDSON3])*1000,IF(R139,LOOKUP(A139,Load_Switch_NFET[PARTNUMBER],Load_Switch_NFET[RDSON25])*1000,IF(Q139,LOOKUP(A139,Load_Switch_NFET[PARTNUMBER],Load_Switch_NFET[RDSON18])*1000,"")))))))</f>
        <v/>
      </c>
      <c r="Y139" s="38"/>
      <c r="Z139" s="25"/>
      <c r="AA139" s="25"/>
      <c r="AB139" s="25" t="str">
        <f t="shared" si="108"/>
        <v>#N/A</v>
      </c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50" t="str">
        <f t="shared" si="109"/>
        <v/>
      </c>
      <c r="AN139" s="51" t="str">
        <f>IF(AND($A139&lt;&gt;0,$A139&lt;&gt;""),LOOKUP($A139,Load_Switch_NFET[PARTNUMBER],Load_Switch_NFET[1KPRICE]),"")</f>
        <v/>
      </c>
      <c r="AO139" s="25"/>
      <c r="AP139" s="25" t="str">
        <f t="shared" si="110"/>
        <v>Invalid Part</v>
      </c>
    </row>
    <row r="140" spans="1:48" x14ac:dyDescent="0.25">
      <c r="A140" s="25">
        <f>IF(CH="N",NLogic!B140,"")</f>
        <v>0</v>
      </c>
      <c r="B140" s="41" t="str">
        <f>IF(OR($A140=0,$A140=""),"0",IF(LOOKUP($A140,Load_Switch_NFET[PARTNUMBER],Load_Switch_NFET[RDSON18])="(NULL)","0","1"))</f>
        <v>0</v>
      </c>
      <c r="C140" s="26" t="str">
        <f>IF(OR($A140=0,$A140=""),"0",IF(LOOKUP($A140,Load_Switch_NFET[PARTNUMBER],Load_Switch_NFET[RDSON25])="(NULL)","0","1"))</f>
        <v>0</v>
      </c>
      <c r="D140" s="27" t="str">
        <f>IF(OR($A140=0,$A140=""),"0",IF(LOOKUP($A140,Load_Switch_NFET[PARTNUMBER],Load_Switch_NFET[RDSON3])="(NULL)","0","1"))</f>
        <v>0</v>
      </c>
      <c r="E140" s="28" t="str">
        <f>IF(OR($A140=0,$A140=""),"0",IF(LOOKUP($A140,Load_Switch_NFET[PARTNUMBER],Load_Switch_NFET[RDSON45])="(NULL)","0","1"))</f>
        <v>0</v>
      </c>
      <c r="F140" s="29" t="str">
        <f>IF(OR($A140=0,$A140=""),"0",IF(LOOKUP($A140,Load_Switch_NFET[PARTNUMBER],Load_Switch_NFET[RDSON6])="(NULL)","0","1"))</f>
        <v>0</v>
      </c>
      <c r="G140" s="30" t="str">
        <f>IF(OR($A140=0,$A140=""),"0",IF(LOOKUP($A140,Load_Switch_NFET[PARTNUMBER],Load_Switch_NFET[RDSON8])="(NULL)","0","1"))</f>
        <v>0</v>
      </c>
      <c r="H140" s="31" t="str">
        <f>IF(OR($A140=0,$A140=""),"0",IF(LOOKUP($A140,Load_Switch_NFET[PARTNUMBER],Load_Switch_NFET[RDSON10])="(NULL)","0","1"))</f>
        <v>0</v>
      </c>
      <c r="I140" s="42" t="b">
        <f t="shared" si="93"/>
        <v>0</v>
      </c>
      <c r="J140" s="32" t="b">
        <f t="shared" si="94"/>
        <v>0</v>
      </c>
      <c r="K140" s="33" t="b">
        <f t="shared" si="95"/>
        <v>0</v>
      </c>
      <c r="L140" s="34" t="b">
        <f t="shared" si="96"/>
        <v>0</v>
      </c>
      <c r="M140" s="35" t="b">
        <f t="shared" si="97"/>
        <v>0</v>
      </c>
      <c r="N140" s="36" t="b">
        <f t="shared" si="98"/>
        <v>0</v>
      </c>
      <c r="O140" s="37" t="b">
        <f t="shared" si="99"/>
        <v>0</v>
      </c>
      <c r="P140" s="43" t="b">
        <f t="shared" si="100"/>
        <v>0</v>
      </c>
      <c r="Q140" s="42" t="b">
        <f t="shared" si="101"/>
        <v>0</v>
      </c>
      <c r="R140" s="32" t="b">
        <f t="shared" si="102"/>
        <v>0</v>
      </c>
      <c r="S140" s="33" t="b">
        <f t="shared" si="103"/>
        <v>0</v>
      </c>
      <c r="T140" s="34" t="b">
        <f t="shared" si="104"/>
        <v>0</v>
      </c>
      <c r="U140" s="35" t="b">
        <f t="shared" si="105"/>
        <v>0</v>
      </c>
      <c r="V140" s="36" t="b">
        <f t="shared" si="106"/>
        <v>0</v>
      </c>
      <c r="W140" s="37" t="b">
        <f t="shared" si="107"/>
        <v>0</v>
      </c>
      <c r="X140" s="25" t="str">
        <f>IF(W140,LOOKUP(A140,Load_Switch_NFET[PARTNUMBER],Load_Switch_NFET[RDSON10])*1000,IF(V140,LOOKUP(A140,Load_Switch_NFET[PARTNUMBER],Load_Switch_NFET[RDSON8])*1000,IF(U140,LOOKUP(A140,Load_Switch_NFET[PARTNUMBER],Load_Switch_NFET[RDSON6])*1000,IF(T140,LOOKUP(A140,Load_Switch_NFET[PARTNUMBER],Load_Switch_NFET[RDSON45])*1000,IF(S140,LOOKUP(A140,Load_Switch_NFET[PARTNUMBER],Load_Switch_NFET[RDSON3])*1000,IF(R140,LOOKUP(A140,Load_Switch_NFET[PARTNUMBER],Load_Switch_NFET[RDSON25])*1000,IF(Q140,LOOKUP(A140,Load_Switch_NFET[PARTNUMBER],Load_Switch_NFET[RDSON18])*1000,"")))))))</f>
        <v/>
      </c>
      <c r="Y140" s="38"/>
      <c r="Z140" s="25"/>
      <c r="AA140" s="25"/>
      <c r="AB140" s="25" t="str">
        <f t="shared" si="108"/>
        <v>#N/A</v>
      </c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50" t="str">
        <f t="shared" si="109"/>
        <v/>
      </c>
      <c r="AN140" s="51" t="str">
        <f>IF(AND($A140&lt;&gt;0,$A140&lt;&gt;""),LOOKUP($A140,Load_Switch_NFET[PARTNUMBER],Load_Switch_NFET[1KPRICE]),"")</f>
        <v/>
      </c>
      <c r="AO140" s="25"/>
      <c r="AP140" s="25" t="str">
        <f t="shared" si="110"/>
        <v>Invalid Part</v>
      </c>
    </row>
    <row r="141" spans="1:48" x14ac:dyDescent="0.25">
      <c r="A141" s="25">
        <f>IF(CH="N",NLogic!B141,"")</f>
        <v>0</v>
      </c>
      <c r="B141" s="41" t="str">
        <f>IF(OR($A141=0,$A141=""),"0",IF(LOOKUP($A141,Load_Switch_NFET[PARTNUMBER],Load_Switch_NFET[RDSON18])="(NULL)","0","1"))</f>
        <v>0</v>
      </c>
      <c r="C141" s="26" t="str">
        <f>IF(OR($A141=0,$A141=""),"0",IF(LOOKUP($A141,Load_Switch_NFET[PARTNUMBER],Load_Switch_NFET[RDSON25])="(NULL)","0","1"))</f>
        <v>0</v>
      </c>
      <c r="D141" s="27" t="str">
        <f>IF(OR($A141=0,$A141=""),"0",IF(LOOKUP($A141,Load_Switch_NFET[PARTNUMBER],Load_Switch_NFET[RDSON3])="(NULL)","0","1"))</f>
        <v>0</v>
      </c>
      <c r="E141" s="28" t="str">
        <f>IF(OR($A141=0,$A141=""),"0",IF(LOOKUP($A141,Load_Switch_NFET[PARTNUMBER],Load_Switch_NFET[RDSON45])="(NULL)","0","1"))</f>
        <v>0</v>
      </c>
      <c r="F141" s="29" t="str">
        <f>IF(OR($A141=0,$A141=""),"0",IF(LOOKUP($A141,Load_Switch_NFET[PARTNUMBER],Load_Switch_NFET[RDSON6])="(NULL)","0","1"))</f>
        <v>0</v>
      </c>
      <c r="G141" s="30" t="str">
        <f>IF(OR($A141=0,$A141=""),"0",IF(LOOKUP($A141,Load_Switch_NFET[PARTNUMBER],Load_Switch_NFET[RDSON8])="(NULL)","0","1"))</f>
        <v>0</v>
      </c>
      <c r="H141" s="31" t="str">
        <f>IF(OR($A141=0,$A141=""),"0",IF(LOOKUP($A141,Load_Switch_NFET[PARTNUMBER],Load_Switch_NFET[RDSON10])="(NULL)","0","1"))</f>
        <v>0</v>
      </c>
      <c r="I141" s="42" t="b">
        <f t="shared" si="93"/>
        <v>0</v>
      </c>
      <c r="J141" s="32" t="b">
        <f t="shared" si="94"/>
        <v>0</v>
      </c>
      <c r="K141" s="33" t="b">
        <f t="shared" si="95"/>
        <v>0</v>
      </c>
      <c r="L141" s="34" t="b">
        <f t="shared" si="96"/>
        <v>0</v>
      </c>
      <c r="M141" s="35" t="b">
        <f t="shared" si="97"/>
        <v>0</v>
      </c>
      <c r="N141" s="36" t="b">
        <f t="shared" si="98"/>
        <v>0</v>
      </c>
      <c r="O141" s="37" t="b">
        <f t="shared" si="99"/>
        <v>0</v>
      </c>
      <c r="P141" s="43" t="b">
        <f t="shared" si="100"/>
        <v>0</v>
      </c>
      <c r="Q141" s="42" t="b">
        <f t="shared" si="101"/>
        <v>0</v>
      </c>
      <c r="R141" s="32" t="b">
        <f t="shared" si="102"/>
        <v>0</v>
      </c>
      <c r="S141" s="33" t="b">
        <f t="shared" si="103"/>
        <v>0</v>
      </c>
      <c r="T141" s="34" t="b">
        <f t="shared" si="104"/>
        <v>0</v>
      </c>
      <c r="U141" s="35" t="b">
        <f t="shared" si="105"/>
        <v>0</v>
      </c>
      <c r="V141" s="36" t="b">
        <f t="shared" si="106"/>
        <v>0</v>
      </c>
      <c r="W141" s="37" t="b">
        <f t="shared" si="107"/>
        <v>0</v>
      </c>
      <c r="X141" s="25" t="str">
        <f>IF(W141,LOOKUP(A141,Load_Switch_NFET[PARTNUMBER],Load_Switch_NFET[RDSON10])*1000,IF(V141,LOOKUP(A141,Load_Switch_NFET[PARTNUMBER],Load_Switch_NFET[RDSON8])*1000,IF(U141,LOOKUP(A141,Load_Switch_NFET[PARTNUMBER],Load_Switch_NFET[RDSON6])*1000,IF(T141,LOOKUP(A141,Load_Switch_NFET[PARTNUMBER],Load_Switch_NFET[RDSON45])*1000,IF(S141,LOOKUP(A141,Load_Switch_NFET[PARTNUMBER],Load_Switch_NFET[RDSON3])*1000,IF(R141,LOOKUP(A141,Load_Switch_NFET[PARTNUMBER],Load_Switch_NFET[RDSON25])*1000,IF(Q141,LOOKUP(A141,Load_Switch_NFET[PARTNUMBER],Load_Switch_NFET[RDSON18])*1000,"")))))))</f>
        <v/>
      </c>
      <c r="Y141" s="38"/>
      <c r="Z141" s="25"/>
      <c r="AA141" s="25"/>
      <c r="AB141" s="25" t="str">
        <f t="shared" si="108"/>
        <v>#N/A</v>
      </c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50" t="str">
        <f t="shared" si="109"/>
        <v/>
      </c>
      <c r="AN141" s="51" t="str">
        <f>IF(AND($A141&lt;&gt;0,$A141&lt;&gt;""),LOOKUP($A141,Load_Switch_NFET[PARTNUMBER],Load_Switch_NFET[1KPRICE]),"")</f>
        <v/>
      </c>
      <c r="AO141" s="25"/>
      <c r="AP141" s="25" t="str">
        <f t="shared" si="110"/>
        <v>Invalid Part</v>
      </c>
    </row>
    <row r="142" spans="1:48" x14ac:dyDescent="0.25">
      <c r="A142" s="25">
        <f>IF(CH="N",NLogic!B142,"")</f>
        <v>0</v>
      </c>
      <c r="B142" s="41" t="str">
        <f>IF(OR($A142=0,$A142=""),"0",IF(LOOKUP($A142,Load_Switch_NFET[PARTNUMBER],Load_Switch_NFET[RDSON18])="(NULL)","0","1"))</f>
        <v>0</v>
      </c>
      <c r="C142" s="26" t="str">
        <f>IF(OR($A142=0,$A142=""),"0",IF(LOOKUP($A142,Load_Switch_NFET[PARTNUMBER],Load_Switch_NFET[RDSON25])="(NULL)","0","1"))</f>
        <v>0</v>
      </c>
      <c r="D142" s="27" t="str">
        <f>IF(OR($A142=0,$A142=""),"0",IF(LOOKUP($A142,Load_Switch_NFET[PARTNUMBER],Load_Switch_NFET[RDSON3])="(NULL)","0","1"))</f>
        <v>0</v>
      </c>
      <c r="E142" s="28" t="str">
        <f>IF(OR($A142=0,$A142=""),"0",IF(LOOKUP($A142,Load_Switch_NFET[PARTNUMBER],Load_Switch_NFET[RDSON45])="(NULL)","0","1"))</f>
        <v>0</v>
      </c>
      <c r="F142" s="29" t="str">
        <f>IF(OR($A142=0,$A142=""),"0",IF(LOOKUP($A142,Load_Switch_NFET[PARTNUMBER],Load_Switch_NFET[RDSON6])="(NULL)","0","1"))</f>
        <v>0</v>
      </c>
      <c r="G142" s="30" t="str">
        <f>IF(OR($A142=0,$A142=""),"0",IF(LOOKUP($A142,Load_Switch_NFET[PARTNUMBER],Load_Switch_NFET[RDSON8])="(NULL)","0","1"))</f>
        <v>0</v>
      </c>
      <c r="H142" s="31" t="str">
        <f>IF(OR($A142=0,$A142=""),"0",IF(LOOKUP($A142,Load_Switch_NFET[PARTNUMBER],Load_Switch_NFET[RDSON10])="(NULL)","0","1"))</f>
        <v>0</v>
      </c>
      <c r="I142" s="42" t="b">
        <f t="shared" si="93"/>
        <v>0</v>
      </c>
      <c r="J142" s="32" t="b">
        <f t="shared" si="94"/>
        <v>0</v>
      </c>
      <c r="K142" s="33" t="b">
        <f t="shared" si="95"/>
        <v>0</v>
      </c>
      <c r="L142" s="34" t="b">
        <f t="shared" si="96"/>
        <v>0</v>
      </c>
      <c r="M142" s="35" t="b">
        <f t="shared" si="97"/>
        <v>0</v>
      </c>
      <c r="N142" s="36" t="b">
        <f t="shared" si="98"/>
        <v>0</v>
      </c>
      <c r="O142" s="37" t="b">
        <f t="shared" si="99"/>
        <v>0</v>
      </c>
      <c r="P142" s="43" t="b">
        <f t="shared" si="100"/>
        <v>0</v>
      </c>
      <c r="Q142" s="42" t="b">
        <f t="shared" si="101"/>
        <v>0</v>
      </c>
      <c r="R142" s="32" t="b">
        <f t="shared" si="102"/>
        <v>0</v>
      </c>
      <c r="S142" s="33" t="b">
        <f t="shared" si="103"/>
        <v>0</v>
      </c>
      <c r="T142" s="34" t="b">
        <f t="shared" si="104"/>
        <v>0</v>
      </c>
      <c r="U142" s="35" t="b">
        <f t="shared" si="105"/>
        <v>0</v>
      </c>
      <c r="V142" s="36" t="b">
        <f t="shared" si="106"/>
        <v>0</v>
      </c>
      <c r="W142" s="37" t="b">
        <f t="shared" si="107"/>
        <v>0</v>
      </c>
      <c r="X142" s="25" t="str">
        <f>IF(W142,LOOKUP(A142,Load_Switch_NFET[PARTNUMBER],Load_Switch_NFET[RDSON10])*1000,IF(V142,LOOKUP(A142,Load_Switch_NFET[PARTNUMBER],Load_Switch_NFET[RDSON8])*1000,IF(U142,LOOKUP(A142,Load_Switch_NFET[PARTNUMBER],Load_Switch_NFET[RDSON6])*1000,IF(T142,LOOKUP(A142,Load_Switch_NFET[PARTNUMBER],Load_Switch_NFET[RDSON45])*1000,IF(S142,LOOKUP(A142,Load_Switch_NFET[PARTNUMBER],Load_Switch_NFET[RDSON3])*1000,IF(R142,LOOKUP(A142,Load_Switch_NFET[PARTNUMBER],Load_Switch_NFET[RDSON25])*1000,IF(Q142,LOOKUP(A142,Load_Switch_NFET[PARTNUMBER],Load_Switch_NFET[RDSON18])*1000,"")))))))</f>
        <v/>
      </c>
      <c r="Y142" s="38"/>
      <c r="Z142" s="25"/>
      <c r="AA142" s="25"/>
      <c r="AB142" s="25" t="str">
        <f t="shared" si="108"/>
        <v>#N/A</v>
      </c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50" t="str">
        <f t="shared" si="109"/>
        <v/>
      </c>
      <c r="AN142" s="51" t="str">
        <f>IF(AND($A142&lt;&gt;0,$A142&lt;&gt;""),LOOKUP($A142,Load_Switch_NFET[PARTNUMBER],Load_Switch_NFET[1KPRICE]),"")</f>
        <v/>
      </c>
      <c r="AO142" s="25"/>
      <c r="AP142" s="25" t="str">
        <f t="shared" si="110"/>
        <v>Invalid Part</v>
      </c>
    </row>
    <row r="143" spans="1:48" x14ac:dyDescent="0.25">
      <c r="A143" s="25">
        <f>IF(CH="N",NLogic!B143,"")</f>
        <v>0</v>
      </c>
      <c r="B143" s="41" t="str">
        <f>IF(OR($A143=0,$A143=""),"0",IF(LOOKUP($A143,Load_Switch_NFET[PARTNUMBER],Load_Switch_NFET[RDSON18])="(NULL)","0","1"))</f>
        <v>0</v>
      </c>
      <c r="C143" s="26" t="str">
        <f>IF(OR($A143=0,$A143=""),"0",IF(LOOKUP($A143,Load_Switch_NFET[PARTNUMBER],Load_Switch_NFET[RDSON25])="(NULL)","0","1"))</f>
        <v>0</v>
      </c>
      <c r="D143" s="27" t="str">
        <f>IF(OR($A143=0,$A143=""),"0",IF(LOOKUP($A143,Load_Switch_NFET[PARTNUMBER],Load_Switch_NFET[RDSON3])="(NULL)","0","1"))</f>
        <v>0</v>
      </c>
      <c r="E143" s="28" t="str">
        <f>IF(OR($A143=0,$A143=""),"0",IF(LOOKUP($A143,Load_Switch_NFET[PARTNUMBER],Load_Switch_NFET[RDSON45])="(NULL)","0","1"))</f>
        <v>0</v>
      </c>
      <c r="F143" s="29" t="str">
        <f>IF(OR($A143=0,$A143=""),"0",IF(LOOKUP($A143,Load_Switch_NFET[PARTNUMBER],Load_Switch_NFET[RDSON6])="(NULL)","0","1"))</f>
        <v>0</v>
      </c>
      <c r="G143" s="30" t="str">
        <f>IF(OR($A143=0,$A143=""),"0",IF(LOOKUP($A143,Load_Switch_NFET[PARTNUMBER],Load_Switch_NFET[RDSON8])="(NULL)","0","1"))</f>
        <v>0</v>
      </c>
      <c r="H143" s="31" t="str">
        <f>IF(OR($A143=0,$A143=""),"0",IF(LOOKUP($A143,Load_Switch_NFET[PARTNUMBER],Load_Switch_NFET[RDSON10])="(NULL)","0","1"))</f>
        <v>0</v>
      </c>
      <c r="I143" s="42" t="b">
        <f t="shared" si="93"/>
        <v>0</v>
      </c>
      <c r="J143" s="32" t="b">
        <f t="shared" si="94"/>
        <v>0</v>
      </c>
      <c r="K143" s="33" t="b">
        <f t="shared" si="95"/>
        <v>0</v>
      </c>
      <c r="L143" s="34" t="b">
        <f t="shared" si="96"/>
        <v>0</v>
      </c>
      <c r="M143" s="35" t="b">
        <f t="shared" si="97"/>
        <v>0</v>
      </c>
      <c r="N143" s="36" t="b">
        <f t="shared" si="98"/>
        <v>0</v>
      </c>
      <c r="O143" s="37" t="b">
        <f t="shared" si="99"/>
        <v>0</v>
      </c>
      <c r="P143" s="43" t="b">
        <f t="shared" si="100"/>
        <v>0</v>
      </c>
      <c r="Q143" s="42" t="b">
        <f t="shared" si="101"/>
        <v>0</v>
      </c>
      <c r="R143" s="32" t="b">
        <f t="shared" si="102"/>
        <v>0</v>
      </c>
      <c r="S143" s="33" t="b">
        <f t="shared" si="103"/>
        <v>0</v>
      </c>
      <c r="T143" s="34" t="b">
        <f t="shared" si="104"/>
        <v>0</v>
      </c>
      <c r="U143" s="35" t="b">
        <f t="shared" si="105"/>
        <v>0</v>
      </c>
      <c r="V143" s="36" t="b">
        <f t="shared" si="106"/>
        <v>0</v>
      </c>
      <c r="W143" s="37" t="b">
        <f t="shared" si="107"/>
        <v>0</v>
      </c>
      <c r="X143" s="25" t="str">
        <f>IF(W143,LOOKUP(A143,Load_Switch_NFET[PARTNUMBER],Load_Switch_NFET[RDSON10])*1000,IF(V143,LOOKUP(A143,Load_Switch_NFET[PARTNUMBER],Load_Switch_NFET[RDSON8])*1000,IF(U143,LOOKUP(A143,Load_Switch_NFET[PARTNUMBER],Load_Switch_NFET[RDSON6])*1000,IF(T143,LOOKUP(A143,Load_Switch_NFET[PARTNUMBER],Load_Switch_NFET[RDSON45])*1000,IF(S143,LOOKUP(A143,Load_Switch_NFET[PARTNUMBER],Load_Switch_NFET[RDSON3])*1000,IF(R143,LOOKUP(A143,Load_Switch_NFET[PARTNUMBER],Load_Switch_NFET[RDSON25])*1000,IF(Q143,LOOKUP(A143,Load_Switch_NFET[PARTNUMBER],Load_Switch_NFET[RDSON18])*1000,"")))))))</f>
        <v/>
      </c>
      <c r="Y143" s="38"/>
      <c r="Z143" s="25"/>
      <c r="AA143" s="25"/>
      <c r="AB143" s="25" t="str">
        <f t="shared" si="108"/>
        <v>#N/A</v>
      </c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50" t="str">
        <f t="shared" si="109"/>
        <v/>
      </c>
      <c r="AN143" s="51" t="str">
        <f>IF(AND($A143&lt;&gt;0,$A143&lt;&gt;""),LOOKUP($A143,Load_Switch_NFET[PARTNUMBER],Load_Switch_NFET[1KPRICE]),"")</f>
        <v/>
      </c>
      <c r="AO143" s="25"/>
      <c r="AP143" s="25" t="str">
        <f t="shared" si="110"/>
        <v>Invalid Part</v>
      </c>
    </row>
    <row r="144" spans="1:48" x14ac:dyDescent="0.25">
      <c r="A144" s="25">
        <f>IF(CH="N",NLogic!B144,"")</f>
        <v>0</v>
      </c>
      <c r="B144" s="41" t="str">
        <f>IF(OR($A144=0,$A144=""),"0",IF(LOOKUP($A144,Load_Switch_NFET[PARTNUMBER],Load_Switch_NFET[RDSON18])="(NULL)","0","1"))</f>
        <v>0</v>
      </c>
      <c r="C144" s="26" t="str">
        <f>IF(OR($A144=0,$A144=""),"0",IF(LOOKUP($A144,Load_Switch_NFET[PARTNUMBER],Load_Switch_NFET[RDSON25])="(NULL)","0","1"))</f>
        <v>0</v>
      </c>
      <c r="D144" s="27" t="str">
        <f>IF(OR($A144=0,$A144=""),"0",IF(LOOKUP($A144,Load_Switch_NFET[PARTNUMBER],Load_Switch_NFET[RDSON3])="(NULL)","0","1"))</f>
        <v>0</v>
      </c>
      <c r="E144" s="28" t="str">
        <f>IF(OR($A144=0,$A144=""),"0",IF(LOOKUP($A144,Load_Switch_NFET[PARTNUMBER],Load_Switch_NFET[RDSON45])="(NULL)","0","1"))</f>
        <v>0</v>
      </c>
      <c r="F144" s="29" t="str">
        <f>IF(OR($A144=0,$A144=""),"0",IF(LOOKUP($A144,Load_Switch_NFET[PARTNUMBER],Load_Switch_NFET[RDSON6])="(NULL)","0","1"))</f>
        <v>0</v>
      </c>
      <c r="G144" s="30" t="str">
        <f>IF(OR($A144=0,$A144=""),"0",IF(LOOKUP($A144,Load_Switch_NFET[PARTNUMBER],Load_Switch_NFET[RDSON8])="(NULL)","0","1"))</f>
        <v>0</v>
      </c>
      <c r="H144" s="31" t="str">
        <f>IF(OR($A144=0,$A144=""),"0",IF(LOOKUP($A144,Load_Switch_NFET[PARTNUMBER],Load_Switch_NFET[RDSON10])="(NULL)","0","1"))</f>
        <v>0</v>
      </c>
      <c r="I144" s="42" t="b">
        <f t="shared" si="93"/>
        <v>0</v>
      </c>
      <c r="J144" s="32" t="b">
        <f t="shared" si="94"/>
        <v>0</v>
      </c>
      <c r="K144" s="33" t="b">
        <f t="shared" si="95"/>
        <v>0</v>
      </c>
      <c r="L144" s="34" t="b">
        <f t="shared" si="96"/>
        <v>0</v>
      </c>
      <c r="M144" s="35" t="b">
        <f t="shared" si="97"/>
        <v>0</v>
      </c>
      <c r="N144" s="36" t="b">
        <f t="shared" si="98"/>
        <v>0</v>
      </c>
      <c r="O144" s="37" t="b">
        <f t="shared" si="99"/>
        <v>0</v>
      </c>
      <c r="P144" s="43" t="b">
        <f t="shared" si="100"/>
        <v>0</v>
      </c>
      <c r="Q144" s="42" t="b">
        <f t="shared" si="101"/>
        <v>0</v>
      </c>
      <c r="R144" s="32" t="b">
        <f t="shared" si="102"/>
        <v>0</v>
      </c>
      <c r="S144" s="33" t="b">
        <f t="shared" si="103"/>
        <v>0</v>
      </c>
      <c r="T144" s="34" t="b">
        <f t="shared" si="104"/>
        <v>0</v>
      </c>
      <c r="U144" s="35" t="b">
        <f t="shared" si="105"/>
        <v>0</v>
      </c>
      <c r="V144" s="36" t="b">
        <f t="shared" si="106"/>
        <v>0</v>
      </c>
      <c r="W144" s="37" t="b">
        <f t="shared" si="107"/>
        <v>0</v>
      </c>
      <c r="X144" s="25" t="str">
        <f>IF(W144,LOOKUP(A144,Load_Switch_NFET[PARTNUMBER],Load_Switch_NFET[RDSON10])*1000,IF(V144,LOOKUP(A144,Load_Switch_NFET[PARTNUMBER],Load_Switch_NFET[RDSON8])*1000,IF(U144,LOOKUP(A144,Load_Switch_NFET[PARTNUMBER],Load_Switch_NFET[RDSON6])*1000,IF(T144,LOOKUP(A144,Load_Switch_NFET[PARTNUMBER],Load_Switch_NFET[RDSON45])*1000,IF(S144,LOOKUP(A144,Load_Switch_NFET[PARTNUMBER],Load_Switch_NFET[RDSON3])*1000,IF(R144,LOOKUP(A144,Load_Switch_NFET[PARTNUMBER],Load_Switch_NFET[RDSON25])*1000,IF(Q144,LOOKUP(A144,Load_Switch_NFET[PARTNUMBER],Load_Switch_NFET[RDSON18])*1000,"")))))))</f>
        <v/>
      </c>
      <c r="Y144" s="38"/>
      <c r="Z144" s="25"/>
      <c r="AA144" s="25"/>
      <c r="AB144" s="25" t="str">
        <f t="shared" si="108"/>
        <v>#N/A</v>
      </c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50" t="str">
        <f t="shared" si="109"/>
        <v/>
      </c>
      <c r="AN144" s="51" t="str">
        <f>IF(AND($A144&lt;&gt;0,$A144&lt;&gt;""),LOOKUP($A144,Load_Switch_NFET[PARTNUMBER],Load_Switch_NFET[1KPRICE]),"")</f>
        <v/>
      </c>
      <c r="AO144" s="25"/>
      <c r="AP144" s="25" t="str">
        <f t="shared" si="110"/>
        <v>Invalid Part</v>
      </c>
    </row>
    <row r="145" spans="1:1" x14ac:dyDescent="0.25">
      <c r="A145" s="6" t="str">
        <f>IF(CH="P",PLogic!B3,"")</f>
        <v/>
      </c>
    </row>
    <row r="146" spans="1:1" x14ac:dyDescent="0.25">
      <c r="A146" s="6" t="str">
        <f>IF(CH="P",PLogic!B4,"")</f>
        <v/>
      </c>
    </row>
    <row r="147" spans="1:1" x14ac:dyDescent="0.25">
      <c r="A147" s="6" t="str">
        <f>IF(CH="P",PLogic!B5,"")</f>
        <v/>
      </c>
    </row>
    <row r="148" spans="1:1" x14ac:dyDescent="0.25">
      <c r="A148" s="6" t="str">
        <f>IF(CH="P",PLogic!B6,"")</f>
        <v/>
      </c>
    </row>
    <row r="149" spans="1:1" x14ac:dyDescent="0.25">
      <c r="A149" s="6" t="str">
        <f>IF(CH="P",PLogic!B7,"")</f>
        <v/>
      </c>
    </row>
    <row r="150" spans="1:1" x14ac:dyDescent="0.25">
      <c r="A150" s="6" t="str">
        <f>IF(CH="P",PLogic!B8,"")</f>
        <v/>
      </c>
    </row>
    <row r="151" spans="1:1" x14ac:dyDescent="0.25">
      <c r="A151" s="6" t="str">
        <f>IF(CH="P",PLogic!B9,"")</f>
        <v/>
      </c>
    </row>
    <row r="152" spans="1:1" x14ac:dyDescent="0.25">
      <c r="A152" s="6" t="str">
        <f>IF(CH="P",PLogic!B10,"")</f>
        <v/>
      </c>
    </row>
    <row r="153" spans="1:1" x14ac:dyDescent="0.25">
      <c r="A153" s="6" t="str">
        <f>IF(CH="P",PLogic!B11,"")</f>
        <v/>
      </c>
    </row>
    <row r="154" spans="1:1" x14ac:dyDescent="0.25">
      <c r="A154" s="6" t="str">
        <f>IF(CH="P",PLogic!B12,"")</f>
        <v/>
      </c>
    </row>
    <row r="155" spans="1:1" x14ac:dyDescent="0.25">
      <c r="A155" s="6" t="str">
        <f>IF(CH="P",PLogic!B13,"")</f>
        <v/>
      </c>
    </row>
    <row r="156" spans="1:1" x14ac:dyDescent="0.25">
      <c r="A156" s="6" t="str">
        <f>IF(CH="P",PLogic!B14,"")</f>
        <v/>
      </c>
    </row>
    <row r="157" spans="1:1" x14ac:dyDescent="0.25">
      <c r="A157" s="6" t="str">
        <f>IF(CH="P",PLogic!B15,"")</f>
        <v/>
      </c>
    </row>
    <row r="158" spans="1:1" x14ac:dyDescent="0.25">
      <c r="A158" s="6" t="str">
        <f>IF(CH="P",PLogic!B16,"")</f>
        <v/>
      </c>
    </row>
    <row r="159" spans="1:1" x14ac:dyDescent="0.25">
      <c r="A159" s="6" t="str">
        <f>IF(CH="P",PLogic!B17,"")</f>
        <v/>
      </c>
    </row>
    <row r="160" spans="1:1" x14ac:dyDescent="0.25">
      <c r="A160" s="6" t="str">
        <f>IF(CH="P",PLogic!B18,"")</f>
        <v/>
      </c>
    </row>
    <row r="161" spans="1:1" x14ac:dyDescent="0.25">
      <c r="A161" s="6" t="str">
        <f>IF(CH="P",PLogic!B19,"")</f>
        <v/>
      </c>
    </row>
    <row r="162" spans="1:1" x14ac:dyDescent="0.25">
      <c r="A162" s="6" t="str">
        <f>IF(CH="P",PLogic!B20,"")</f>
        <v/>
      </c>
    </row>
    <row r="163" spans="1:1" x14ac:dyDescent="0.25">
      <c r="A163" s="6" t="str">
        <f>IF(CH="P",PLogic!B21,"")</f>
        <v/>
      </c>
    </row>
    <row r="164" spans="1:1" x14ac:dyDescent="0.25">
      <c r="A164" s="6" t="str">
        <f>IF(CH="P",PLogic!B22,"")</f>
        <v/>
      </c>
    </row>
    <row r="165" spans="1:1" x14ac:dyDescent="0.25">
      <c r="A165" s="6" t="str">
        <f>IF(CH="P",PLogic!B23,"")</f>
        <v/>
      </c>
    </row>
    <row r="166" spans="1:1" x14ac:dyDescent="0.25">
      <c r="A166" s="6" t="str">
        <f>IF(CH="P",PLogic!B24,"")</f>
        <v/>
      </c>
    </row>
    <row r="167" spans="1:1" x14ac:dyDescent="0.25">
      <c r="A167" s="6" t="str">
        <f>IF(CH="P",PLogic!B25,"")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AO132"/>
  <sheetViews>
    <sheetView workbookViewId="0">
      <pane xSplit="1" topLeftCell="U1" activePane="topRight" state="frozen"/>
      <selection activeCell="K27" sqref="K27"/>
      <selection pane="topRight" activeCell="AE3" sqref="AE3:AE25"/>
    </sheetView>
  </sheetViews>
  <sheetFormatPr defaultRowHeight="15" x14ac:dyDescent="0.25"/>
  <cols>
    <col min="1" max="1" width="15.28515625" style="6" bestFit="1" customWidth="1"/>
    <col min="2" max="2" width="10.42578125" style="24" customWidth="1"/>
    <col min="3" max="3" width="10.42578125" style="7" customWidth="1"/>
    <col min="4" max="4" width="10.42578125" style="10" customWidth="1"/>
    <col min="5" max="5" width="10.42578125" style="12" customWidth="1"/>
    <col min="6" max="6" width="9.42578125" style="13" customWidth="1"/>
    <col min="7" max="7" width="8.28515625" style="24" customWidth="1"/>
    <col min="8" max="8" width="6.140625" style="7" bestFit="1" customWidth="1"/>
    <col min="9" max="9" width="6.140625" style="10" bestFit="1" customWidth="1"/>
    <col min="10" max="10" width="6.140625" style="12" bestFit="1" customWidth="1"/>
    <col min="11" max="11" width="6.140625" style="13" bestFit="1" customWidth="1"/>
    <col min="12" max="12" width="6.140625" style="18" bestFit="1" customWidth="1"/>
    <col min="13" max="13" width="10.5703125" style="24" customWidth="1"/>
    <col min="14" max="14" width="10.5703125" style="7" customWidth="1"/>
    <col min="15" max="15" width="10.5703125" style="10" customWidth="1"/>
    <col min="16" max="16" width="10.5703125" style="12" customWidth="1"/>
    <col min="17" max="17" width="9.5703125" style="13" customWidth="1"/>
    <col min="18" max="18" width="8.85546875" style="6" customWidth="1"/>
    <col min="19" max="19" width="10.5703125" style="6" customWidth="1"/>
    <col min="20" max="20" width="10.42578125" style="6" customWidth="1"/>
    <col min="21" max="22" width="10" style="6" customWidth="1"/>
    <col min="23" max="23" width="9.42578125" style="6" customWidth="1"/>
    <col min="24" max="24" width="8.5703125" style="6" customWidth="1"/>
    <col min="25" max="25" width="6.42578125" style="6" customWidth="1"/>
    <col min="26" max="26" width="6.7109375" style="6" customWidth="1"/>
    <col min="27" max="27" width="7.28515625" style="6" customWidth="1"/>
    <col min="28" max="28" width="7.5703125" style="6" customWidth="1"/>
    <col min="29" max="29" width="9.5703125" style="6" bestFit="1" customWidth="1"/>
    <col min="30" max="30" width="8.140625" style="49" bestFit="1" customWidth="1"/>
    <col min="31" max="31" width="9.85546875" style="19" customWidth="1"/>
    <col min="32" max="32" width="10.85546875" style="6" customWidth="1"/>
    <col min="33" max="33" width="30.85546875" style="6" bestFit="1" customWidth="1"/>
    <col min="34" max="34" width="8.85546875" style="6"/>
    <col min="35" max="35" width="6.140625" style="6" bestFit="1" customWidth="1"/>
    <col min="36" max="36" width="14.7109375" style="6" bestFit="1" customWidth="1"/>
    <col min="37" max="37" width="13.140625" style="6" bestFit="1" customWidth="1"/>
    <col min="38" max="38" width="13.28515625" style="6" customWidth="1"/>
    <col min="39" max="39" width="11.42578125" bestFit="1" customWidth="1"/>
    <col min="40" max="40" width="13.7109375" customWidth="1"/>
    <col min="41" max="41" width="6.85546875" bestFit="1" customWidth="1"/>
  </cols>
  <sheetData>
    <row r="1" spans="1:41" ht="45" x14ac:dyDescent="0.25">
      <c r="A1" s="6" t="s">
        <v>630</v>
      </c>
      <c r="B1" s="23" t="s">
        <v>614</v>
      </c>
      <c r="C1" s="8" t="s">
        <v>525</v>
      </c>
      <c r="D1" s="9" t="s">
        <v>447</v>
      </c>
      <c r="E1" s="11" t="s">
        <v>449</v>
      </c>
      <c r="F1" s="3" t="s">
        <v>451</v>
      </c>
      <c r="G1" s="23" t="s">
        <v>615</v>
      </c>
      <c r="H1" s="7" t="s">
        <v>526</v>
      </c>
      <c r="I1" s="10" t="s">
        <v>453</v>
      </c>
      <c r="J1" s="12" t="s">
        <v>454</v>
      </c>
      <c r="K1" s="13" t="s">
        <v>417</v>
      </c>
      <c r="L1" s="18" t="s">
        <v>455</v>
      </c>
      <c r="M1" s="24" t="s">
        <v>616</v>
      </c>
      <c r="N1" s="7" t="s">
        <v>527</v>
      </c>
      <c r="O1" s="10" t="s">
        <v>456</v>
      </c>
      <c r="P1" s="12" t="s">
        <v>458</v>
      </c>
      <c r="Q1" s="13" t="s">
        <v>460</v>
      </c>
      <c r="R1" s="6" t="s">
        <v>379</v>
      </c>
      <c r="S1" s="6" t="s">
        <v>462</v>
      </c>
      <c r="T1" s="6" t="s">
        <v>36</v>
      </c>
      <c r="U1" s="6" t="s">
        <v>35</v>
      </c>
      <c r="V1" s="6" t="s">
        <v>628</v>
      </c>
      <c r="W1" s="6" t="s">
        <v>464</v>
      </c>
      <c r="X1" s="6" t="s">
        <v>48</v>
      </c>
      <c r="Y1" s="6" t="s">
        <v>85</v>
      </c>
      <c r="Z1" s="6" t="s">
        <v>84</v>
      </c>
      <c r="AA1" s="6" t="s">
        <v>467</v>
      </c>
      <c r="AB1" s="6" t="s">
        <v>470</v>
      </c>
      <c r="AC1" s="6" t="s">
        <v>465</v>
      </c>
      <c r="AD1" s="49" t="s">
        <v>466</v>
      </c>
      <c r="AE1" s="19" t="s">
        <v>394</v>
      </c>
      <c r="AF1" s="6" t="s">
        <v>76</v>
      </c>
      <c r="AG1" s="6" t="s">
        <v>629</v>
      </c>
      <c r="AH1" s="25"/>
      <c r="AJ1" s="6" t="s">
        <v>528</v>
      </c>
      <c r="AK1" s="6" t="s">
        <v>441</v>
      </c>
      <c r="AL1" s="6" t="s">
        <v>444</v>
      </c>
      <c r="AM1" s="6" t="s">
        <v>445</v>
      </c>
      <c r="AN1" s="6" t="s">
        <v>446</v>
      </c>
      <c r="AO1" t="s">
        <v>379</v>
      </c>
    </row>
    <row r="2" spans="1:41" x14ac:dyDescent="0.25">
      <c r="A2" s="25" t="str">
        <f>IF(CH="P",PLogic!B2,"")</f>
        <v/>
      </c>
      <c r="B2" s="41" t="str">
        <f>IF(OR($A2=0,$A2=""),"0",IF(LOOKUP($A2,Load_Switch_PFET[PARTNUMBER],Load_Switch_PFET[RDSON15])="(NULL)","0","1"))</f>
        <v>0</v>
      </c>
      <c r="C2" s="26" t="str">
        <f>IF(OR($A2=0,$A2=""),"0",IF(LOOKUP($A2,Load_Switch_PFET[PARTNUMBER],Load_Switch_PFET[RDSON18])="(NULL)","0","1"))</f>
        <v>0</v>
      </c>
      <c r="D2" s="27" t="str">
        <f>IF(OR($A2=0,$A2=""),"0",IF(LOOKUP($A2,Load_Switch_PFET[PARTNUMBER],Load_Switch_PFET[RDSON25])="(NULL)","0","1"))</f>
        <v>0</v>
      </c>
      <c r="E2" s="28" t="str">
        <f>IF(OR($A2=0,$A2=""),"0",IF(LOOKUP($A2,Load_Switch_PFET[PARTNUMBER],Load_Switch_PFET[RDSON45])="(NULL)","0","1"))</f>
        <v>0</v>
      </c>
      <c r="F2" s="30" t="str">
        <f>IF(OR($A2=0,$A2=""),"0",IF(LOOKUP($A2,Load_Switch_PFET[PARTNUMBER],Load_Switch_PFET[RDSON8])="(NULL)","0","1"))</f>
        <v>0</v>
      </c>
      <c r="G2" s="42" t="b">
        <f t="shared" ref="G2:G25" si="0">AND(AJ$2,B2="1")</f>
        <v>0</v>
      </c>
      <c r="H2" s="32" t="b">
        <f t="shared" ref="H2:H25" si="1">AND(AK$2,C2="1")</f>
        <v>0</v>
      </c>
      <c r="I2" s="33" t="b">
        <f t="shared" ref="I2:I25" si="2">AND(AL$2,D2="1")</f>
        <v>0</v>
      </c>
      <c r="J2" s="34" t="b">
        <f t="shared" ref="J2:J25" si="3">AND(AM$2,E2="1")</f>
        <v>0</v>
      </c>
      <c r="K2" s="36" t="b">
        <f t="shared" ref="K2:K25" si="4">AND(AN$2,F2="1")</f>
        <v>0</v>
      </c>
      <c r="L2" s="43" t="b">
        <f>OR(PFET_PLOSS[[#This Row],[1V5]:[8V]])</f>
        <v>0</v>
      </c>
      <c r="M2" s="42" t="b">
        <f t="shared" ref="M2:M25" si="5">IF($L2,G2,IF((B2="1"),OR($AI$2,$AI$9)))</f>
        <v>0</v>
      </c>
      <c r="N2" s="32" t="b">
        <f t="shared" ref="N2:N25" si="6">IF($L2,H2,IF((C2="1"),OR($AI$2,$AI$9)))</f>
        <v>0</v>
      </c>
      <c r="O2" s="33" t="b">
        <f t="shared" ref="O2:O25" si="7">IF($L2,I2,IF((D2="1"),OR(AI$2,AI$9,AL$2,J2)))</f>
        <v>0</v>
      </c>
      <c r="P2" s="34" t="b">
        <f t="shared" ref="P2:P25" si="8">IF($L2,J2,IF((E2="1"),OR(AJ$2,AJ$9,AM$2,K2)))</f>
        <v>0</v>
      </c>
      <c r="Q2" s="36" t="b">
        <f t="shared" ref="Q2:Q25" si="9">IF($L2,K2,IF((F2="1"),OR(AK$2,AK$9,AN$2,L2)))</f>
        <v>0</v>
      </c>
      <c r="R2" s="6" t="str">
        <f>IF(Q2,LOOKUP(A2,Load_Switch_PFET[PARTNUMBER],Load_Switch_PFET[RDSON8])*1000,IF(P2,LOOKUP(A2,Load_Switch_PFET[PARTNUMBER],Load_Switch_PFET[RDSON45])*1000,IF(O2,LOOKUP(A2,Load_Switch_PFET[PARTNUMBER],Load_Switch_PFET[RDSON25])*1000,IF(N2,LOOKUP(A2,Load_Switch_PFET[PARTNUMBER],Load_Switch_PFET[RDSON18])*1000,IF(M2,LOOKUP(A2,Load_Switch_PFET[PARTNUMBER],Load_Switch_PFET[RDSON15])*1000,"")))))</f>
        <v/>
      </c>
      <c r="S2" s="19" t="str">
        <f>IF(AND(A2&lt;&gt;0,A2&lt;&gt;""),R2*(1+(Tj-25)*(LOOKUP(A2,Load_Switch_PFET[PARTNUMBER],Load_Switch_PFET[RDSDELTA])/((LOOKUP(A2,Load_Switch_PFET[PARTNUMBER],Load_Switch_PFET[TJMAX])-25)))),"")</f>
        <v/>
      </c>
      <c r="T2" s="6" t="str">
        <f>IF(AND(A2&lt;&gt;0,A2&lt;&gt;""),LOOKUP(A2,Load_Switch_PFET[PARTNUMBER],Load_Switch_PFET[VTHMAX]),"")</f>
        <v/>
      </c>
      <c r="U2" s="6" t="str">
        <f>IF(AND(A2&lt;&gt;0,A2&lt;&gt;""),LOOKUP(A2,Load_Switch_PFET[PARTNUMBER],Load_Switch_PFET[VTHMIN]),"")</f>
        <v/>
      </c>
      <c r="W2" s="6" t="str">
        <f>IF(AND($A2&lt;&gt;0,$A2&lt;&gt;""),LOOKUP($A2,Load_Switch_PFET[PARTNUMBER],Load_Switch_PFET[RGIMAX]),"")</f>
        <v/>
      </c>
      <c r="X2" s="6" t="str">
        <f>IF(AND($A2&lt;&gt;0,$A2&lt;&gt;""),LOOKUP($A2,Load_Switch_PFET[PARTNUMBER],Load_Switch_PFET[QGTYP]),"")</f>
        <v/>
      </c>
      <c r="Y2" s="6" t="str">
        <f>IF(AND($A2&lt;&gt;0,$A2&lt;&gt;""),LOOKUP($A2,Load_Switch_PFET[PARTNUMBER],Load_Switch_PFET[QGS]),"")</f>
        <v/>
      </c>
      <c r="Z2" s="6" t="str">
        <f>IF(AND($A2&lt;&gt;0,$A2&lt;&gt;""),LOOKUP($A2,Load_Switch_PFET[PARTNUMBER],Load_Switch_PFET[QGD]),"")</f>
        <v/>
      </c>
      <c r="AA2" s="6" t="str">
        <f>IF(AND($A2&lt;&gt;0,$A2&lt;&gt;""),LOOKUP($A2,Load_Switch_PFET[PARTNUMBER],Load_Switch_PFET[COSS_AT_VDSSPEC]),"")</f>
        <v/>
      </c>
      <c r="AB2" s="6" t="str">
        <f>IF(AND(A2&lt;&gt;0,A2&lt;&gt;""),(T2+U2)/2,"")</f>
        <v/>
      </c>
      <c r="AC2" s="6" t="str">
        <f t="shared" ref="AC2:AC25" si="10">IF(AND($A2&lt;&gt;0,$A2&lt;&gt;""),Io^2*S2*m,"")</f>
        <v/>
      </c>
      <c r="AD2" s="49" t="str">
        <f t="shared" ref="AD2:AD25" si="11">IF(AND($A2&lt;&gt;0,$A2&lt;&gt;""),ROUND(AC2,3),"")</f>
        <v/>
      </c>
      <c r="AE2" s="46" t="str">
        <f>IF(AND($A2&lt;&gt;0,$A2&lt;&gt;""),LOOKUP($A2,Load_Switch_PFET[PARTNUMBER],Load_Switch_PFET[1KPRICE]),"")</f>
        <v/>
      </c>
      <c r="AF2" s="6" t="str">
        <f>IF(AND($A2&lt;&gt;0,$A2&lt;&gt;""),LOOKUP(A2,Load_Switch_PFET[PARTNUMBER],Load_Switch_PFET[TI_EQ_PACKAGE]),"")</f>
        <v/>
      </c>
      <c r="AH2" s="25"/>
      <c r="AI2" s="6" t="b">
        <f>AND('NFET Data'!L2&gt;1.1*Vi,'NFET Data'!M2&gt;1.1*(VGS_DR))</f>
        <v>1</v>
      </c>
      <c r="AJ2" s="20" t="b">
        <f>((VGS_DR)&gt;=1.5)</f>
        <v>1</v>
      </c>
      <c r="AK2" s="20" t="b">
        <f>((VGS_DR)&gt;=1.7)</f>
        <v>1</v>
      </c>
      <c r="AL2" s="20" t="b">
        <f>((VGS_DR)&gt;=2.2)</f>
        <v>1</v>
      </c>
      <c r="AM2" s="20" t="b">
        <f>((VGS_DR)&gt;=4)</f>
        <v>1</v>
      </c>
      <c r="AN2" s="20" t="b">
        <f>((VGS_DR)&gt;=7)</f>
        <v>0</v>
      </c>
    </row>
    <row r="3" spans="1:41" x14ac:dyDescent="0.25">
      <c r="A3" s="6" t="str">
        <f>IF(CH="P",PLogic!B3,"")</f>
        <v/>
      </c>
      <c r="B3" s="41" t="str">
        <f>IF(OR($A3=0,$A3=""),"0",IF(LOOKUP($A3,Load_Switch_PFET[PARTNUMBER],Load_Switch_PFET[RDSON15])="(NULL)","0","1"))</f>
        <v>0</v>
      </c>
      <c r="C3" s="26" t="str">
        <f>IF(OR($A3=0,$A3=""),"0",IF(LOOKUP($A3,Load_Switch_PFET[PARTNUMBER],Load_Switch_PFET[RDSON18])="(NULL)","0","1"))</f>
        <v>0</v>
      </c>
      <c r="D3" s="27" t="str">
        <f>IF(OR($A3=0,$A3=""),"0",IF(LOOKUP($A3,Load_Switch_PFET[PARTNUMBER],Load_Switch_PFET[RDSON25])="(NULL)","0","1"))</f>
        <v>0</v>
      </c>
      <c r="E3" s="28" t="str">
        <f>IF(OR($A3=0,$A3=""),"0",IF(LOOKUP($A3,Load_Switch_PFET[PARTNUMBER],Load_Switch_PFET[RDSON45])="(NULL)","0","1"))</f>
        <v>0</v>
      </c>
      <c r="F3" s="30" t="str">
        <f>IF(OR($A3=0,$A3=""),"0",IF(LOOKUP($A3,Load_Switch_PFET[PARTNUMBER],Load_Switch_PFET[RDSON8])="(NULL)","0","1"))</f>
        <v>0</v>
      </c>
      <c r="G3" s="42" t="b">
        <f t="shared" si="0"/>
        <v>0</v>
      </c>
      <c r="H3" s="32" t="b">
        <f t="shared" si="1"/>
        <v>0</v>
      </c>
      <c r="I3" s="33" t="b">
        <f t="shared" si="2"/>
        <v>0</v>
      </c>
      <c r="J3" s="34" t="b">
        <f t="shared" si="3"/>
        <v>0</v>
      </c>
      <c r="K3" s="36" t="b">
        <f t="shared" si="4"/>
        <v>0</v>
      </c>
      <c r="L3" s="43" t="b">
        <f>OR(PFET_PLOSS[[#This Row],[1V5]:[8V]])</f>
        <v>0</v>
      </c>
      <c r="M3" s="42" t="b">
        <f t="shared" si="5"/>
        <v>0</v>
      </c>
      <c r="N3" s="32" t="b">
        <f t="shared" si="6"/>
        <v>0</v>
      </c>
      <c r="O3" s="33" t="b">
        <f t="shared" si="7"/>
        <v>0</v>
      </c>
      <c r="P3" s="34" t="b">
        <f t="shared" si="8"/>
        <v>0</v>
      </c>
      <c r="Q3" s="36" t="b">
        <f t="shared" si="9"/>
        <v>0</v>
      </c>
      <c r="R3" s="6" t="str">
        <f>IF(Q3,LOOKUP(A3,Load_Switch_PFET[PARTNUMBER],Load_Switch_PFET[RDSON8])*1000,IF(P3,LOOKUP(A3,Load_Switch_PFET[PARTNUMBER],Load_Switch_PFET[RDSON45])*1000,IF(O3,LOOKUP(A3,Load_Switch_PFET[PARTNUMBER],Load_Switch_PFET[RDSON25])*1000,IF(N3,LOOKUP(A3,Load_Switch_PFET[PARTNUMBER],Load_Switch_PFET[RDSON18])*1000,IF(M3,LOOKUP(A3,Load_Switch_PFET[PARTNUMBER],Load_Switch_PFET[RDSON15])*1000,"")))))</f>
        <v/>
      </c>
      <c r="S3" s="19" t="str">
        <f>IF(AND(A3&lt;&gt;0,A3&lt;&gt;""),R3*(1+(Tj-25)*(LOOKUP(A3,Load_Switch_PFET[PARTNUMBER],Load_Switch_PFET[RDSDELTA])/((LOOKUP(A3,Load_Switch_PFET[PARTNUMBER],Load_Switch_PFET[TJMAX])-25)))),"")</f>
        <v/>
      </c>
      <c r="T3" s="6" t="str">
        <f>IF(AND(A3&lt;&gt;0,A3&lt;&gt;""),LOOKUP(A3,Load_Switch_PFET[PARTNUMBER],Load_Switch_PFET[VTHMAX]),"")</f>
        <v/>
      </c>
      <c r="U3" s="6" t="str">
        <f>IF(AND(A3&lt;&gt;0,A3&lt;&gt;""),LOOKUP(A3,Load_Switch_PFET[PARTNUMBER],Load_Switch_PFET[VTHMIN]),"")</f>
        <v/>
      </c>
      <c r="V3" s="6" t="str">
        <f t="shared" ref="V3:V25" si="12">IF(AND(A3&lt;&gt;0,A3&lt;&gt;""),IF(B3="1",-1.5,IF(C3="1",-1.8,IF(D3="1",-2.5,IF(E3="1",-4.5,IF(F3="1",-8))))),"#N/A")</f>
        <v>#N/A</v>
      </c>
      <c r="W3" s="6" t="str">
        <f>IF(AND($A3&lt;&gt;0,$A3&lt;&gt;""),LOOKUP($A3,Load_Switch_PFET[PARTNUMBER],Load_Switch_PFET[RGIMAX]),"")</f>
        <v/>
      </c>
      <c r="X3" s="6" t="str">
        <f>IF(AND($A3&lt;&gt;0,$A3&lt;&gt;""),LOOKUP($A3,Load_Switch_PFET[PARTNUMBER],Load_Switch_PFET[QGTYP]),"")</f>
        <v/>
      </c>
      <c r="Y3" s="6" t="str">
        <f>IF(AND($A3&lt;&gt;0,$A3&lt;&gt;""),LOOKUP($A3,Load_Switch_PFET[PARTNUMBER],Load_Switch_PFET[QGS]),"")</f>
        <v/>
      </c>
      <c r="Z3" s="6" t="str">
        <f>IF(AND($A3&lt;&gt;0,$A3&lt;&gt;""),LOOKUP($A3,Load_Switch_PFET[PARTNUMBER],Load_Switch_PFET[QGD]),"")</f>
        <v/>
      </c>
      <c r="AA3" s="6" t="str">
        <f>IF(AND($A3&lt;&gt;0,$A3&lt;&gt;""),LOOKUP($A3,Load_Switch_PFET[PARTNUMBER],Load_Switch_PFET[COSS_AT_VDSSPEC]),"")</f>
        <v/>
      </c>
      <c r="AB3" s="6" t="str">
        <f t="shared" ref="AB3" si="13">IF(AND(A3&lt;&gt;0,A3&lt;&gt;""),(T3+U3)/2,"")</f>
        <v/>
      </c>
      <c r="AC3" s="6" t="str">
        <f t="shared" si="10"/>
        <v/>
      </c>
      <c r="AD3" s="49" t="str">
        <f t="shared" si="11"/>
        <v/>
      </c>
      <c r="AE3" s="46" t="str">
        <f>IF(AND($A3&lt;&gt;0,$A3&lt;&gt;""),LOOKUP($A3,Load_Switch_PFET[PARTNUMBER],Load_Switch_PFET[1KPRICE]),"")</f>
        <v/>
      </c>
      <c r="AF3" s="6" t="str">
        <f>IF(AND($A3&lt;&gt;0,$A3&lt;&gt;""),LOOKUP(A3,Load_Switch_PFET[PARTNUMBER],Load_Switch_PFET[TI_EQ_PACKAGE]),"")</f>
        <v/>
      </c>
      <c r="AG3" s="6" t="str">
        <f t="shared" ref="AG3:AG25" si="14">IF(AND($A3&lt;&gt;0,$A3&lt;&gt;""),CONCATENATE(A3,", ",AF3,", ",AD3,"W, $",AE3),"Invalid Part")</f>
        <v>Invalid Part</v>
      </c>
      <c r="AO3" t="e">
        <f>IF(AK5,LOOKUP(Part_Number,Load_Switch_NFET[PARTNUMBER],Load_Switch_NFET[RDSON25])*1000,IF(#REF!,LOOKUP(Part_Number,Load_Switch_NFET[PARTNUMBER],Load_Switch_NFET[RDSON3])*1000,IF(AM5,LOOKUP(Part_Number,Load_Switch_NFET[PARTNUMBER],Load_Switch_NFET[RDSON8])*1000,IF(#REF!,LOOKUP(Part_Number,Load_Switch_NFET[PARTNUMBER],Load_Switch_NFET[RDSON6])*1000,IF(AL5,LOOKUP(Part_Number,Load_Switch_NFET[PARTNUMBER],Load_Switch_NFET[RDSON45])*1000,IF(AN5,LOOKUP(Part_Number,Load_Switch_NFET[PARTNUMBER],Load_Switch_NFET[RDSON10])*1000,""))))))</f>
        <v>#REF!</v>
      </c>
    </row>
    <row r="4" spans="1:41" x14ac:dyDescent="0.25">
      <c r="A4" s="6" t="str">
        <f>IF(CH="P",PLogic!B4,"")</f>
        <v/>
      </c>
      <c r="B4" s="41" t="str">
        <f>IF(OR($A4=0,$A4=""),"0",IF(LOOKUP($A4,Load_Switch_PFET[PARTNUMBER],Load_Switch_PFET[RDSON15])="(NULL)","0","1"))</f>
        <v>0</v>
      </c>
      <c r="C4" s="26" t="str">
        <f>IF(OR($A4=0,$A4=""),"0",IF(LOOKUP($A4,Load_Switch_PFET[PARTNUMBER],Load_Switch_PFET[RDSON18])="(NULL)","0","1"))</f>
        <v>0</v>
      </c>
      <c r="D4" s="27" t="str">
        <f>IF(OR($A4=0,$A4=""),"0",IF(LOOKUP($A4,Load_Switch_PFET[PARTNUMBER],Load_Switch_PFET[RDSON25])="(NULL)","0","1"))</f>
        <v>0</v>
      </c>
      <c r="E4" s="28" t="str">
        <f>IF(OR($A4=0,$A4=""),"0",IF(LOOKUP($A4,Load_Switch_PFET[PARTNUMBER],Load_Switch_PFET[RDSON45])="(NULL)","0","1"))</f>
        <v>0</v>
      </c>
      <c r="F4" s="30" t="str">
        <f>IF(OR($A4=0,$A4=""),"0",IF(LOOKUP($A4,Load_Switch_PFET[PARTNUMBER],Load_Switch_PFET[RDSON8])="(NULL)","0","1"))</f>
        <v>0</v>
      </c>
      <c r="G4" s="42" t="b">
        <f t="shared" si="0"/>
        <v>0</v>
      </c>
      <c r="H4" s="32" t="b">
        <f t="shared" si="1"/>
        <v>0</v>
      </c>
      <c r="I4" s="33" t="b">
        <f t="shared" si="2"/>
        <v>0</v>
      </c>
      <c r="J4" s="34" t="b">
        <f t="shared" si="3"/>
        <v>0</v>
      </c>
      <c r="K4" s="36" t="b">
        <f t="shared" si="4"/>
        <v>0</v>
      </c>
      <c r="L4" s="43" t="b">
        <f>OR(PFET_PLOSS[[#This Row],[1V5]:[8V]])</f>
        <v>0</v>
      </c>
      <c r="M4" s="42" t="b">
        <f t="shared" si="5"/>
        <v>0</v>
      </c>
      <c r="N4" s="32" t="b">
        <f t="shared" si="6"/>
        <v>0</v>
      </c>
      <c r="O4" s="33" t="b">
        <f t="shared" si="7"/>
        <v>0</v>
      </c>
      <c r="P4" s="34" t="b">
        <f t="shared" si="8"/>
        <v>0</v>
      </c>
      <c r="Q4" s="36" t="b">
        <f t="shared" si="9"/>
        <v>0</v>
      </c>
      <c r="R4" s="6" t="str">
        <f>IF(Q4,LOOKUP(A4,Load_Switch_PFET[PARTNUMBER],Load_Switch_PFET[RDSON8])*1000,IF(P4,LOOKUP(A4,Load_Switch_PFET[PARTNUMBER],Load_Switch_PFET[RDSON45])*1000,IF(O4,LOOKUP(A4,Load_Switch_PFET[PARTNUMBER],Load_Switch_PFET[RDSON25])*1000,IF(N4,LOOKUP(A4,Load_Switch_PFET[PARTNUMBER],Load_Switch_PFET[RDSON18])*1000,IF(M4,LOOKUP(A4,Load_Switch_PFET[PARTNUMBER],Load_Switch_PFET[RDSON15])*1000,"")))))</f>
        <v/>
      </c>
      <c r="S4" s="19" t="str">
        <f>IF(AND(A4&lt;&gt;0,A4&lt;&gt;""),R4*(1+(Tj-25)*(LOOKUP(A4,Load_Switch_PFET[PARTNUMBER],Load_Switch_PFET[RDSDELTA])/((LOOKUP(A4,Load_Switch_PFET[PARTNUMBER],Load_Switch_PFET[TJMAX])-25)))),"")</f>
        <v/>
      </c>
      <c r="T4" s="6" t="str">
        <f>IF(AND(A4&lt;&gt;0,A4&lt;&gt;""),LOOKUP(A4,Load_Switch_PFET[PARTNUMBER],Load_Switch_PFET[VTHMAX]),"")</f>
        <v/>
      </c>
      <c r="U4" s="6" t="str">
        <f>IF(AND(A4&lt;&gt;0,A4&lt;&gt;""),LOOKUP(A4,Load_Switch_PFET[PARTNUMBER],Load_Switch_PFET[VTHMIN]),"")</f>
        <v/>
      </c>
      <c r="V4" s="6" t="str">
        <f t="shared" si="12"/>
        <v>#N/A</v>
      </c>
      <c r="W4" s="6" t="str">
        <f>IF(AND($A4&lt;&gt;0,$A4&lt;&gt;""),LOOKUP($A4,Load_Switch_PFET[PARTNUMBER],Load_Switch_PFET[RGIMAX]),"")</f>
        <v/>
      </c>
      <c r="X4" s="6" t="str">
        <f>IF(AND($A4&lt;&gt;0,$A4&lt;&gt;""),LOOKUP($A4,Load_Switch_PFET[PARTNUMBER],Load_Switch_PFET[QGTYP]),"")</f>
        <v/>
      </c>
      <c r="Y4" s="6" t="str">
        <f>IF(AND($A4&lt;&gt;0,$A4&lt;&gt;""),LOOKUP($A4,Load_Switch_PFET[PARTNUMBER],Load_Switch_PFET[QGS]),"")</f>
        <v/>
      </c>
      <c r="Z4" s="6" t="str">
        <f>IF(AND($A4&lt;&gt;0,$A4&lt;&gt;""),LOOKUP($A4,Load_Switch_PFET[PARTNUMBER],Load_Switch_PFET[QGD]),"")</f>
        <v/>
      </c>
      <c r="AA4" s="6" t="str">
        <f>IF(AND($A4&lt;&gt;0,$A4&lt;&gt;""),LOOKUP($A4,Load_Switch_PFET[PARTNUMBER],Load_Switch_PFET[COSS_AT_VDSSPEC]),"")</f>
        <v/>
      </c>
      <c r="AB4" s="6" t="str">
        <f t="shared" ref="AB4:AB25" si="15">IF(AND(A4&lt;&gt;0,A4&lt;&gt;""),(T4+U4)/2,"")</f>
        <v/>
      </c>
      <c r="AC4" s="6" t="str">
        <f t="shared" si="10"/>
        <v/>
      </c>
      <c r="AD4" s="49" t="str">
        <f t="shared" si="11"/>
        <v/>
      </c>
      <c r="AE4" s="46" t="str">
        <f>IF(AND($A4&lt;&gt;0,$A4&lt;&gt;""),LOOKUP($A4,Load_Switch_PFET[PARTNUMBER],Load_Switch_PFET[1KPRICE]),"")</f>
        <v/>
      </c>
      <c r="AF4" s="6" t="str">
        <f>IF(AND($A4&lt;&gt;0,$A4&lt;&gt;""),LOOKUP(A4,Load_Switch_PFET[PARTNUMBER],Load_Switch_PFET[TI_EQ_PACKAGE]),"")</f>
        <v/>
      </c>
      <c r="AG4" s="6" t="str">
        <f t="shared" si="14"/>
        <v>Invalid Part</v>
      </c>
    </row>
    <row r="5" spans="1:41" x14ac:dyDescent="0.25">
      <c r="A5" s="6" t="str">
        <f>IF(CH="P",PLogic!B5,"")</f>
        <v/>
      </c>
      <c r="B5" s="41" t="str">
        <f>IF(OR($A5=0,$A5=""),"0",IF(LOOKUP($A5,Load_Switch_PFET[PARTNUMBER],Load_Switch_PFET[RDSON15])="(NULL)","0","1"))</f>
        <v>0</v>
      </c>
      <c r="C5" s="26" t="str">
        <f>IF(OR($A5=0,$A5=""),"0",IF(LOOKUP($A5,Load_Switch_PFET[PARTNUMBER],Load_Switch_PFET[RDSON18])="(NULL)","0","1"))</f>
        <v>0</v>
      </c>
      <c r="D5" s="27" t="str">
        <f>IF(OR($A5=0,$A5=""),"0",IF(LOOKUP($A5,Load_Switch_PFET[PARTNUMBER],Load_Switch_PFET[RDSON25])="(NULL)","0","1"))</f>
        <v>0</v>
      </c>
      <c r="E5" s="28" t="str">
        <f>IF(OR($A5=0,$A5=""),"0",IF(LOOKUP($A5,Load_Switch_PFET[PARTNUMBER],Load_Switch_PFET[RDSON45])="(NULL)","0","1"))</f>
        <v>0</v>
      </c>
      <c r="F5" s="30" t="str">
        <f>IF(OR($A5=0,$A5=""),"0",IF(LOOKUP($A5,Load_Switch_PFET[PARTNUMBER],Load_Switch_PFET[RDSON8])="(NULL)","0","1"))</f>
        <v>0</v>
      </c>
      <c r="G5" s="42" t="b">
        <f t="shared" si="0"/>
        <v>0</v>
      </c>
      <c r="H5" s="32" t="b">
        <f t="shared" si="1"/>
        <v>0</v>
      </c>
      <c r="I5" s="33" t="b">
        <f t="shared" si="2"/>
        <v>0</v>
      </c>
      <c r="J5" s="34" t="b">
        <f t="shared" si="3"/>
        <v>0</v>
      </c>
      <c r="K5" s="36" t="b">
        <f t="shared" si="4"/>
        <v>0</v>
      </c>
      <c r="L5" s="43" t="b">
        <f>OR(PFET_PLOSS[[#This Row],[1V5]:[8V]])</f>
        <v>0</v>
      </c>
      <c r="M5" s="42" t="b">
        <f t="shared" si="5"/>
        <v>0</v>
      </c>
      <c r="N5" s="32" t="b">
        <f t="shared" si="6"/>
        <v>0</v>
      </c>
      <c r="O5" s="33" t="b">
        <f t="shared" si="7"/>
        <v>0</v>
      </c>
      <c r="P5" s="34" t="b">
        <f t="shared" si="8"/>
        <v>0</v>
      </c>
      <c r="Q5" s="36" t="b">
        <f t="shared" si="9"/>
        <v>0</v>
      </c>
      <c r="R5" s="6" t="str">
        <f>IF(Q5,LOOKUP(A5,Load_Switch_PFET[PARTNUMBER],Load_Switch_PFET[RDSON8])*1000,IF(P5,LOOKUP(A5,Load_Switch_PFET[PARTNUMBER],Load_Switch_PFET[RDSON45])*1000,IF(O5,LOOKUP(A5,Load_Switch_PFET[PARTNUMBER],Load_Switch_PFET[RDSON25])*1000,IF(N5,LOOKUP(A5,Load_Switch_PFET[PARTNUMBER],Load_Switch_PFET[RDSON18])*1000,IF(M5,LOOKUP(A5,Load_Switch_PFET[PARTNUMBER],Load_Switch_PFET[RDSON15])*1000,"")))))</f>
        <v/>
      </c>
      <c r="S5" s="19" t="str">
        <f>IF(AND(A5&lt;&gt;0,A5&lt;&gt;""),R5*(1+(Tj-25)*(LOOKUP(A5,Load_Switch_PFET[PARTNUMBER],Load_Switch_PFET[RDSDELTA])/((LOOKUP(A5,Load_Switch_PFET[PARTNUMBER],Load_Switch_PFET[TJMAX])-25)))),"")</f>
        <v/>
      </c>
      <c r="T5" s="6" t="str">
        <f>IF(AND(A5&lt;&gt;0,A5&lt;&gt;""),LOOKUP(A5,Load_Switch_PFET[PARTNUMBER],Load_Switch_PFET[VTHMAX]),"")</f>
        <v/>
      </c>
      <c r="U5" s="6" t="str">
        <f>IF(AND(A5&lt;&gt;0,A5&lt;&gt;""),LOOKUP(A5,Load_Switch_PFET[PARTNUMBER],Load_Switch_PFET[VTHMIN]),"")</f>
        <v/>
      </c>
      <c r="V5" s="6" t="str">
        <f t="shared" si="12"/>
        <v>#N/A</v>
      </c>
      <c r="W5" s="6" t="str">
        <f>IF(AND($A5&lt;&gt;0,$A5&lt;&gt;""),LOOKUP($A5,Load_Switch_PFET[PARTNUMBER],Load_Switch_PFET[RGIMAX]),"")</f>
        <v/>
      </c>
      <c r="X5" s="6" t="str">
        <f>IF(AND($A5&lt;&gt;0,$A5&lt;&gt;""),LOOKUP($A5,Load_Switch_PFET[PARTNUMBER],Load_Switch_PFET[QGTYP]),"")</f>
        <v/>
      </c>
      <c r="Y5" s="6" t="str">
        <f>IF(AND($A5&lt;&gt;0,$A5&lt;&gt;""),LOOKUP($A5,Load_Switch_PFET[PARTNUMBER],Load_Switch_PFET[QGS]),"")</f>
        <v/>
      </c>
      <c r="Z5" s="6" t="str">
        <f>IF(AND($A5&lt;&gt;0,$A5&lt;&gt;""),LOOKUP($A5,Load_Switch_PFET[PARTNUMBER],Load_Switch_PFET[QGD]),"")</f>
        <v/>
      </c>
      <c r="AA5" s="6" t="str">
        <f>IF(AND($A5&lt;&gt;0,$A5&lt;&gt;""),LOOKUP($A5,Load_Switch_PFET[PARTNUMBER],Load_Switch_PFET[COSS_AT_VDSSPEC]),"")</f>
        <v/>
      </c>
      <c r="AB5" s="6" t="str">
        <f t="shared" si="15"/>
        <v/>
      </c>
      <c r="AC5" s="6" t="str">
        <f t="shared" si="10"/>
        <v/>
      </c>
      <c r="AD5" s="49" t="str">
        <f t="shared" si="11"/>
        <v/>
      </c>
      <c r="AE5" s="46" t="str">
        <f>IF(AND($A5&lt;&gt;0,$A5&lt;&gt;""),LOOKUP($A5,Load_Switch_PFET[PARTNUMBER],Load_Switch_PFET[1KPRICE]),"")</f>
        <v/>
      </c>
      <c r="AF5" s="6" t="str">
        <f>IF(AND($A5&lt;&gt;0,$A5&lt;&gt;""),LOOKUP(A5,Load_Switch_PFET[PARTNUMBER],Load_Switch_PFET[TI_EQ_PACKAGE]),"")</f>
        <v/>
      </c>
      <c r="AG5" s="6" t="str">
        <f t="shared" si="14"/>
        <v>Invalid Part</v>
      </c>
    </row>
    <row r="6" spans="1:41" x14ac:dyDescent="0.25">
      <c r="A6" s="6" t="str">
        <f>IF(CH="P",PLogic!B6,"")</f>
        <v/>
      </c>
      <c r="B6" s="41" t="str">
        <f>IF(OR($A6=0,$A6=""),"0",IF(LOOKUP($A6,Load_Switch_PFET[PARTNUMBER],Load_Switch_PFET[RDSON15])="(NULL)","0","1"))</f>
        <v>0</v>
      </c>
      <c r="C6" s="26" t="str">
        <f>IF(OR($A6=0,$A6=""),"0",IF(LOOKUP($A6,Load_Switch_PFET[PARTNUMBER],Load_Switch_PFET[RDSON18])="(NULL)","0","1"))</f>
        <v>0</v>
      </c>
      <c r="D6" s="27" t="str">
        <f>IF(OR($A6=0,$A6=""),"0",IF(LOOKUP($A6,Load_Switch_PFET[PARTNUMBER],Load_Switch_PFET[RDSON25])="(NULL)","0","1"))</f>
        <v>0</v>
      </c>
      <c r="E6" s="28" t="str">
        <f>IF(OR($A6=0,$A6=""),"0",IF(LOOKUP($A6,Load_Switch_PFET[PARTNUMBER],Load_Switch_PFET[RDSON45])="(NULL)","0","1"))</f>
        <v>0</v>
      </c>
      <c r="F6" s="30" t="str">
        <f>IF(OR($A6=0,$A6=""),"0",IF(LOOKUP($A6,Load_Switch_PFET[PARTNUMBER],Load_Switch_PFET[RDSON8])="(NULL)","0","1"))</f>
        <v>0</v>
      </c>
      <c r="G6" s="42" t="b">
        <f t="shared" si="0"/>
        <v>0</v>
      </c>
      <c r="H6" s="32" t="b">
        <f t="shared" si="1"/>
        <v>0</v>
      </c>
      <c r="I6" s="33" t="b">
        <f t="shared" si="2"/>
        <v>0</v>
      </c>
      <c r="J6" s="34" t="b">
        <f t="shared" si="3"/>
        <v>0</v>
      </c>
      <c r="K6" s="36" t="b">
        <f t="shared" si="4"/>
        <v>0</v>
      </c>
      <c r="L6" s="43" t="b">
        <f>OR(PFET_PLOSS[[#This Row],[1V5]:[8V]])</f>
        <v>0</v>
      </c>
      <c r="M6" s="42" t="b">
        <f t="shared" si="5"/>
        <v>0</v>
      </c>
      <c r="N6" s="32" t="b">
        <f t="shared" si="6"/>
        <v>0</v>
      </c>
      <c r="O6" s="33" t="b">
        <f t="shared" si="7"/>
        <v>0</v>
      </c>
      <c r="P6" s="34" t="b">
        <f t="shared" si="8"/>
        <v>0</v>
      </c>
      <c r="Q6" s="36" t="b">
        <f t="shared" si="9"/>
        <v>0</v>
      </c>
      <c r="R6" s="6" t="str">
        <f>IF(Q6,LOOKUP(A6,Load_Switch_PFET[PARTNUMBER],Load_Switch_PFET[RDSON8])*1000,IF(P6,LOOKUP(A6,Load_Switch_PFET[PARTNUMBER],Load_Switch_PFET[RDSON45])*1000,IF(O6,LOOKUP(A6,Load_Switch_PFET[PARTNUMBER],Load_Switch_PFET[RDSON25])*1000,IF(N6,LOOKUP(A6,Load_Switch_PFET[PARTNUMBER],Load_Switch_PFET[RDSON18])*1000,IF(M6,LOOKUP(A6,Load_Switch_PFET[PARTNUMBER],Load_Switch_PFET[RDSON15])*1000,"")))))</f>
        <v/>
      </c>
      <c r="S6" s="19" t="str">
        <f>IF(AND(A6&lt;&gt;0,A6&lt;&gt;""),R6*(1+(Tj-25)*(LOOKUP(A6,Load_Switch_PFET[PARTNUMBER],Load_Switch_PFET[RDSDELTA])/((LOOKUP(A6,Load_Switch_PFET[PARTNUMBER],Load_Switch_PFET[TJMAX])-25)))),"")</f>
        <v/>
      </c>
      <c r="T6" s="6" t="str">
        <f>IF(AND(A6&lt;&gt;0,A6&lt;&gt;""),LOOKUP(A6,Load_Switch_PFET[PARTNUMBER],Load_Switch_PFET[VTHMAX]),"")</f>
        <v/>
      </c>
      <c r="U6" s="6" t="str">
        <f>IF(AND(A6&lt;&gt;0,A6&lt;&gt;""),LOOKUP(A6,Load_Switch_PFET[PARTNUMBER],Load_Switch_PFET[VTHMIN]),"")</f>
        <v/>
      </c>
      <c r="V6" s="6" t="str">
        <f t="shared" si="12"/>
        <v>#N/A</v>
      </c>
      <c r="W6" s="6" t="str">
        <f>IF(AND($A6&lt;&gt;0,$A6&lt;&gt;""),LOOKUP($A6,Load_Switch_PFET[PARTNUMBER],Load_Switch_PFET[RGIMAX]),"")</f>
        <v/>
      </c>
      <c r="X6" s="6" t="str">
        <f>IF(AND($A6&lt;&gt;0,$A6&lt;&gt;""),LOOKUP($A6,Load_Switch_PFET[PARTNUMBER],Load_Switch_PFET[QGTYP]),"")</f>
        <v/>
      </c>
      <c r="Y6" s="6" t="str">
        <f>IF(AND($A6&lt;&gt;0,$A6&lt;&gt;""),LOOKUP($A6,Load_Switch_PFET[PARTNUMBER],Load_Switch_PFET[QGS]),"")</f>
        <v/>
      </c>
      <c r="Z6" s="6" t="str">
        <f>IF(AND($A6&lt;&gt;0,$A6&lt;&gt;""),LOOKUP($A6,Load_Switch_PFET[PARTNUMBER],Load_Switch_PFET[QGD]),"")</f>
        <v/>
      </c>
      <c r="AA6" s="6" t="str">
        <f>IF(AND($A6&lt;&gt;0,$A6&lt;&gt;""),LOOKUP($A6,Load_Switch_PFET[PARTNUMBER],Load_Switch_PFET[COSS_AT_VDSSPEC]),"")</f>
        <v/>
      </c>
      <c r="AB6" s="6" t="str">
        <f t="shared" si="15"/>
        <v/>
      </c>
      <c r="AC6" s="6" t="str">
        <f t="shared" si="10"/>
        <v/>
      </c>
      <c r="AD6" s="49" t="str">
        <f t="shared" si="11"/>
        <v/>
      </c>
      <c r="AE6" s="46" t="str">
        <f>IF(AND($A6&lt;&gt;0,$A6&lt;&gt;""),LOOKUP($A6,Load_Switch_PFET[PARTNUMBER],Load_Switch_PFET[1KPRICE]),"")</f>
        <v/>
      </c>
      <c r="AF6" s="6" t="str">
        <f>IF(AND($A6&lt;&gt;0,$A6&lt;&gt;""),LOOKUP(A6,Load_Switch_PFET[PARTNUMBER],Load_Switch_PFET[TI_EQ_PACKAGE]),"")</f>
        <v/>
      </c>
      <c r="AG6" s="6" t="str">
        <f t="shared" si="14"/>
        <v>Invalid Part</v>
      </c>
    </row>
    <row r="7" spans="1:41" x14ac:dyDescent="0.25">
      <c r="A7" s="6" t="str">
        <f>IF(CH="P",PLogic!B7,"")</f>
        <v/>
      </c>
      <c r="B7" s="41" t="str">
        <f>IF(OR($A7=0,$A7=""),"0",IF(LOOKUP($A7,Load_Switch_PFET[PARTNUMBER],Load_Switch_PFET[RDSON15])="(NULL)","0","1"))</f>
        <v>0</v>
      </c>
      <c r="C7" s="26" t="str">
        <f>IF(OR($A7=0,$A7=""),"0",IF(LOOKUP($A7,Load_Switch_PFET[PARTNUMBER],Load_Switch_PFET[RDSON18])="(NULL)","0","1"))</f>
        <v>0</v>
      </c>
      <c r="D7" s="27" t="str">
        <f>IF(OR($A7=0,$A7=""),"0",IF(LOOKUP($A7,Load_Switch_PFET[PARTNUMBER],Load_Switch_PFET[RDSON25])="(NULL)","0","1"))</f>
        <v>0</v>
      </c>
      <c r="E7" s="28" t="str">
        <f>IF(OR($A7=0,$A7=""),"0",IF(LOOKUP($A7,Load_Switch_PFET[PARTNUMBER],Load_Switch_PFET[RDSON45])="(NULL)","0","1"))</f>
        <v>0</v>
      </c>
      <c r="F7" s="30" t="str">
        <f>IF(OR($A7=0,$A7=""),"0",IF(LOOKUP($A7,Load_Switch_PFET[PARTNUMBER],Load_Switch_PFET[RDSON8])="(NULL)","0","1"))</f>
        <v>0</v>
      </c>
      <c r="G7" s="42" t="b">
        <f t="shared" si="0"/>
        <v>0</v>
      </c>
      <c r="H7" s="32" t="b">
        <f t="shared" si="1"/>
        <v>0</v>
      </c>
      <c r="I7" s="33" t="b">
        <f t="shared" si="2"/>
        <v>0</v>
      </c>
      <c r="J7" s="34" t="b">
        <f t="shared" si="3"/>
        <v>0</v>
      </c>
      <c r="K7" s="36" t="b">
        <f t="shared" si="4"/>
        <v>0</v>
      </c>
      <c r="L7" s="43" t="b">
        <f>OR(PFET_PLOSS[[#This Row],[1V5]:[8V]])</f>
        <v>0</v>
      </c>
      <c r="M7" s="42" t="b">
        <f t="shared" si="5"/>
        <v>0</v>
      </c>
      <c r="N7" s="32" t="b">
        <f t="shared" si="6"/>
        <v>0</v>
      </c>
      <c r="O7" s="33" t="b">
        <f t="shared" si="7"/>
        <v>0</v>
      </c>
      <c r="P7" s="34" t="b">
        <f t="shared" si="8"/>
        <v>0</v>
      </c>
      <c r="Q7" s="36" t="b">
        <f t="shared" si="9"/>
        <v>0</v>
      </c>
      <c r="R7" s="6" t="str">
        <f>IF(Q7,LOOKUP(A7,Load_Switch_PFET[PARTNUMBER],Load_Switch_PFET[RDSON8])*1000,IF(P7,LOOKUP(A7,Load_Switch_PFET[PARTNUMBER],Load_Switch_PFET[RDSON45])*1000,IF(O7,LOOKUP(A7,Load_Switch_PFET[PARTNUMBER],Load_Switch_PFET[RDSON25])*1000,IF(N7,LOOKUP(A7,Load_Switch_PFET[PARTNUMBER],Load_Switch_PFET[RDSON18])*1000,IF(M7,LOOKUP(A7,Load_Switch_PFET[PARTNUMBER],Load_Switch_PFET[RDSON15])*1000,"")))))</f>
        <v/>
      </c>
      <c r="S7" s="19" t="str">
        <f>IF(AND(A7&lt;&gt;0,A7&lt;&gt;""),R7*(1+(Tj-25)*(LOOKUP(A7,Load_Switch_PFET[PARTNUMBER],Load_Switch_PFET[RDSDELTA])/((LOOKUP(A7,Load_Switch_PFET[PARTNUMBER],Load_Switch_PFET[TJMAX])-25)))),"")</f>
        <v/>
      </c>
      <c r="T7" s="6" t="str">
        <f>IF(AND(A7&lt;&gt;0,A7&lt;&gt;""),LOOKUP(A7,Load_Switch_PFET[PARTNUMBER],Load_Switch_PFET[VTHMAX]),"")</f>
        <v/>
      </c>
      <c r="U7" s="6" t="str">
        <f>IF(AND(A7&lt;&gt;0,A7&lt;&gt;""),LOOKUP(A7,Load_Switch_PFET[PARTNUMBER],Load_Switch_PFET[VTHMIN]),"")</f>
        <v/>
      </c>
      <c r="V7" s="6" t="str">
        <f t="shared" si="12"/>
        <v>#N/A</v>
      </c>
      <c r="W7" s="6" t="str">
        <f>IF(AND($A7&lt;&gt;0,$A7&lt;&gt;""),LOOKUP($A7,Load_Switch_PFET[PARTNUMBER],Load_Switch_PFET[RGIMAX]),"")</f>
        <v/>
      </c>
      <c r="X7" s="6" t="str">
        <f>IF(AND($A7&lt;&gt;0,$A7&lt;&gt;""),LOOKUP($A7,Load_Switch_PFET[PARTNUMBER],Load_Switch_PFET[QGTYP]),"")</f>
        <v/>
      </c>
      <c r="Y7" s="6" t="str">
        <f>IF(AND($A7&lt;&gt;0,$A7&lt;&gt;""),LOOKUP($A7,Load_Switch_PFET[PARTNUMBER],Load_Switch_PFET[QGS]),"")</f>
        <v/>
      </c>
      <c r="Z7" s="6" t="str">
        <f>IF(AND($A7&lt;&gt;0,$A7&lt;&gt;""),LOOKUP($A7,Load_Switch_PFET[PARTNUMBER],Load_Switch_PFET[QGD]),"")</f>
        <v/>
      </c>
      <c r="AA7" s="6" t="str">
        <f>IF(AND($A7&lt;&gt;0,$A7&lt;&gt;""),LOOKUP($A7,Load_Switch_PFET[PARTNUMBER],Load_Switch_PFET[COSS_AT_VDSSPEC]),"")</f>
        <v/>
      </c>
      <c r="AB7" s="6" t="str">
        <f t="shared" si="15"/>
        <v/>
      </c>
      <c r="AC7" s="6" t="str">
        <f t="shared" si="10"/>
        <v/>
      </c>
      <c r="AD7" s="49" t="str">
        <f t="shared" si="11"/>
        <v/>
      </c>
      <c r="AE7" s="46" t="str">
        <f>IF(AND($A7&lt;&gt;0,$A7&lt;&gt;""),LOOKUP($A7,Load_Switch_PFET[PARTNUMBER],Load_Switch_PFET[1KPRICE]),"")</f>
        <v/>
      </c>
      <c r="AF7" s="6" t="str">
        <f>IF(AND($A7&lt;&gt;0,$A7&lt;&gt;""),LOOKUP(A7,Load_Switch_PFET[PARTNUMBER],Load_Switch_PFET[TI_EQ_PACKAGE]),"")</f>
        <v/>
      </c>
      <c r="AG7" s="6" t="str">
        <f t="shared" si="14"/>
        <v>Invalid Part</v>
      </c>
    </row>
    <row r="8" spans="1:41" x14ac:dyDescent="0.25">
      <c r="A8" s="6" t="str">
        <f>IF(CH="P",PLogic!B8,"")</f>
        <v/>
      </c>
      <c r="B8" s="41" t="str">
        <f>IF(OR($A8=0,$A8=""),"0",IF(LOOKUP($A8,Load_Switch_PFET[PARTNUMBER],Load_Switch_PFET[RDSON15])="(NULL)","0","1"))</f>
        <v>0</v>
      </c>
      <c r="C8" s="26" t="str">
        <f>IF(OR($A8=0,$A8=""),"0",IF(LOOKUP($A8,Load_Switch_PFET[PARTNUMBER],Load_Switch_PFET[RDSON18])="(NULL)","0","1"))</f>
        <v>0</v>
      </c>
      <c r="D8" s="27" t="str">
        <f>IF(OR($A8=0,$A8=""),"0",IF(LOOKUP($A8,Load_Switch_PFET[PARTNUMBER],Load_Switch_PFET[RDSON25])="(NULL)","0","1"))</f>
        <v>0</v>
      </c>
      <c r="E8" s="28" t="str">
        <f>IF(OR($A8=0,$A8=""),"0",IF(LOOKUP($A8,Load_Switch_PFET[PARTNUMBER],Load_Switch_PFET[RDSON45])="(NULL)","0","1"))</f>
        <v>0</v>
      </c>
      <c r="F8" s="30" t="str">
        <f>IF(OR($A8=0,$A8=""),"0",IF(LOOKUP($A8,Load_Switch_PFET[PARTNUMBER],Load_Switch_PFET[RDSON8])="(NULL)","0","1"))</f>
        <v>0</v>
      </c>
      <c r="G8" s="42" t="b">
        <f t="shared" si="0"/>
        <v>0</v>
      </c>
      <c r="H8" s="32" t="b">
        <f t="shared" si="1"/>
        <v>0</v>
      </c>
      <c r="I8" s="33" t="b">
        <f t="shared" si="2"/>
        <v>0</v>
      </c>
      <c r="J8" s="34" t="b">
        <f t="shared" si="3"/>
        <v>0</v>
      </c>
      <c r="K8" s="36" t="b">
        <f t="shared" si="4"/>
        <v>0</v>
      </c>
      <c r="L8" s="43" t="b">
        <f>OR(PFET_PLOSS[[#This Row],[1V5]:[8V]])</f>
        <v>0</v>
      </c>
      <c r="M8" s="42" t="b">
        <f t="shared" si="5"/>
        <v>0</v>
      </c>
      <c r="N8" s="32" t="b">
        <f t="shared" si="6"/>
        <v>0</v>
      </c>
      <c r="O8" s="33" t="b">
        <f t="shared" si="7"/>
        <v>0</v>
      </c>
      <c r="P8" s="34" t="b">
        <f t="shared" si="8"/>
        <v>0</v>
      </c>
      <c r="Q8" s="36" t="b">
        <f t="shared" si="9"/>
        <v>0</v>
      </c>
      <c r="R8" s="6" t="str">
        <f>IF(Q8,LOOKUP(A8,Load_Switch_PFET[PARTNUMBER],Load_Switch_PFET[RDSON8])*1000,IF(P8,LOOKUP(A8,Load_Switch_PFET[PARTNUMBER],Load_Switch_PFET[RDSON45])*1000,IF(O8,LOOKUP(A8,Load_Switch_PFET[PARTNUMBER],Load_Switch_PFET[RDSON25])*1000,IF(N8,LOOKUP(A8,Load_Switch_PFET[PARTNUMBER],Load_Switch_PFET[RDSON18])*1000,IF(M8,LOOKUP(A8,Load_Switch_PFET[PARTNUMBER],Load_Switch_PFET[RDSON15])*1000,"")))))</f>
        <v/>
      </c>
      <c r="S8" s="19" t="str">
        <f>IF(AND(A8&lt;&gt;0,A8&lt;&gt;""),R8*(1+(Tj-25)*(LOOKUP(A8,Load_Switch_PFET[PARTNUMBER],Load_Switch_PFET[RDSDELTA])/((LOOKUP(A8,Load_Switch_PFET[PARTNUMBER],Load_Switch_PFET[TJMAX])-25)))),"")</f>
        <v/>
      </c>
      <c r="T8" s="6" t="str">
        <f>IF(AND(A8&lt;&gt;0,A8&lt;&gt;""),LOOKUP(A8,Load_Switch_PFET[PARTNUMBER],Load_Switch_PFET[VTHMAX]),"")</f>
        <v/>
      </c>
      <c r="U8" s="6" t="str">
        <f>IF(AND(A8&lt;&gt;0,A8&lt;&gt;""),LOOKUP(A8,Load_Switch_PFET[PARTNUMBER],Load_Switch_PFET[VTHMIN]),"")</f>
        <v/>
      </c>
      <c r="V8" s="6" t="str">
        <f t="shared" si="12"/>
        <v>#N/A</v>
      </c>
      <c r="W8" s="6" t="str">
        <f>IF(AND($A8&lt;&gt;0,$A8&lt;&gt;""),LOOKUP($A8,Load_Switch_PFET[PARTNUMBER],Load_Switch_PFET[RGIMAX]),"")</f>
        <v/>
      </c>
      <c r="X8" s="6" t="str">
        <f>IF(AND($A8&lt;&gt;0,$A8&lt;&gt;""),LOOKUP($A8,Load_Switch_PFET[PARTNUMBER],Load_Switch_PFET[QGTYP]),"")</f>
        <v/>
      </c>
      <c r="Y8" s="6" t="str">
        <f>IF(AND($A8&lt;&gt;0,$A8&lt;&gt;""),LOOKUP($A8,Load_Switch_PFET[PARTNUMBER],Load_Switch_PFET[QGS]),"")</f>
        <v/>
      </c>
      <c r="Z8" s="6" t="str">
        <f>IF(AND($A8&lt;&gt;0,$A8&lt;&gt;""),LOOKUP($A8,Load_Switch_PFET[PARTNUMBER],Load_Switch_PFET[QGD]),"")</f>
        <v/>
      </c>
      <c r="AA8" s="6" t="str">
        <f>IF(AND($A8&lt;&gt;0,$A8&lt;&gt;""),LOOKUP($A8,Load_Switch_PFET[PARTNUMBER],Load_Switch_PFET[COSS_AT_VDSSPEC]),"")</f>
        <v/>
      </c>
      <c r="AB8" s="6" t="str">
        <f t="shared" si="15"/>
        <v/>
      </c>
      <c r="AC8" s="6" t="str">
        <f t="shared" si="10"/>
        <v/>
      </c>
      <c r="AD8" s="49" t="str">
        <f t="shared" si="11"/>
        <v/>
      </c>
      <c r="AE8" s="46" t="str">
        <f>IF(AND($A8&lt;&gt;0,$A8&lt;&gt;""),LOOKUP($A8,Load_Switch_PFET[PARTNUMBER],Load_Switch_PFET[1KPRICE]),"")</f>
        <v/>
      </c>
      <c r="AF8" s="6" t="str">
        <f>IF(AND($A8&lt;&gt;0,$A8&lt;&gt;""),LOOKUP(A8,Load_Switch_PFET[PARTNUMBER],Load_Switch_PFET[TI_EQ_PACKAGE]),"")</f>
        <v/>
      </c>
      <c r="AG8" s="6" t="str">
        <f t="shared" si="14"/>
        <v>Invalid Part</v>
      </c>
    </row>
    <row r="9" spans="1:41" x14ac:dyDescent="0.25">
      <c r="A9" s="6" t="str">
        <f>IF(CH="P",PLogic!B9,"")</f>
        <v/>
      </c>
      <c r="B9" s="41" t="str">
        <f>IF(OR($A9=0,$A9=""),"0",IF(LOOKUP($A9,Load_Switch_PFET[PARTNUMBER],Load_Switch_PFET[RDSON15])="(NULL)","0","1"))</f>
        <v>0</v>
      </c>
      <c r="C9" s="26" t="str">
        <f>IF(OR($A9=0,$A9=""),"0",IF(LOOKUP($A9,Load_Switch_PFET[PARTNUMBER],Load_Switch_PFET[RDSON18])="(NULL)","0","1"))</f>
        <v>0</v>
      </c>
      <c r="D9" s="27" t="str">
        <f>IF(OR($A9=0,$A9=""),"0",IF(LOOKUP($A9,Load_Switch_PFET[PARTNUMBER],Load_Switch_PFET[RDSON25])="(NULL)","0","1"))</f>
        <v>0</v>
      </c>
      <c r="E9" s="28" t="str">
        <f>IF(OR($A9=0,$A9=""),"0",IF(LOOKUP($A9,Load_Switch_PFET[PARTNUMBER],Load_Switch_PFET[RDSON45])="(NULL)","0","1"))</f>
        <v>0</v>
      </c>
      <c r="F9" s="30" t="str">
        <f>IF(OR($A9=0,$A9=""),"0",IF(LOOKUP($A9,Load_Switch_PFET[PARTNUMBER],Load_Switch_PFET[RDSON8])="(NULL)","0","1"))</f>
        <v>0</v>
      </c>
      <c r="G9" s="42" t="b">
        <f t="shared" si="0"/>
        <v>0</v>
      </c>
      <c r="H9" s="32" t="b">
        <f t="shared" si="1"/>
        <v>0</v>
      </c>
      <c r="I9" s="33" t="b">
        <f t="shared" si="2"/>
        <v>0</v>
      </c>
      <c r="J9" s="34" t="b">
        <f t="shared" si="3"/>
        <v>0</v>
      </c>
      <c r="K9" s="36" t="b">
        <f t="shared" si="4"/>
        <v>0</v>
      </c>
      <c r="L9" s="43" t="b">
        <f>OR(PFET_PLOSS[[#This Row],[1V5]:[8V]])</f>
        <v>0</v>
      </c>
      <c r="M9" s="42" t="b">
        <f t="shared" si="5"/>
        <v>0</v>
      </c>
      <c r="N9" s="32" t="b">
        <f t="shared" si="6"/>
        <v>0</v>
      </c>
      <c r="O9" s="33" t="b">
        <f t="shared" si="7"/>
        <v>0</v>
      </c>
      <c r="P9" s="34" t="b">
        <f t="shared" si="8"/>
        <v>0</v>
      </c>
      <c r="Q9" s="36" t="b">
        <f t="shared" si="9"/>
        <v>0</v>
      </c>
      <c r="R9" s="6" t="str">
        <f>IF(Q9,LOOKUP(A9,Load_Switch_PFET[PARTNUMBER],Load_Switch_PFET[RDSON8])*1000,IF(P9,LOOKUP(A9,Load_Switch_PFET[PARTNUMBER],Load_Switch_PFET[RDSON45])*1000,IF(O9,LOOKUP(A9,Load_Switch_PFET[PARTNUMBER],Load_Switch_PFET[RDSON25])*1000,IF(N9,LOOKUP(A9,Load_Switch_PFET[PARTNUMBER],Load_Switch_PFET[RDSON18])*1000,IF(M9,LOOKUP(A9,Load_Switch_PFET[PARTNUMBER],Load_Switch_PFET[RDSON15])*1000,"")))))</f>
        <v/>
      </c>
      <c r="S9" s="19" t="str">
        <f>IF(AND(A9&lt;&gt;0,A9&lt;&gt;""),R9*(1+(Tj-25)*(LOOKUP(A9,Load_Switch_PFET[PARTNUMBER],Load_Switch_PFET[RDSDELTA])/((LOOKUP(A9,Load_Switch_PFET[PARTNUMBER],Load_Switch_PFET[TJMAX])-25)))),"")</f>
        <v/>
      </c>
      <c r="T9" s="6" t="str">
        <f>IF(AND(A9&lt;&gt;0,A9&lt;&gt;""),LOOKUP(A9,Load_Switch_PFET[PARTNUMBER],Load_Switch_PFET[VTHMAX]),"")</f>
        <v/>
      </c>
      <c r="U9" s="6" t="str">
        <f>IF(AND(A9&lt;&gt;0,A9&lt;&gt;""),LOOKUP(A9,Load_Switch_PFET[PARTNUMBER],Load_Switch_PFET[VTHMIN]),"")</f>
        <v/>
      </c>
      <c r="V9" s="6" t="str">
        <f t="shared" si="12"/>
        <v>#N/A</v>
      </c>
      <c r="W9" s="6" t="str">
        <f>IF(AND($A9&lt;&gt;0,$A9&lt;&gt;""),LOOKUP($A9,Load_Switch_PFET[PARTNUMBER],Load_Switch_PFET[RGIMAX]),"")</f>
        <v/>
      </c>
      <c r="X9" s="6" t="str">
        <f>IF(AND($A9&lt;&gt;0,$A9&lt;&gt;""),LOOKUP($A9,Load_Switch_PFET[PARTNUMBER],Load_Switch_PFET[QGTYP]),"")</f>
        <v/>
      </c>
      <c r="Y9" s="6" t="str">
        <f>IF(AND($A9&lt;&gt;0,$A9&lt;&gt;""),LOOKUP($A9,Load_Switch_PFET[PARTNUMBER],Load_Switch_PFET[QGS]),"")</f>
        <v/>
      </c>
      <c r="Z9" s="6" t="str">
        <f>IF(AND($A9&lt;&gt;0,$A9&lt;&gt;""),LOOKUP($A9,Load_Switch_PFET[PARTNUMBER],Load_Switch_PFET[QGD]),"")</f>
        <v/>
      </c>
      <c r="AA9" s="6" t="str">
        <f>IF(AND($A9&lt;&gt;0,$A9&lt;&gt;""),LOOKUP($A9,Load_Switch_PFET[PARTNUMBER],Load_Switch_PFET[COSS_AT_VDSSPEC]),"")</f>
        <v/>
      </c>
      <c r="AB9" s="6" t="str">
        <f t="shared" si="15"/>
        <v/>
      </c>
      <c r="AC9" s="6" t="str">
        <f t="shared" si="10"/>
        <v/>
      </c>
      <c r="AD9" s="49" t="str">
        <f t="shared" si="11"/>
        <v/>
      </c>
      <c r="AE9" s="46" t="str">
        <f>IF(AND($A9&lt;&gt;0,$A9&lt;&gt;""),LOOKUP($A9,Load_Switch_PFET[PARTNUMBER],Load_Switch_PFET[1KPRICE]),"")</f>
        <v/>
      </c>
      <c r="AF9" s="6" t="str">
        <f>IF(AND($A9&lt;&gt;0,$A9&lt;&gt;""),LOOKUP(A9,Load_Switch_PFET[PARTNUMBER],Load_Switch_PFET[TI_EQ_PACKAGE]),"")</f>
        <v/>
      </c>
      <c r="AG9" s="6" t="str">
        <f t="shared" si="14"/>
        <v>Invalid Part</v>
      </c>
    </row>
    <row r="10" spans="1:41" x14ac:dyDescent="0.25">
      <c r="A10" s="6" t="str">
        <f>IF(CH="P",PLogic!B10,"")</f>
        <v/>
      </c>
      <c r="B10" s="41" t="str">
        <f>IF(OR($A10=0,$A10=""),"0",IF(LOOKUP($A10,Load_Switch_PFET[PARTNUMBER],Load_Switch_PFET[RDSON15])="(NULL)","0","1"))</f>
        <v>0</v>
      </c>
      <c r="C10" s="26" t="str">
        <f>IF(OR($A10=0,$A10=""),"0",IF(LOOKUP($A10,Load_Switch_PFET[PARTNUMBER],Load_Switch_PFET[RDSON18])="(NULL)","0","1"))</f>
        <v>0</v>
      </c>
      <c r="D10" s="27" t="str">
        <f>IF(OR($A10=0,$A10=""),"0",IF(LOOKUP($A10,Load_Switch_PFET[PARTNUMBER],Load_Switch_PFET[RDSON25])="(NULL)","0","1"))</f>
        <v>0</v>
      </c>
      <c r="E10" s="28" t="str">
        <f>IF(OR($A10=0,$A10=""),"0",IF(LOOKUP($A10,Load_Switch_PFET[PARTNUMBER],Load_Switch_PFET[RDSON45])="(NULL)","0","1"))</f>
        <v>0</v>
      </c>
      <c r="F10" s="30" t="str">
        <f>IF(OR($A10=0,$A10=""),"0",IF(LOOKUP($A10,Load_Switch_PFET[PARTNUMBER],Load_Switch_PFET[RDSON8])="(NULL)","0","1"))</f>
        <v>0</v>
      </c>
      <c r="G10" s="42" t="b">
        <f t="shared" si="0"/>
        <v>0</v>
      </c>
      <c r="H10" s="32" t="b">
        <f t="shared" si="1"/>
        <v>0</v>
      </c>
      <c r="I10" s="33" t="b">
        <f t="shared" si="2"/>
        <v>0</v>
      </c>
      <c r="J10" s="34" t="b">
        <f t="shared" si="3"/>
        <v>0</v>
      </c>
      <c r="K10" s="36" t="b">
        <f t="shared" si="4"/>
        <v>0</v>
      </c>
      <c r="L10" s="43" t="b">
        <f>OR(PFET_PLOSS[[#This Row],[1V5]:[8V]])</f>
        <v>0</v>
      </c>
      <c r="M10" s="42" t="b">
        <f t="shared" si="5"/>
        <v>0</v>
      </c>
      <c r="N10" s="32" t="b">
        <f t="shared" si="6"/>
        <v>0</v>
      </c>
      <c r="O10" s="33" t="b">
        <f t="shared" si="7"/>
        <v>0</v>
      </c>
      <c r="P10" s="34" t="b">
        <f t="shared" si="8"/>
        <v>0</v>
      </c>
      <c r="Q10" s="36" t="b">
        <f t="shared" si="9"/>
        <v>0</v>
      </c>
      <c r="R10" s="6" t="str">
        <f>IF(Q10,LOOKUP(A10,Load_Switch_PFET[PARTNUMBER],Load_Switch_PFET[RDSON8])*1000,IF(P10,LOOKUP(A10,Load_Switch_PFET[PARTNUMBER],Load_Switch_PFET[RDSON45])*1000,IF(O10,LOOKUP(A10,Load_Switch_PFET[PARTNUMBER],Load_Switch_PFET[RDSON25])*1000,IF(N10,LOOKUP(A10,Load_Switch_PFET[PARTNUMBER],Load_Switch_PFET[RDSON18])*1000,IF(M10,LOOKUP(A10,Load_Switch_PFET[PARTNUMBER],Load_Switch_PFET[RDSON15])*1000,"")))))</f>
        <v/>
      </c>
      <c r="S10" s="19" t="str">
        <f>IF(AND(A10&lt;&gt;0,A10&lt;&gt;""),R10*(1+(Tj-25)*(LOOKUP(A10,Load_Switch_PFET[PARTNUMBER],Load_Switch_PFET[RDSDELTA])/((LOOKUP(A10,Load_Switch_PFET[PARTNUMBER],Load_Switch_PFET[TJMAX])-25)))),"")</f>
        <v/>
      </c>
      <c r="T10" s="6" t="str">
        <f>IF(AND(A10&lt;&gt;0,A10&lt;&gt;""),LOOKUP(A10,Load_Switch_PFET[PARTNUMBER],Load_Switch_PFET[VTHMAX]),"")</f>
        <v/>
      </c>
      <c r="U10" s="6" t="str">
        <f>IF(AND(A10&lt;&gt;0,A10&lt;&gt;""),LOOKUP(A10,Load_Switch_PFET[PARTNUMBER],Load_Switch_PFET[VTHMIN]),"")</f>
        <v/>
      </c>
      <c r="V10" s="6" t="str">
        <f t="shared" si="12"/>
        <v>#N/A</v>
      </c>
      <c r="W10" s="6" t="str">
        <f>IF(AND($A10&lt;&gt;0,$A10&lt;&gt;""),LOOKUP($A10,Load_Switch_PFET[PARTNUMBER],Load_Switch_PFET[RGIMAX]),"")</f>
        <v/>
      </c>
      <c r="X10" s="6" t="str">
        <f>IF(AND($A10&lt;&gt;0,$A10&lt;&gt;""),LOOKUP($A10,Load_Switch_PFET[PARTNUMBER],Load_Switch_PFET[QGTYP]),"")</f>
        <v/>
      </c>
      <c r="Y10" s="6" t="str">
        <f>IF(AND($A10&lt;&gt;0,$A10&lt;&gt;""),LOOKUP($A10,Load_Switch_PFET[PARTNUMBER],Load_Switch_PFET[QGS]),"")</f>
        <v/>
      </c>
      <c r="Z10" s="6" t="str">
        <f>IF(AND($A10&lt;&gt;0,$A10&lt;&gt;""),LOOKUP($A10,Load_Switch_PFET[PARTNUMBER],Load_Switch_PFET[QGD]),"")</f>
        <v/>
      </c>
      <c r="AA10" s="6" t="str">
        <f>IF(AND($A10&lt;&gt;0,$A10&lt;&gt;""),LOOKUP($A10,Load_Switch_PFET[PARTNUMBER],Load_Switch_PFET[COSS_AT_VDSSPEC]),"")</f>
        <v/>
      </c>
      <c r="AB10" s="6" t="str">
        <f t="shared" si="15"/>
        <v/>
      </c>
      <c r="AC10" s="6" t="str">
        <f t="shared" si="10"/>
        <v/>
      </c>
      <c r="AD10" s="49" t="str">
        <f t="shared" si="11"/>
        <v/>
      </c>
      <c r="AE10" s="46" t="str">
        <f>IF(AND($A10&lt;&gt;0,$A10&lt;&gt;""),LOOKUP($A10,Load_Switch_PFET[PARTNUMBER],Load_Switch_PFET[1KPRICE]),"")</f>
        <v/>
      </c>
      <c r="AF10" s="6" t="str">
        <f>IF(AND($A10&lt;&gt;0,$A10&lt;&gt;""),LOOKUP(A10,Load_Switch_PFET[PARTNUMBER],Load_Switch_PFET[TI_EQ_PACKAGE]),"")</f>
        <v/>
      </c>
      <c r="AG10" s="6" t="str">
        <f t="shared" si="14"/>
        <v>Invalid Part</v>
      </c>
    </row>
    <row r="11" spans="1:41" x14ac:dyDescent="0.25">
      <c r="A11" s="6" t="str">
        <f>IF(CH="P",PLogic!B11,"")</f>
        <v/>
      </c>
      <c r="B11" s="41" t="str">
        <f>IF(OR($A11=0,$A11=""),"0",IF(LOOKUP($A11,Load_Switch_PFET[PARTNUMBER],Load_Switch_PFET[RDSON15])="(NULL)","0","1"))</f>
        <v>0</v>
      </c>
      <c r="C11" s="26" t="str">
        <f>IF(OR($A11=0,$A11=""),"0",IF(LOOKUP($A11,Load_Switch_PFET[PARTNUMBER],Load_Switch_PFET[RDSON18])="(NULL)","0","1"))</f>
        <v>0</v>
      </c>
      <c r="D11" s="27" t="str">
        <f>IF(OR($A11=0,$A11=""),"0",IF(LOOKUP($A11,Load_Switch_PFET[PARTNUMBER],Load_Switch_PFET[RDSON25])="(NULL)","0","1"))</f>
        <v>0</v>
      </c>
      <c r="E11" s="28" t="str">
        <f>IF(OR($A11=0,$A11=""),"0",IF(LOOKUP($A11,Load_Switch_PFET[PARTNUMBER],Load_Switch_PFET[RDSON45])="(NULL)","0","1"))</f>
        <v>0</v>
      </c>
      <c r="F11" s="30" t="str">
        <f>IF(OR($A11=0,$A11=""),"0",IF(LOOKUP($A11,Load_Switch_PFET[PARTNUMBER],Load_Switch_PFET[RDSON8])="(NULL)","0","1"))</f>
        <v>0</v>
      </c>
      <c r="G11" s="42" t="b">
        <f t="shared" si="0"/>
        <v>0</v>
      </c>
      <c r="H11" s="32" t="b">
        <f t="shared" si="1"/>
        <v>0</v>
      </c>
      <c r="I11" s="33" t="b">
        <f t="shared" si="2"/>
        <v>0</v>
      </c>
      <c r="J11" s="34" t="b">
        <f t="shared" si="3"/>
        <v>0</v>
      </c>
      <c r="K11" s="36" t="b">
        <f t="shared" si="4"/>
        <v>0</v>
      </c>
      <c r="L11" s="43" t="b">
        <f>OR(PFET_PLOSS[[#This Row],[1V5]:[8V]])</f>
        <v>0</v>
      </c>
      <c r="M11" s="42" t="b">
        <f t="shared" si="5"/>
        <v>0</v>
      </c>
      <c r="N11" s="32" t="b">
        <f t="shared" si="6"/>
        <v>0</v>
      </c>
      <c r="O11" s="33" t="b">
        <f t="shared" si="7"/>
        <v>0</v>
      </c>
      <c r="P11" s="34" t="b">
        <f t="shared" si="8"/>
        <v>0</v>
      </c>
      <c r="Q11" s="36" t="b">
        <f t="shared" si="9"/>
        <v>0</v>
      </c>
      <c r="R11" s="6" t="str">
        <f>IF(Q11,LOOKUP(A11,Load_Switch_PFET[PARTNUMBER],Load_Switch_PFET[RDSON8])*1000,IF(P11,LOOKUP(A11,Load_Switch_PFET[PARTNUMBER],Load_Switch_PFET[RDSON45])*1000,IF(O11,LOOKUP(A11,Load_Switch_PFET[PARTNUMBER],Load_Switch_PFET[RDSON25])*1000,IF(N11,LOOKUP(A11,Load_Switch_PFET[PARTNUMBER],Load_Switch_PFET[RDSON18])*1000,IF(M11,LOOKUP(A11,Load_Switch_PFET[PARTNUMBER],Load_Switch_PFET[RDSON15])*1000,"")))))</f>
        <v/>
      </c>
      <c r="S11" s="19" t="str">
        <f>IF(AND(A11&lt;&gt;0,A11&lt;&gt;""),R11*(1+(Tj-25)*(LOOKUP(A11,Load_Switch_PFET[PARTNUMBER],Load_Switch_PFET[RDSDELTA])/((LOOKUP(A11,Load_Switch_PFET[PARTNUMBER],Load_Switch_PFET[TJMAX])-25)))),"")</f>
        <v/>
      </c>
      <c r="T11" s="6" t="str">
        <f>IF(AND(A11&lt;&gt;0,A11&lt;&gt;""),LOOKUP(A11,Load_Switch_PFET[PARTNUMBER],Load_Switch_PFET[VTHMAX]),"")</f>
        <v/>
      </c>
      <c r="U11" s="6" t="str">
        <f>IF(AND(A11&lt;&gt;0,A11&lt;&gt;""),LOOKUP(A11,Load_Switch_PFET[PARTNUMBER],Load_Switch_PFET[VTHMIN]),"")</f>
        <v/>
      </c>
      <c r="V11" s="6" t="str">
        <f t="shared" si="12"/>
        <v>#N/A</v>
      </c>
      <c r="W11" s="6" t="str">
        <f>IF(AND($A11&lt;&gt;0,$A11&lt;&gt;""),LOOKUP($A11,Load_Switch_PFET[PARTNUMBER],Load_Switch_PFET[RGIMAX]),"")</f>
        <v/>
      </c>
      <c r="X11" s="6" t="str">
        <f>IF(AND($A11&lt;&gt;0,$A11&lt;&gt;""),LOOKUP($A11,Load_Switch_PFET[PARTNUMBER],Load_Switch_PFET[QGTYP]),"")</f>
        <v/>
      </c>
      <c r="Y11" s="6" t="str">
        <f>IF(AND($A11&lt;&gt;0,$A11&lt;&gt;""),LOOKUP($A11,Load_Switch_PFET[PARTNUMBER],Load_Switch_PFET[QGS]),"")</f>
        <v/>
      </c>
      <c r="Z11" s="6" t="str">
        <f>IF(AND($A11&lt;&gt;0,$A11&lt;&gt;""),LOOKUP($A11,Load_Switch_PFET[PARTNUMBER],Load_Switch_PFET[QGD]),"")</f>
        <v/>
      </c>
      <c r="AA11" s="6" t="str">
        <f>IF(AND($A11&lt;&gt;0,$A11&lt;&gt;""),LOOKUP($A11,Load_Switch_PFET[PARTNUMBER],Load_Switch_PFET[COSS_AT_VDSSPEC]),"")</f>
        <v/>
      </c>
      <c r="AB11" s="6" t="str">
        <f t="shared" si="15"/>
        <v/>
      </c>
      <c r="AC11" s="6" t="str">
        <f t="shared" si="10"/>
        <v/>
      </c>
      <c r="AD11" s="49" t="str">
        <f t="shared" si="11"/>
        <v/>
      </c>
      <c r="AE11" s="46" t="str">
        <f>IF(AND($A11&lt;&gt;0,$A11&lt;&gt;""),LOOKUP($A11,Load_Switch_PFET[PARTNUMBER],Load_Switch_PFET[1KPRICE]),"")</f>
        <v/>
      </c>
      <c r="AF11" s="6" t="str">
        <f>IF(AND($A11&lt;&gt;0,$A11&lt;&gt;""),LOOKUP(A11,Load_Switch_PFET[PARTNUMBER],Load_Switch_PFET[TI_EQ_PACKAGE]),"")</f>
        <v/>
      </c>
      <c r="AG11" s="6" t="str">
        <f t="shared" si="14"/>
        <v>Invalid Part</v>
      </c>
    </row>
    <row r="12" spans="1:41" x14ac:dyDescent="0.25">
      <c r="A12" s="6" t="str">
        <f>IF(CH="P",PLogic!B12,"")</f>
        <v/>
      </c>
      <c r="B12" s="41" t="str">
        <f>IF(OR($A12=0,$A12=""),"0",IF(LOOKUP($A12,Load_Switch_PFET[PARTNUMBER],Load_Switch_PFET[RDSON15])="(NULL)","0","1"))</f>
        <v>0</v>
      </c>
      <c r="C12" s="26" t="str">
        <f>IF(OR($A12=0,$A12=""),"0",IF(LOOKUP($A12,Load_Switch_PFET[PARTNUMBER],Load_Switch_PFET[RDSON18])="(NULL)","0","1"))</f>
        <v>0</v>
      </c>
      <c r="D12" s="27" t="str">
        <f>IF(OR($A12=0,$A12=""),"0",IF(LOOKUP($A12,Load_Switch_PFET[PARTNUMBER],Load_Switch_PFET[RDSON25])="(NULL)","0","1"))</f>
        <v>0</v>
      </c>
      <c r="E12" s="28" t="str">
        <f>IF(OR($A12=0,$A12=""),"0",IF(LOOKUP($A12,Load_Switch_PFET[PARTNUMBER],Load_Switch_PFET[RDSON45])="(NULL)","0","1"))</f>
        <v>0</v>
      </c>
      <c r="F12" s="30" t="str">
        <f>IF(OR($A12=0,$A12=""),"0",IF(LOOKUP($A12,Load_Switch_PFET[PARTNUMBER],Load_Switch_PFET[RDSON8])="(NULL)","0","1"))</f>
        <v>0</v>
      </c>
      <c r="G12" s="42" t="b">
        <f t="shared" si="0"/>
        <v>0</v>
      </c>
      <c r="H12" s="32" t="b">
        <f t="shared" si="1"/>
        <v>0</v>
      </c>
      <c r="I12" s="33" t="b">
        <f t="shared" si="2"/>
        <v>0</v>
      </c>
      <c r="J12" s="34" t="b">
        <f t="shared" si="3"/>
        <v>0</v>
      </c>
      <c r="K12" s="36" t="b">
        <f t="shared" si="4"/>
        <v>0</v>
      </c>
      <c r="L12" s="43" t="b">
        <f>OR(PFET_PLOSS[[#This Row],[1V5]:[8V]])</f>
        <v>0</v>
      </c>
      <c r="M12" s="42" t="b">
        <f t="shared" si="5"/>
        <v>0</v>
      </c>
      <c r="N12" s="32" t="b">
        <f t="shared" si="6"/>
        <v>0</v>
      </c>
      <c r="O12" s="33" t="b">
        <f t="shared" si="7"/>
        <v>0</v>
      </c>
      <c r="P12" s="34" t="b">
        <f t="shared" si="8"/>
        <v>0</v>
      </c>
      <c r="Q12" s="36" t="b">
        <f t="shared" si="9"/>
        <v>0</v>
      </c>
      <c r="R12" s="6" t="str">
        <f>IF(Q12,LOOKUP(A12,Load_Switch_PFET[PARTNUMBER],Load_Switch_PFET[RDSON8])*1000,IF(P12,LOOKUP(A12,Load_Switch_PFET[PARTNUMBER],Load_Switch_PFET[RDSON45])*1000,IF(O12,LOOKUP(A12,Load_Switch_PFET[PARTNUMBER],Load_Switch_PFET[RDSON25])*1000,IF(N12,LOOKUP(A12,Load_Switch_PFET[PARTNUMBER],Load_Switch_PFET[RDSON18])*1000,IF(M12,LOOKUP(A12,Load_Switch_PFET[PARTNUMBER],Load_Switch_PFET[RDSON15])*1000,"")))))</f>
        <v/>
      </c>
      <c r="S12" s="19" t="str">
        <f>IF(AND(A12&lt;&gt;0,A12&lt;&gt;""),R12*(1+(Tj-25)*(LOOKUP(A12,Load_Switch_PFET[PARTNUMBER],Load_Switch_PFET[RDSDELTA])/((LOOKUP(A12,Load_Switch_PFET[PARTNUMBER],Load_Switch_PFET[TJMAX])-25)))),"")</f>
        <v/>
      </c>
      <c r="T12" s="6" t="str">
        <f>IF(AND(A12&lt;&gt;0,A12&lt;&gt;""),LOOKUP(A12,Load_Switch_PFET[PARTNUMBER],Load_Switch_PFET[VTHMAX]),"")</f>
        <v/>
      </c>
      <c r="U12" s="6" t="str">
        <f>IF(AND(A12&lt;&gt;0,A12&lt;&gt;""),LOOKUP(A12,Load_Switch_PFET[PARTNUMBER],Load_Switch_PFET[VTHMIN]),"")</f>
        <v/>
      </c>
      <c r="V12" s="6" t="str">
        <f t="shared" si="12"/>
        <v>#N/A</v>
      </c>
      <c r="W12" s="6" t="str">
        <f>IF(AND($A12&lt;&gt;0,$A12&lt;&gt;""),LOOKUP($A12,Load_Switch_PFET[PARTNUMBER],Load_Switch_PFET[RGIMAX]),"")</f>
        <v/>
      </c>
      <c r="X12" s="6" t="str">
        <f>IF(AND($A12&lt;&gt;0,$A12&lt;&gt;""),LOOKUP($A12,Load_Switch_PFET[PARTNUMBER],Load_Switch_PFET[QGTYP]),"")</f>
        <v/>
      </c>
      <c r="Y12" s="6" t="str">
        <f>IF(AND($A12&lt;&gt;0,$A12&lt;&gt;""),LOOKUP($A12,Load_Switch_PFET[PARTNUMBER],Load_Switch_PFET[QGS]),"")</f>
        <v/>
      </c>
      <c r="Z12" s="6" t="str">
        <f>IF(AND($A12&lt;&gt;0,$A12&lt;&gt;""),LOOKUP($A12,Load_Switch_PFET[PARTNUMBER],Load_Switch_PFET[QGD]),"")</f>
        <v/>
      </c>
      <c r="AA12" s="6" t="str">
        <f>IF(AND($A12&lt;&gt;0,$A12&lt;&gt;""),LOOKUP($A12,Load_Switch_PFET[PARTNUMBER],Load_Switch_PFET[COSS_AT_VDSSPEC]),"")</f>
        <v/>
      </c>
      <c r="AB12" s="6" t="str">
        <f t="shared" si="15"/>
        <v/>
      </c>
      <c r="AC12" s="6" t="str">
        <f t="shared" si="10"/>
        <v/>
      </c>
      <c r="AD12" s="49" t="str">
        <f t="shared" si="11"/>
        <v/>
      </c>
      <c r="AE12" s="46" t="str">
        <f>IF(AND($A12&lt;&gt;0,$A12&lt;&gt;""),LOOKUP($A12,Load_Switch_PFET[PARTNUMBER],Load_Switch_PFET[1KPRICE]),"")</f>
        <v/>
      </c>
      <c r="AF12" s="6" t="str">
        <f>IF(AND($A12&lt;&gt;0,$A12&lt;&gt;""),LOOKUP(A12,Load_Switch_PFET[PARTNUMBER],Load_Switch_PFET[TI_EQ_PACKAGE]),"")</f>
        <v/>
      </c>
      <c r="AG12" s="6" t="str">
        <f t="shared" si="14"/>
        <v>Invalid Part</v>
      </c>
    </row>
    <row r="13" spans="1:41" x14ac:dyDescent="0.25">
      <c r="A13" s="6" t="str">
        <f>IF(CH="P",PLogic!B13,"")</f>
        <v/>
      </c>
      <c r="B13" s="41" t="str">
        <f>IF(OR($A13=0,$A13=""),"0",IF(LOOKUP($A13,Load_Switch_PFET[PARTNUMBER],Load_Switch_PFET[RDSON15])="(NULL)","0","1"))</f>
        <v>0</v>
      </c>
      <c r="C13" s="26" t="str">
        <f>IF(OR($A13=0,$A13=""),"0",IF(LOOKUP($A13,Load_Switch_PFET[PARTNUMBER],Load_Switch_PFET[RDSON18])="(NULL)","0","1"))</f>
        <v>0</v>
      </c>
      <c r="D13" s="27" t="str">
        <f>IF(OR($A13=0,$A13=""),"0",IF(LOOKUP($A13,Load_Switch_PFET[PARTNUMBER],Load_Switch_PFET[RDSON25])="(NULL)","0","1"))</f>
        <v>0</v>
      </c>
      <c r="E13" s="28" t="str">
        <f>IF(OR($A13=0,$A13=""),"0",IF(LOOKUP($A13,Load_Switch_PFET[PARTNUMBER],Load_Switch_PFET[RDSON45])="(NULL)","0","1"))</f>
        <v>0</v>
      </c>
      <c r="F13" s="30" t="str">
        <f>IF(OR($A13=0,$A13=""),"0",IF(LOOKUP($A13,Load_Switch_PFET[PARTNUMBER],Load_Switch_PFET[RDSON8])="(NULL)","0","1"))</f>
        <v>0</v>
      </c>
      <c r="G13" s="42" t="b">
        <f t="shared" si="0"/>
        <v>0</v>
      </c>
      <c r="H13" s="32" t="b">
        <f t="shared" si="1"/>
        <v>0</v>
      </c>
      <c r="I13" s="33" t="b">
        <f t="shared" si="2"/>
        <v>0</v>
      </c>
      <c r="J13" s="34" t="b">
        <f t="shared" si="3"/>
        <v>0</v>
      </c>
      <c r="K13" s="36" t="b">
        <f t="shared" si="4"/>
        <v>0</v>
      </c>
      <c r="L13" s="43" t="b">
        <f>OR(PFET_PLOSS[[#This Row],[1V5]:[8V]])</f>
        <v>0</v>
      </c>
      <c r="M13" s="42" t="b">
        <f t="shared" si="5"/>
        <v>0</v>
      </c>
      <c r="N13" s="32" t="b">
        <f t="shared" si="6"/>
        <v>0</v>
      </c>
      <c r="O13" s="33" t="b">
        <f t="shared" si="7"/>
        <v>0</v>
      </c>
      <c r="P13" s="34" t="b">
        <f t="shared" si="8"/>
        <v>0</v>
      </c>
      <c r="Q13" s="36" t="b">
        <f t="shared" si="9"/>
        <v>0</v>
      </c>
      <c r="R13" s="6" t="str">
        <f>IF(Q13,LOOKUP(A13,Load_Switch_PFET[PARTNUMBER],Load_Switch_PFET[RDSON8])*1000,IF(P13,LOOKUP(A13,Load_Switch_PFET[PARTNUMBER],Load_Switch_PFET[RDSON45])*1000,IF(O13,LOOKUP(A13,Load_Switch_PFET[PARTNUMBER],Load_Switch_PFET[RDSON25])*1000,IF(N13,LOOKUP(A13,Load_Switch_PFET[PARTNUMBER],Load_Switch_PFET[RDSON18])*1000,IF(M13,LOOKUP(A13,Load_Switch_PFET[PARTNUMBER],Load_Switch_PFET[RDSON15])*1000,"")))))</f>
        <v/>
      </c>
      <c r="S13" s="19" t="str">
        <f>IF(AND(A13&lt;&gt;0,A13&lt;&gt;""),R13*(1+(Tj-25)*(LOOKUP(A13,Load_Switch_PFET[PARTNUMBER],Load_Switch_PFET[RDSDELTA])/((LOOKUP(A13,Load_Switch_PFET[PARTNUMBER],Load_Switch_PFET[TJMAX])-25)))),"")</f>
        <v/>
      </c>
      <c r="T13" s="6" t="str">
        <f>IF(AND(A13&lt;&gt;0,A13&lt;&gt;""),LOOKUP(A13,Load_Switch_PFET[PARTNUMBER],Load_Switch_PFET[VTHMAX]),"")</f>
        <v/>
      </c>
      <c r="U13" s="6" t="str">
        <f>IF(AND(A13&lt;&gt;0,A13&lt;&gt;""),LOOKUP(A13,Load_Switch_PFET[PARTNUMBER],Load_Switch_PFET[VTHMIN]),"")</f>
        <v/>
      </c>
      <c r="V13" s="6" t="str">
        <f t="shared" si="12"/>
        <v>#N/A</v>
      </c>
      <c r="W13" s="6" t="str">
        <f>IF(AND($A13&lt;&gt;0,$A13&lt;&gt;""),LOOKUP($A13,Load_Switch_PFET[PARTNUMBER],Load_Switch_PFET[RGIMAX]),"")</f>
        <v/>
      </c>
      <c r="X13" s="6" t="str">
        <f>IF(AND($A13&lt;&gt;0,$A13&lt;&gt;""),LOOKUP($A13,Load_Switch_PFET[PARTNUMBER],Load_Switch_PFET[QGTYP]),"")</f>
        <v/>
      </c>
      <c r="Y13" s="6" t="str">
        <f>IF(AND($A13&lt;&gt;0,$A13&lt;&gt;""),LOOKUP($A13,Load_Switch_PFET[PARTNUMBER],Load_Switch_PFET[QGS]),"")</f>
        <v/>
      </c>
      <c r="Z13" s="6" t="str">
        <f>IF(AND($A13&lt;&gt;0,$A13&lt;&gt;""),LOOKUP($A13,Load_Switch_PFET[PARTNUMBER],Load_Switch_PFET[QGD]),"")</f>
        <v/>
      </c>
      <c r="AA13" s="6" t="str">
        <f>IF(AND($A13&lt;&gt;0,$A13&lt;&gt;""),LOOKUP($A13,Load_Switch_PFET[PARTNUMBER],Load_Switch_PFET[COSS_AT_VDSSPEC]),"")</f>
        <v/>
      </c>
      <c r="AB13" s="6" t="str">
        <f t="shared" si="15"/>
        <v/>
      </c>
      <c r="AC13" s="6" t="str">
        <f t="shared" si="10"/>
        <v/>
      </c>
      <c r="AD13" s="49" t="str">
        <f t="shared" si="11"/>
        <v/>
      </c>
      <c r="AE13" s="46" t="str">
        <f>IF(AND($A13&lt;&gt;0,$A13&lt;&gt;""),LOOKUP($A13,Load_Switch_PFET[PARTNUMBER],Load_Switch_PFET[1KPRICE]),"")</f>
        <v/>
      </c>
      <c r="AF13" s="6" t="str">
        <f>IF(AND($A13&lt;&gt;0,$A13&lt;&gt;""),LOOKUP(A13,Load_Switch_PFET[PARTNUMBER],Load_Switch_PFET[TI_EQ_PACKAGE]),"")</f>
        <v/>
      </c>
      <c r="AG13" s="6" t="str">
        <f t="shared" si="14"/>
        <v>Invalid Part</v>
      </c>
    </row>
    <row r="14" spans="1:41" x14ac:dyDescent="0.25">
      <c r="A14" s="6" t="str">
        <f>IF(CH="P",PLogic!B14,"")</f>
        <v/>
      </c>
      <c r="B14" s="41" t="str">
        <f>IF(OR($A14=0,$A14=""),"0",IF(LOOKUP($A14,Load_Switch_PFET[PARTNUMBER],Load_Switch_PFET[RDSON15])="(NULL)","0","1"))</f>
        <v>0</v>
      </c>
      <c r="C14" s="26" t="str">
        <f>IF(OR($A14=0,$A14=""),"0",IF(LOOKUP($A14,Load_Switch_PFET[PARTNUMBER],Load_Switch_PFET[RDSON18])="(NULL)","0","1"))</f>
        <v>0</v>
      </c>
      <c r="D14" s="27" t="str">
        <f>IF(OR($A14=0,$A14=""),"0",IF(LOOKUP($A14,Load_Switch_PFET[PARTNUMBER],Load_Switch_PFET[RDSON25])="(NULL)","0","1"))</f>
        <v>0</v>
      </c>
      <c r="E14" s="28" t="str">
        <f>IF(OR($A14=0,$A14=""),"0",IF(LOOKUP($A14,Load_Switch_PFET[PARTNUMBER],Load_Switch_PFET[RDSON45])="(NULL)","0","1"))</f>
        <v>0</v>
      </c>
      <c r="F14" s="30" t="str">
        <f>IF(OR($A14=0,$A14=""),"0",IF(LOOKUP($A14,Load_Switch_PFET[PARTNUMBER],Load_Switch_PFET[RDSON8])="(NULL)","0","1"))</f>
        <v>0</v>
      </c>
      <c r="G14" s="42" t="b">
        <f t="shared" si="0"/>
        <v>0</v>
      </c>
      <c r="H14" s="32" t="b">
        <f t="shared" si="1"/>
        <v>0</v>
      </c>
      <c r="I14" s="33" t="b">
        <f t="shared" si="2"/>
        <v>0</v>
      </c>
      <c r="J14" s="34" t="b">
        <f t="shared" si="3"/>
        <v>0</v>
      </c>
      <c r="K14" s="36" t="b">
        <f t="shared" si="4"/>
        <v>0</v>
      </c>
      <c r="L14" s="43" t="b">
        <f>OR(PFET_PLOSS[[#This Row],[1V5]:[8V]])</f>
        <v>0</v>
      </c>
      <c r="M14" s="42" t="b">
        <f t="shared" si="5"/>
        <v>0</v>
      </c>
      <c r="N14" s="32" t="b">
        <f t="shared" si="6"/>
        <v>0</v>
      </c>
      <c r="O14" s="33" t="b">
        <f t="shared" si="7"/>
        <v>0</v>
      </c>
      <c r="P14" s="34" t="b">
        <f t="shared" si="8"/>
        <v>0</v>
      </c>
      <c r="Q14" s="36" t="b">
        <f t="shared" si="9"/>
        <v>0</v>
      </c>
      <c r="R14" s="6" t="str">
        <f>IF(Q14,LOOKUP(A14,Load_Switch_PFET[PARTNUMBER],Load_Switch_PFET[RDSON8])*1000,IF(P14,LOOKUP(A14,Load_Switch_PFET[PARTNUMBER],Load_Switch_PFET[RDSON45])*1000,IF(O14,LOOKUP(A14,Load_Switch_PFET[PARTNUMBER],Load_Switch_PFET[RDSON25])*1000,IF(N14,LOOKUP(A14,Load_Switch_PFET[PARTNUMBER],Load_Switch_PFET[RDSON18])*1000,IF(M14,LOOKUP(A14,Load_Switch_PFET[PARTNUMBER],Load_Switch_PFET[RDSON15])*1000,"")))))</f>
        <v/>
      </c>
      <c r="S14" s="19" t="str">
        <f>IF(AND(A14&lt;&gt;0,A14&lt;&gt;""),R14*(1+(Tj-25)*(LOOKUP(A14,Load_Switch_PFET[PARTNUMBER],Load_Switch_PFET[RDSDELTA])/((LOOKUP(A14,Load_Switch_PFET[PARTNUMBER],Load_Switch_PFET[TJMAX])-25)))),"")</f>
        <v/>
      </c>
      <c r="T14" s="6" t="str">
        <f>IF(AND(A14&lt;&gt;0,A14&lt;&gt;""),LOOKUP(A14,Load_Switch_PFET[PARTNUMBER],Load_Switch_PFET[VTHMAX]),"")</f>
        <v/>
      </c>
      <c r="U14" s="6" t="str">
        <f>IF(AND(A14&lt;&gt;0,A14&lt;&gt;""),LOOKUP(A14,Load_Switch_PFET[PARTNUMBER],Load_Switch_PFET[VTHMIN]),"")</f>
        <v/>
      </c>
      <c r="V14" s="6" t="str">
        <f t="shared" si="12"/>
        <v>#N/A</v>
      </c>
      <c r="W14" s="6" t="str">
        <f>IF(AND($A14&lt;&gt;0,$A14&lt;&gt;""),LOOKUP($A14,Load_Switch_PFET[PARTNUMBER],Load_Switch_PFET[RGIMAX]),"")</f>
        <v/>
      </c>
      <c r="X14" s="6" t="str">
        <f>IF(AND($A14&lt;&gt;0,$A14&lt;&gt;""),LOOKUP($A14,Load_Switch_PFET[PARTNUMBER],Load_Switch_PFET[QGTYP]),"")</f>
        <v/>
      </c>
      <c r="Y14" s="6" t="str">
        <f>IF(AND($A14&lt;&gt;0,$A14&lt;&gt;""),LOOKUP($A14,Load_Switch_PFET[PARTNUMBER],Load_Switch_PFET[QGS]),"")</f>
        <v/>
      </c>
      <c r="Z14" s="6" t="str">
        <f>IF(AND($A14&lt;&gt;0,$A14&lt;&gt;""),LOOKUP($A14,Load_Switch_PFET[PARTNUMBER],Load_Switch_PFET[QGD]),"")</f>
        <v/>
      </c>
      <c r="AA14" s="6" t="str">
        <f>IF(AND($A14&lt;&gt;0,$A14&lt;&gt;""),LOOKUP($A14,Load_Switch_PFET[PARTNUMBER],Load_Switch_PFET[COSS_AT_VDSSPEC]),"")</f>
        <v/>
      </c>
      <c r="AB14" s="6" t="str">
        <f t="shared" si="15"/>
        <v/>
      </c>
      <c r="AC14" s="6" t="str">
        <f t="shared" si="10"/>
        <v/>
      </c>
      <c r="AD14" s="49" t="str">
        <f t="shared" si="11"/>
        <v/>
      </c>
      <c r="AE14" s="46" t="str">
        <f>IF(AND($A14&lt;&gt;0,$A14&lt;&gt;""),LOOKUP($A14,Load_Switch_PFET[PARTNUMBER],Load_Switch_PFET[1KPRICE]),"")</f>
        <v/>
      </c>
      <c r="AF14" s="6" t="str">
        <f>IF(AND($A14&lt;&gt;0,$A14&lt;&gt;""),LOOKUP(A14,Load_Switch_PFET[PARTNUMBER],Load_Switch_PFET[TI_EQ_PACKAGE]),"")</f>
        <v/>
      </c>
      <c r="AG14" s="6" t="str">
        <f t="shared" si="14"/>
        <v>Invalid Part</v>
      </c>
    </row>
    <row r="15" spans="1:41" x14ac:dyDescent="0.25">
      <c r="A15" s="6" t="str">
        <f>IF(CH="P",PLogic!B15,"")</f>
        <v/>
      </c>
      <c r="B15" s="41" t="str">
        <f>IF(OR($A15=0,$A15=""),"0",IF(LOOKUP($A15,Load_Switch_PFET[PARTNUMBER],Load_Switch_PFET[RDSON15])="(NULL)","0","1"))</f>
        <v>0</v>
      </c>
      <c r="C15" s="26" t="str">
        <f>IF(OR($A15=0,$A15=""),"0",IF(LOOKUP($A15,Load_Switch_PFET[PARTNUMBER],Load_Switch_PFET[RDSON18])="(NULL)","0","1"))</f>
        <v>0</v>
      </c>
      <c r="D15" s="27" t="str">
        <f>IF(OR($A15=0,$A15=""),"0",IF(LOOKUP($A15,Load_Switch_PFET[PARTNUMBER],Load_Switch_PFET[RDSON25])="(NULL)","0","1"))</f>
        <v>0</v>
      </c>
      <c r="E15" s="28" t="str">
        <f>IF(OR($A15=0,$A15=""),"0",IF(LOOKUP($A15,Load_Switch_PFET[PARTNUMBER],Load_Switch_PFET[RDSON45])="(NULL)","0","1"))</f>
        <v>0</v>
      </c>
      <c r="F15" s="30" t="str">
        <f>IF(OR($A15=0,$A15=""),"0",IF(LOOKUP($A15,Load_Switch_PFET[PARTNUMBER],Load_Switch_PFET[RDSON8])="(NULL)","0","1"))</f>
        <v>0</v>
      </c>
      <c r="G15" s="42" t="b">
        <f t="shared" si="0"/>
        <v>0</v>
      </c>
      <c r="H15" s="32" t="b">
        <f t="shared" si="1"/>
        <v>0</v>
      </c>
      <c r="I15" s="33" t="b">
        <f t="shared" si="2"/>
        <v>0</v>
      </c>
      <c r="J15" s="34" t="b">
        <f t="shared" si="3"/>
        <v>0</v>
      </c>
      <c r="K15" s="36" t="b">
        <f t="shared" si="4"/>
        <v>0</v>
      </c>
      <c r="L15" s="43" t="b">
        <f>OR(PFET_PLOSS[[#This Row],[1V5]:[8V]])</f>
        <v>0</v>
      </c>
      <c r="M15" s="42" t="b">
        <f t="shared" si="5"/>
        <v>0</v>
      </c>
      <c r="N15" s="32" t="b">
        <f t="shared" si="6"/>
        <v>0</v>
      </c>
      <c r="O15" s="33" t="b">
        <f t="shared" si="7"/>
        <v>0</v>
      </c>
      <c r="P15" s="34" t="b">
        <f t="shared" si="8"/>
        <v>0</v>
      </c>
      <c r="Q15" s="36" t="b">
        <f t="shared" si="9"/>
        <v>0</v>
      </c>
      <c r="R15" s="6" t="str">
        <f>IF(Q15,LOOKUP(A15,Load_Switch_PFET[PARTNUMBER],Load_Switch_PFET[RDSON8])*1000,IF(P15,LOOKUP(A15,Load_Switch_PFET[PARTNUMBER],Load_Switch_PFET[RDSON45])*1000,IF(O15,LOOKUP(A15,Load_Switch_PFET[PARTNUMBER],Load_Switch_PFET[RDSON25])*1000,IF(N15,LOOKUP(A15,Load_Switch_PFET[PARTNUMBER],Load_Switch_PFET[RDSON18])*1000,IF(M15,LOOKUP(A15,Load_Switch_PFET[PARTNUMBER],Load_Switch_PFET[RDSON15])*1000,"")))))</f>
        <v/>
      </c>
      <c r="S15" s="19" t="str">
        <f>IF(AND(A15&lt;&gt;0,A15&lt;&gt;""),R15*(1+(Tj-25)*(LOOKUP(A15,Load_Switch_PFET[PARTNUMBER],Load_Switch_PFET[RDSDELTA])/((LOOKUP(A15,Load_Switch_PFET[PARTNUMBER],Load_Switch_PFET[TJMAX])-25)))),"")</f>
        <v/>
      </c>
      <c r="T15" s="6" t="str">
        <f>IF(AND(A15&lt;&gt;0,A15&lt;&gt;""),LOOKUP(A15,Load_Switch_PFET[PARTNUMBER],Load_Switch_PFET[VTHMAX]),"")</f>
        <v/>
      </c>
      <c r="U15" s="6" t="str">
        <f>IF(AND(A15&lt;&gt;0,A15&lt;&gt;""),LOOKUP(A15,Load_Switch_PFET[PARTNUMBER],Load_Switch_PFET[VTHMIN]),"")</f>
        <v/>
      </c>
      <c r="V15" s="6" t="str">
        <f t="shared" si="12"/>
        <v>#N/A</v>
      </c>
      <c r="W15" s="6" t="str">
        <f>IF(AND($A15&lt;&gt;0,$A15&lt;&gt;""),LOOKUP($A15,Load_Switch_PFET[PARTNUMBER],Load_Switch_PFET[RGIMAX]),"")</f>
        <v/>
      </c>
      <c r="X15" s="6" t="str">
        <f>IF(AND($A15&lt;&gt;0,$A15&lt;&gt;""),LOOKUP($A15,Load_Switch_PFET[PARTNUMBER],Load_Switch_PFET[QGTYP]),"")</f>
        <v/>
      </c>
      <c r="Y15" s="6" t="str">
        <f>IF(AND($A15&lt;&gt;0,$A15&lt;&gt;""),LOOKUP($A15,Load_Switch_PFET[PARTNUMBER],Load_Switch_PFET[QGS]),"")</f>
        <v/>
      </c>
      <c r="Z15" s="6" t="str">
        <f>IF(AND($A15&lt;&gt;0,$A15&lt;&gt;""),LOOKUP($A15,Load_Switch_PFET[PARTNUMBER],Load_Switch_PFET[QGD]),"")</f>
        <v/>
      </c>
      <c r="AA15" s="6" t="str">
        <f>IF(AND($A15&lt;&gt;0,$A15&lt;&gt;""),LOOKUP($A15,Load_Switch_PFET[PARTNUMBER],Load_Switch_PFET[COSS_AT_VDSSPEC]),"")</f>
        <v/>
      </c>
      <c r="AB15" s="6" t="str">
        <f t="shared" si="15"/>
        <v/>
      </c>
      <c r="AC15" s="6" t="str">
        <f t="shared" si="10"/>
        <v/>
      </c>
      <c r="AD15" s="49" t="str">
        <f t="shared" si="11"/>
        <v/>
      </c>
      <c r="AE15" s="46" t="str">
        <f>IF(AND($A15&lt;&gt;0,$A15&lt;&gt;""),LOOKUP($A15,Load_Switch_PFET[PARTNUMBER],Load_Switch_PFET[1KPRICE]),"")</f>
        <v/>
      </c>
      <c r="AF15" s="6" t="str">
        <f>IF(AND($A15&lt;&gt;0,$A15&lt;&gt;""),LOOKUP(A15,Load_Switch_PFET[PARTNUMBER],Load_Switch_PFET[TI_EQ_PACKAGE]),"")</f>
        <v/>
      </c>
      <c r="AG15" s="6" t="str">
        <f t="shared" si="14"/>
        <v>Invalid Part</v>
      </c>
    </row>
    <row r="16" spans="1:41" x14ac:dyDescent="0.25">
      <c r="A16" s="6" t="str">
        <f>IF(CH="P",PLogic!B16,"")</f>
        <v/>
      </c>
      <c r="B16" s="41" t="str">
        <f>IF(OR($A16=0,$A16=""),"0",IF(LOOKUP($A16,Load_Switch_PFET[PARTNUMBER],Load_Switch_PFET[RDSON15])="(NULL)","0","1"))</f>
        <v>0</v>
      </c>
      <c r="C16" s="26" t="str">
        <f>IF(OR($A16=0,$A16=""),"0",IF(LOOKUP($A16,Load_Switch_PFET[PARTNUMBER],Load_Switch_PFET[RDSON18])="(NULL)","0","1"))</f>
        <v>0</v>
      </c>
      <c r="D16" s="27" t="str">
        <f>IF(OR($A16=0,$A16=""),"0",IF(LOOKUP($A16,Load_Switch_PFET[PARTNUMBER],Load_Switch_PFET[RDSON25])="(NULL)","0","1"))</f>
        <v>0</v>
      </c>
      <c r="E16" s="28" t="str">
        <f>IF(OR($A16=0,$A16=""),"0",IF(LOOKUP($A16,Load_Switch_PFET[PARTNUMBER],Load_Switch_PFET[RDSON45])="(NULL)","0","1"))</f>
        <v>0</v>
      </c>
      <c r="F16" s="30" t="str">
        <f>IF(OR($A16=0,$A16=""),"0",IF(LOOKUP($A16,Load_Switch_PFET[PARTNUMBER],Load_Switch_PFET[RDSON8])="(NULL)","0","1"))</f>
        <v>0</v>
      </c>
      <c r="G16" s="42" t="b">
        <f t="shared" si="0"/>
        <v>0</v>
      </c>
      <c r="H16" s="32" t="b">
        <f t="shared" si="1"/>
        <v>0</v>
      </c>
      <c r="I16" s="33" t="b">
        <f t="shared" si="2"/>
        <v>0</v>
      </c>
      <c r="J16" s="34" t="b">
        <f t="shared" si="3"/>
        <v>0</v>
      </c>
      <c r="K16" s="36" t="b">
        <f t="shared" si="4"/>
        <v>0</v>
      </c>
      <c r="L16" s="43" t="b">
        <f>OR(PFET_PLOSS[[#This Row],[1V5]:[8V]])</f>
        <v>0</v>
      </c>
      <c r="M16" s="42" t="b">
        <f t="shared" si="5"/>
        <v>0</v>
      </c>
      <c r="N16" s="32" t="b">
        <f t="shared" si="6"/>
        <v>0</v>
      </c>
      <c r="O16" s="33" t="b">
        <f t="shared" si="7"/>
        <v>0</v>
      </c>
      <c r="P16" s="34" t="b">
        <f t="shared" si="8"/>
        <v>0</v>
      </c>
      <c r="Q16" s="36" t="b">
        <f t="shared" si="9"/>
        <v>0</v>
      </c>
      <c r="R16" s="6" t="str">
        <f>IF(Q16,LOOKUP(A16,Load_Switch_PFET[PARTNUMBER],Load_Switch_PFET[RDSON8])*1000,IF(P16,LOOKUP(A16,Load_Switch_PFET[PARTNUMBER],Load_Switch_PFET[RDSON45])*1000,IF(O16,LOOKUP(A16,Load_Switch_PFET[PARTNUMBER],Load_Switch_PFET[RDSON25])*1000,IF(N16,LOOKUP(A16,Load_Switch_PFET[PARTNUMBER],Load_Switch_PFET[RDSON18])*1000,IF(M16,LOOKUP(A16,Load_Switch_PFET[PARTNUMBER],Load_Switch_PFET[RDSON15])*1000,"")))))</f>
        <v/>
      </c>
      <c r="S16" s="19" t="str">
        <f>IF(AND(A16&lt;&gt;0,A16&lt;&gt;""),R16*(1+(Tj-25)*(LOOKUP(A16,Load_Switch_PFET[PARTNUMBER],Load_Switch_PFET[RDSDELTA])/((LOOKUP(A16,Load_Switch_PFET[PARTNUMBER],Load_Switch_PFET[TJMAX])-25)))),"")</f>
        <v/>
      </c>
      <c r="T16" s="6" t="str">
        <f>IF(AND(A16&lt;&gt;0,A16&lt;&gt;""),LOOKUP(A16,Load_Switch_PFET[PARTNUMBER],Load_Switch_PFET[VTHMAX]),"")</f>
        <v/>
      </c>
      <c r="U16" s="6" t="str">
        <f>IF(AND(A16&lt;&gt;0,A16&lt;&gt;""),LOOKUP(A16,Load_Switch_PFET[PARTNUMBER],Load_Switch_PFET[VTHMIN]),"")</f>
        <v/>
      </c>
      <c r="V16" s="6" t="str">
        <f t="shared" si="12"/>
        <v>#N/A</v>
      </c>
      <c r="W16" s="6" t="str">
        <f>IF(AND($A16&lt;&gt;0,$A16&lt;&gt;""),LOOKUP($A16,Load_Switch_PFET[PARTNUMBER],Load_Switch_PFET[RGIMAX]),"")</f>
        <v/>
      </c>
      <c r="X16" s="6" t="str">
        <f>IF(AND($A16&lt;&gt;0,$A16&lt;&gt;""),LOOKUP($A16,Load_Switch_PFET[PARTNUMBER],Load_Switch_PFET[QGTYP]),"")</f>
        <v/>
      </c>
      <c r="Y16" s="6" t="str">
        <f>IF(AND($A16&lt;&gt;0,$A16&lt;&gt;""),LOOKUP($A16,Load_Switch_PFET[PARTNUMBER],Load_Switch_PFET[QGS]),"")</f>
        <v/>
      </c>
      <c r="Z16" s="6" t="str">
        <f>IF(AND($A16&lt;&gt;0,$A16&lt;&gt;""),LOOKUP($A16,Load_Switch_PFET[PARTNUMBER],Load_Switch_PFET[QGD]),"")</f>
        <v/>
      </c>
      <c r="AA16" s="6" t="str">
        <f>IF(AND($A16&lt;&gt;0,$A16&lt;&gt;""),LOOKUP($A16,Load_Switch_PFET[PARTNUMBER],Load_Switch_PFET[COSS_AT_VDSSPEC]),"")</f>
        <v/>
      </c>
      <c r="AB16" s="6" t="str">
        <f t="shared" si="15"/>
        <v/>
      </c>
      <c r="AC16" s="6" t="str">
        <f t="shared" si="10"/>
        <v/>
      </c>
      <c r="AD16" s="49" t="str">
        <f t="shared" si="11"/>
        <v/>
      </c>
      <c r="AE16" s="46" t="str">
        <f>IF(AND($A16&lt;&gt;0,$A16&lt;&gt;""),LOOKUP($A16,Load_Switch_PFET[PARTNUMBER],Load_Switch_PFET[1KPRICE]),"")</f>
        <v/>
      </c>
      <c r="AF16" s="6" t="str">
        <f>IF(AND($A16&lt;&gt;0,$A16&lt;&gt;""),LOOKUP(A16,Load_Switch_PFET[PARTNUMBER],Load_Switch_PFET[TI_EQ_PACKAGE]),"")</f>
        <v/>
      </c>
      <c r="AG16" s="6" t="str">
        <f t="shared" si="14"/>
        <v>Invalid Part</v>
      </c>
    </row>
    <row r="17" spans="1:33" x14ac:dyDescent="0.25">
      <c r="A17" s="6" t="str">
        <f>IF(CH="P",PLogic!B17,"")</f>
        <v/>
      </c>
      <c r="B17" s="41" t="str">
        <f>IF(OR($A17=0,$A17=""),"0",IF(LOOKUP($A17,Load_Switch_PFET[PARTNUMBER],Load_Switch_PFET[RDSON15])="(NULL)","0","1"))</f>
        <v>0</v>
      </c>
      <c r="C17" s="26" t="str">
        <f>IF(OR($A17=0,$A17=""),"0",IF(LOOKUP($A17,Load_Switch_PFET[PARTNUMBER],Load_Switch_PFET[RDSON18])="(NULL)","0","1"))</f>
        <v>0</v>
      </c>
      <c r="D17" s="27" t="str">
        <f>IF(OR($A17=0,$A17=""),"0",IF(LOOKUP($A17,Load_Switch_PFET[PARTNUMBER],Load_Switch_PFET[RDSON25])="(NULL)","0","1"))</f>
        <v>0</v>
      </c>
      <c r="E17" s="28" t="str">
        <f>IF(OR($A17=0,$A17=""),"0",IF(LOOKUP($A17,Load_Switch_PFET[PARTNUMBER],Load_Switch_PFET[RDSON45])="(NULL)","0","1"))</f>
        <v>0</v>
      </c>
      <c r="F17" s="30" t="str">
        <f>IF(OR($A17=0,$A17=""),"0",IF(LOOKUP($A17,Load_Switch_PFET[PARTNUMBER],Load_Switch_PFET[RDSON8])="(NULL)","0","1"))</f>
        <v>0</v>
      </c>
      <c r="G17" s="42" t="b">
        <f t="shared" si="0"/>
        <v>0</v>
      </c>
      <c r="H17" s="32" t="b">
        <f t="shared" si="1"/>
        <v>0</v>
      </c>
      <c r="I17" s="33" t="b">
        <f t="shared" si="2"/>
        <v>0</v>
      </c>
      <c r="J17" s="34" t="b">
        <f t="shared" si="3"/>
        <v>0</v>
      </c>
      <c r="K17" s="36" t="b">
        <f t="shared" si="4"/>
        <v>0</v>
      </c>
      <c r="L17" s="43" t="b">
        <f>OR(PFET_PLOSS[[#This Row],[1V5]:[8V]])</f>
        <v>0</v>
      </c>
      <c r="M17" s="42" t="b">
        <f t="shared" si="5"/>
        <v>0</v>
      </c>
      <c r="N17" s="32" t="b">
        <f t="shared" si="6"/>
        <v>0</v>
      </c>
      <c r="O17" s="33" t="b">
        <f t="shared" si="7"/>
        <v>0</v>
      </c>
      <c r="P17" s="34" t="b">
        <f t="shared" si="8"/>
        <v>0</v>
      </c>
      <c r="Q17" s="36" t="b">
        <f t="shared" si="9"/>
        <v>0</v>
      </c>
      <c r="R17" s="6" t="str">
        <f>IF(Q17,LOOKUP(A17,Load_Switch_PFET[PARTNUMBER],Load_Switch_PFET[RDSON8])*1000,IF(P17,LOOKUP(A17,Load_Switch_PFET[PARTNUMBER],Load_Switch_PFET[RDSON45])*1000,IF(O17,LOOKUP(A17,Load_Switch_PFET[PARTNUMBER],Load_Switch_PFET[RDSON25])*1000,IF(N17,LOOKUP(A17,Load_Switch_PFET[PARTNUMBER],Load_Switch_PFET[RDSON18])*1000,IF(M17,LOOKUP(A17,Load_Switch_PFET[PARTNUMBER],Load_Switch_PFET[RDSON15])*1000,"")))))</f>
        <v/>
      </c>
      <c r="S17" s="19" t="str">
        <f>IF(AND(A17&lt;&gt;0,A17&lt;&gt;""),R17*(1+(Tj-25)*(LOOKUP(A17,Load_Switch_PFET[PARTNUMBER],Load_Switch_PFET[RDSDELTA])/((LOOKUP(A17,Load_Switch_PFET[PARTNUMBER],Load_Switch_PFET[TJMAX])-25)))),"")</f>
        <v/>
      </c>
      <c r="T17" s="6" t="str">
        <f>IF(AND(A17&lt;&gt;0,A17&lt;&gt;""),LOOKUP(A17,Load_Switch_PFET[PARTNUMBER],Load_Switch_PFET[VTHMAX]),"")</f>
        <v/>
      </c>
      <c r="U17" s="6" t="str">
        <f>IF(AND(A17&lt;&gt;0,A17&lt;&gt;""),LOOKUP(A17,Load_Switch_PFET[PARTNUMBER],Load_Switch_PFET[VTHMIN]),"")</f>
        <v/>
      </c>
      <c r="V17" s="6" t="str">
        <f t="shared" si="12"/>
        <v>#N/A</v>
      </c>
      <c r="W17" s="6" t="str">
        <f>IF(AND($A17&lt;&gt;0,$A17&lt;&gt;""),LOOKUP($A17,Load_Switch_PFET[PARTNUMBER],Load_Switch_PFET[RGIMAX]),"")</f>
        <v/>
      </c>
      <c r="X17" s="6" t="str">
        <f>IF(AND($A17&lt;&gt;0,$A17&lt;&gt;""),LOOKUP($A17,Load_Switch_PFET[PARTNUMBER],Load_Switch_PFET[QGTYP]),"")</f>
        <v/>
      </c>
      <c r="Y17" s="6" t="str">
        <f>IF(AND($A17&lt;&gt;0,$A17&lt;&gt;""),LOOKUP($A17,Load_Switch_PFET[PARTNUMBER],Load_Switch_PFET[QGS]),"")</f>
        <v/>
      </c>
      <c r="Z17" s="6" t="str">
        <f>IF(AND($A17&lt;&gt;0,$A17&lt;&gt;""),LOOKUP($A17,Load_Switch_PFET[PARTNUMBER],Load_Switch_PFET[QGD]),"")</f>
        <v/>
      </c>
      <c r="AA17" s="6" t="str">
        <f>IF(AND($A17&lt;&gt;0,$A17&lt;&gt;""),LOOKUP($A17,Load_Switch_PFET[PARTNUMBER],Load_Switch_PFET[COSS_AT_VDSSPEC]),"")</f>
        <v/>
      </c>
      <c r="AB17" s="6" t="str">
        <f t="shared" si="15"/>
        <v/>
      </c>
      <c r="AC17" s="6" t="str">
        <f t="shared" si="10"/>
        <v/>
      </c>
      <c r="AD17" s="49" t="str">
        <f t="shared" si="11"/>
        <v/>
      </c>
      <c r="AE17" s="46" t="str">
        <f>IF(AND($A17&lt;&gt;0,$A17&lt;&gt;""),LOOKUP($A17,Load_Switch_PFET[PARTNUMBER],Load_Switch_PFET[1KPRICE]),"")</f>
        <v/>
      </c>
      <c r="AF17" s="6" t="str">
        <f>IF(AND($A17&lt;&gt;0,$A17&lt;&gt;""),LOOKUP(A17,Load_Switch_PFET[PARTNUMBER],Load_Switch_PFET[TI_EQ_PACKAGE]),"")</f>
        <v/>
      </c>
      <c r="AG17" s="6" t="str">
        <f t="shared" si="14"/>
        <v>Invalid Part</v>
      </c>
    </row>
    <row r="18" spans="1:33" x14ac:dyDescent="0.25">
      <c r="A18" s="6" t="str">
        <f>IF(CH="P",PLogic!B18,"")</f>
        <v/>
      </c>
      <c r="B18" s="41" t="str">
        <f>IF(OR($A18=0,$A18=""),"0",IF(LOOKUP($A18,Load_Switch_PFET[PARTNUMBER],Load_Switch_PFET[RDSON15])="(NULL)","0","1"))</f>
        <v>0</v>
      </c>
      <c r="C18" s="26" t="str">
        <f>IF(OR($A18=0,$A18=""),"0",IF(LOOKUP($A18,Load_Switch_PFET[PARTNUMBER],Load_Switch_PFET[RDSON18])="(NULL)","0","1"))</f>
        <v>0</v>
      </c>
      <c r="D18" s="27" t="str">
        <f>IF(OR($A18=0,$A18=""),"0",IF(LOOKUP($A18,Load_Switch_PFET[PARTNUMBER],Load_Switch_PFET[RDSON25])="(NULL)","0","1"))</f>
        <v>0</v>
      </c>
      <c r="E18" s="28" t="str">
        <f>IF(OR($A18=0,$A18=""),"0",IF(LOOKUP($A18,Load_Switch_PFET[PARTNUMBER],Load_Switch_PFET[RDSON45])="(NULL)","0","1"))</f>
        <v>0</v>
      </c>
      <c r="F18" s="30" t="str">
        <f>IF(OR($A18=0,$A18=""),"0",IF(LOOKUP($A18,Load_Switch_PFET[PARTNUMBER],Load_Switch_PFET[RDSON8])="(NULL)","0","1"))</f>
        <v>0</v>
      </c>
      <c r="G18" s="42" t="b">
        <f t="shared" si="0"/>
        <v>0</v>
      </c>
      <c r="H18" s="32" t="b">
        <f t="shared" si="1"/>
        <v>0</v>
      </c>
      <c r="I18" s="33" t="b">
        <f t="shared" si="2"/>
        <v>0</v>
      </c>
      <c r="J18" s="34" t="b">
        <f t="shared" si="3"/>
        <v>0</v>
      </c>
      <c r="K18" s="36" t="b">
        <f t="shared" si="4"/>
        <v>0</v>
      </c>
      <c r="L18" s="43" t="b">
        <f>OR(PFET_PLOSS[[#This Row],[1V5]:[8V]])</f>
        <v>0</v>
      </c>
      <c r="M18" s="42" t="b">
        <f t="shared" si="5"/>
        <v>0</v>
      </c>
      <c r="N18" s="32" t="b">
        <f t="shared" si="6"/>
        <v>0</v>
      </c>
      <c r="O18" s="33" t="b">
        <f t="shared" si="7"/>
        <v>0</v>
      </c>
      <c r="P18" s="34" t="b">
        <f t="shared" si="8"/>
        <v>0</v>
      </c>
      <c r="Q18" s="36" t="b">
        <f t="shared" si="9"/>
        <v>0</v>
      </c>
      <c r="R18" s="6" t="str">
        <f>IF(Q18,LOOKUP(A18,Load_Switch_PFET[PARTNUMBER],Load_Switch_PFET[RDSON8])*1000,IF(P18,LOOKUP(A18,Load_Switch_PFET[PARTNUMBER],Load_Switch_PFET[RDSON45])*1000,IF(O18,LOOKUP(A18,Load_Switch_PFET[PARTNUMBER],Load_Switch_PFET[RDSON25])*1000,IF(N18,LOOKUP(A18,Load_Switch_PFET[PARTNUMBER],Load_Switch_PFET[RDSON18])*1000,IF(M18,LOOKUP(A18,Load_Switch_PFET[PARTNUMBER],Load_Switch_PFET[RDSON15])*1000,"")))))</f>
        <v/>
      </c>
      <c r="S18" s="19" t="str">
        <f>IF(AND(A18&lt;&gt;0,A18&lt;&gt;""),R18*(1+(Tj-25)*(LOOKUP(A18,Load_Switch_PFET[PARTNUMBER],Load_Switch_PFET[RDSDELTA])/((LOOKUP(A18,Load_Switch_PFET[PARTNUMBER],Load_Switch_PFET[TJMAX])-25)))),"")</f>
        <v/>
      </c>
      <c r="T18" s="6" t="str">
        <f>IF(AND(A18&lt;&gt;0,A18&lt;&gt;""),LOOKUP(A18,Load_Switch_PFET[PARTNUMBER],Load_Switch_PFET[VTHMAX]),"")</f>
        <v/>
      </c>
      <c r="U18" s="6" t="str">
        <f>IF(AND(A18&lt;&gt;0,A18&lt;&gt;""),LOOKUP(A18,Load_Switch_PFET[PARTNUMBER],Load_Switch_PFET[VTHMIN]),"")</f>
        <v/>
      </c>
      <c r="V18" s="6" t="str">
        <f t="shared" si="12"/>
        <v>#N/A</v>
      </c>
      <c r="W18" s="6" t="str">
        <f>IF(AND($A18&lt;&gt;0,$A18&lt;&gt;""),LOOKUP($A18,Load_Switch_PFET[PARTNUMBER],Load_Switch_PFET[RGIMAX]),"")</f>
        <v/>
      </c>
      <c r="X18" s="6" t="str">
        <f>IF(AND($A18&lt;&gt;0,$A18&lt;&gt;""),LOOKUP($A18,Load_Switch_PFET[PARTNUMBER],Load_Switch_PFET[QGTYP]),"")</f>
        <v/>
      </c>
      <c r="Y18" s="6" t="str">
        <f>IF(AND($A18&lt;&gt;0,$A18&lt;&gt;""),LOOKUP($A18,Load_Switch_PFET[PARTNUMBER],Load_Switch_PFET[QGS]),"")</f>
        <v/>
      </c>
      <c r="Z18" s="6" t="str">
        <f>IF(AND($A18&lt;&gt;0,$A18&lt;&gt;""),LOOKUP($A18,Load_Switch_PFET[PARTNUMBER],Load_Switch_PFET[QGD]),"")</f>
        <v/>
      </c>
      <c r="AA18" s="6" t="str">
        <f>IF(AND($A18&lt;&gt;0,$A18&lt;&gt;""),LOOKUP($A18,Load_Switch_PFET[PARTNUMBER],Load_Switch_PFET[COSS_AT_VDSSPEC]),"")</f>
        <v/>
      </c>
      <c r="AB18" s="6" t="str">
        <f t="shared" si="15"/>
        <v/>
      </c>
      <c r="AC18" s="6" t="str">
        <f t="shared" si="10"/>
        <v/>
      </c>
      <c r="AD18" s="49" t="str">
        <f t="shared" si="11"/>
        <v/>
      </c>
      <c r="AE18" s="46" t="str">
        <f>IF(AND($A18&lt;&gt;0,$A18&lt;&gt;""),LOOKUP($A18,Load_Switch_PFET[PARTNUMBER],Load_Switch_PFET[1KPRICE]),"")</f>
        <v/>
      </c>
      <c r="AF18" s="6" t="str">
        <f>IF(AND($A18&lt;&gt;0,$A18&lt;&gt;""),LOOKUP(A18,Load_Switch_PFET[PARTNUMBER],Load_Switch_PFET[TI_EQ_PACKAGE]),"")</f>
        <v/>
      </c>
      <c r="AG18" s="6" t="str">
        <f t="shared" si="14"/>
        <v>Invalid Part</v>
      </c>
    </row>
    <row r="19" spans="1:33" x14ac:dyDescent="0.25">
      <c r="A19" s="6" t="str">
        <f>IF(CH="P",PLogic!B19,"")</f>
        <v/>
      </c>
      <c r="B19" s="41" t="str">
        <f>IF(OR($A19=0,$A19=""),"0",IF(LOOKUP($A19,Load_Switch_PFET[PARTNUMBER],Load_Switch_PFET[RDSON15])="(NULL)","0","1"))</f>
        <v>0</v>
      </c>
      <c r="C19" s="26" t="str">
        <f>IF(OR($A19=0,$A19=""),"0",IF(LOOKUP($A19,Load_Switch_PFET[PARTNUMBER],Load_Switch_PFET[RDSON18])="(NULL)","0","1"))</f>
        <v>0</v>
      </c>
      <c r="D19" s="27" t="str">
        <f>IF(OR($A19=0,$A19=""),"0",IF(LOOKUP($A19,Load_Switch_PFET[PARTNUMBER],Load_Switch_PFET[RDSON25])="(NULL)","0","1"))</f>
        <v>0</v>
      </c>
      <c r="E19" s="28" t="str">
        <f>IF(OR($A19=0,$A19=""),"0",IF(LOOKUP($A19,Load_Switch_PFET[PARTNUMBER],Load_Switch_PFET[RDSON45])="(NULL)","0","1"))</f>
        <v>0</v>
      </c>
      <c r="F19" s="30" t="str">
        <f>IF(OR($A19=0,$A19=""),"0",IF(LOOKUP($A19,Load_Switch_PFET[PARTNUMBER],Load_Switch_PFET[RDSON8])="(NULL)","0","1"))</f>
        <v>0</v>
      </c>
      <c r="G19" s="42" t="b">
        <f t="shared" si="0"/>
        <v>0</v>
      </c>
      <c r="H19" s="32" t="b">
        <f t="shared" si="1"/>
        <v>0</v>
      </c>
      <c r="I19" s="33" t="b">
        <f t="shared" si="2"/>
        <v>0</v>
      </c>
      <c r="J19" s="34" t="b">
        <f t="shared" si="3"/>
        <v>0</v>
      </c>
      <c r="K19" s="36" t="b">
        <f t="shared" si="4"/>
        <v>0</v>
      </c>
      <c r="L19" s="43" t="b">
        <f>OR(PFET_PLOSS[[#This Row],[1V5]:[8V]])</f>
        <v>0</v>
      </c>
      <c r="M19" s="42" t="b">
        <f t="shared" si="5"/>
        <v>0</v>
      </c>
      <c r="N19" s="32" t="b">
        <f t="shared" si="6"/>
        <v>0</v>
      </c>
      <c r="O19" s="33" t="b">
        <f t="shared" si="7"/>
        <v>0</v>
      </c>
      <c r="P19" s="34" t="b">
        <f t="shared" si="8"/>
        <v>0</v>
      </c>
      <c r="Q19" s="36" t="b">
        <f t="shared" si="9"/>
        <v>0</v>
      </c>
      <c r="R19" s="6" t="str">
        <f>IF(Q19,LOOKUP(A19,Load_Switch_PFET[PARTNUMBER],Load_Switch_PFET[RDSON8])*1000,IF(P19,LOOKUP(A19,Load_Switch_PFET[PARTNUMBER],Load_Switch_PFET[RDSON45])*1000,IF(O19,LOOKUP(A19,Load_Switch_PFET[PARTNUMBER],Load_Switch_PFET[RDSON25])*1000,IF(N19,LOOKUP(A19,Load_Switch_PFET[PARTNUMBER],Load_Switch_PFET[RDSON18])*1000,IF(M19,LOOKUP(A19,Load_Switch_PFET[PARTNUMBER],Load_Switch_PFET[RDSON15])*1000,"")))))</f>
        <v/>
      </c>
      <c r="S19" s="19" t="str">
        <f>IF(AND(A19&lt;&gt;0,A19&lt;&gt;""),R19*(1+(Tj-25)*(LOOKUP(A19,Load_Switch_PFET[PARTNUMBER],Load_Switch_PFET[RDSDELTA])/((LOOKUP(A19,Load_Switch_PFET[PARTNUMBER],Load_Switch_PFET[TJMAX])-25)))),"")</f>
        <v/>
      </c>
      <c r="T19" s="6" t="str">
        <f>IF(AND(A19&lt;&gt;0,A19&lt;&gt;""),LOOKUP(A19,Load_Switch_PFET[PARTNUMBER],Load_Switch_PFET[VTHMAX]),"")</f>
        <v/>
      </c>
      <c r="U19" s="6" t="str">
        <f>IF(AND(A19&lt;&gt;0,A19&lt;&gt;""),LOOKUP(A19,Load_Switch_PFET[PARTNUMBER],Load_Switch_PFET[VTHMIN]),"")</f>
        <v/>
      </c>
      <c r="V19" s="6" t="str">
        <f t="shared" si="12"/>
        <v>#N/A</v>
      </c>
      <c r="W19" s="6" t="str">
        <f>IF(AND($A19&lt;&gt;0,$A19&lt;&gt;""),LOOKUP($A19,Load_Switch_PFET[PARTNUMBER],Load_Switch_PFET[RGIMAX]),"")</f>
        <v/>
      </c>
      <c r="X19" s="6" t="str">
        <f>IF(AND($A19&lt;&gt;0,$A19&lt;&gt;""),LOOKUP($A19,Load_Switch_PFET[PARTNUMBER],Load_Switch_PFET[QGTYP]),"")</f>
        <v/>
      </c>
      <c r="Y19" s="6" t="str">
        <f>IF(AND($A19&lt;&gt;0,$A19&lt;&gt;""),LOOKUP($A19,Load_Switch_PFET[PARTNUMBER],Load_Switch_PFET[QGS]),"")</f>
        <v/>
      </c>
      <c r="Z19" s="6" t="str">
        <f>IF(AND($A19&lt;&gt;0,$A19&lt;&gt;""),LOOKUP($A19,Load_Switch_PFET[PARTNUMBER],Load_Switch_PFET[QGD]),"")</f>
        <v/>
      </c>
      <c r="AA19" s="6" t="str">
        <f>IF(AND($A19&lt;&gt;0,$A19&lt;&gt;""),LOOKUP($A19,Load_Switch_PFET[PARTNUMBER],Load_Switch_PFET[COSS_AT_VDSSPEC]),"")</f>
        <v/>
      </c>
      <c r="AB19" s="6" t="str">
        <f t="shared" si="15"/>
        <v/>
      </c>
      <c r="AC19" s="6" t="str">
        <f t="shared" si="10"/>
        <v/>
      </c>
      <c r="AD19" s="49" t="str">
        <f t="shared" si="11"/>
        <v/>
      </c>
      <c r="AE19" s="46" t="str">
        <f>IF(AND($A19&lt;&gt;0,$A19&lt;&gt;""),LOOKUP($A19,Load_Switch_PFET[PARTNUMBER],Load_Switch_PFET[1KPRICE]),"")</f>
        <v/>
      </c>
      <c r="AF19" s="6" t="str">
        <f>IF(AND($A19&lt;&gt;0,$A19&lt;&gt;""),LOOKUP(A19,Load_Switch_PFET[PARTNUMBER],Load_Switch_PFET[TI_EQ_PACKAGE]),"")</f>
        <v/>
      </c>
      <c r="AG19" s="6" t="str">
        <f t="shared" si="14"/>
        <v>Invalid Part</v>
      </c>
    </row>
    <row r="20" spans="1:33" x14ac:dyDescent="0.25">
      <c r="A20" s="6" t="str">
        <f>IF(CH="P",PLogic!B20,"")</f>
        <v/>
      </c>
      <c r="B20" s="41" t="str">
        <f>IF(OR($A20=0,$A20=""),"0",IF(LOOKUP($A20,Load_Switch_PFET[PARTNUMBER],Load_Switch_PFET[RDSON15])="(NULL)","0","1"))</f>
        <v>0</v>
      </c>
      <c r="C20" s="26" t="str">
        <f>IF(OR($A20=0,$A20=""),"0",IF(LOOKUP($A20,Load_Switch_PFET[PARTNUMBER],Load_Switch_PFET[RDSON18])="(NULL)","0","1"))</f>
        <v>0</v>
      </c>
      <c r="D20" s="27" t="str">
        <f>IF(OR($A20=0,$A20=""),"0",IF(LOOKUP($A20,Load_Switch_PFET[PARTNUMBER],Load_Switch_PFET[RDSON25])="(NULL)","0","1"))</f>
        <v>0</v>
      </c>
      <c r="E20" s="28" t="str">
        <f>IF(OR($A20=0,$A20=""),"0",IF(LOOKUP($A20,Load_Switch_PFET[PARTNUMBER],Load_Switch_PFET[RDSON45])="(NULL)","0","1"))</f>
        <v>0</v>
      </c>
      <c r="F20" s="30" t="str">
        <f>IF(OR($A20=0,$A20=""),"0",IF(LOOKUP($A20,Load_Switch_PFET[PARTNUMBER],Load_Switch_PFET[RDSON8])="(NULL)","0","1"))</f>
        <v>0</v>
      </c>
      <c r="G20" s="42" t="b">
        <f t="shared" si="0"/>
        <v>0</v>
      </c>
      <c r="H20" s="32" t="b">
        <f t="shared" si="1"/>
        <v>0</v>
      </c>
      <c r="I20" s="33" t="b">
        <f t="shared" si="2"/>
        <v>0</v>
      </c>
      <c r="J20" s="34" t="b">
        <f t="shared" si="3"/>
        <v>0</v>
      </c>
      <c r="K20" s="36" t="b">
        <f t="shared" si="4"/>
        <v>0</v>
      </c>
      <c r="L20" s="43" t="b">
        <f>OR(PFET_PLOSS[[#This Row],[1V5]:[8V]])</f>
        <v>0</v>
      </c>
      <c r="M20" s="42" t="b">
        <f t="shared" si="5"/>
        <v>0</v>
      </c>
      <c r="N20" s="32" t="b">
        <f t="shared" si="6"/>
        <v>0</v>
      </c>
      <c r="O20" s="33" t="b">
        <f t="shared" si="7"/>
        <v>0</v>
      </c>
      <c r="P20" s="34" t="b">
        <f t="shared" si="8"/>
        <v>0</v>
      </c>
      <c r="Q20" s="36" t="b">
        <f t="shared" si="9"/>
        <v>0</v>
      </c>
      <c r="R20" s="6" t="str">
        <f>IF(Q20,LOOKUP(A20,Load_Switch_PFET[PARTNUMBER],Load_Switch_PFET[RDSON8])*1000,IF(P20,LOOKUP(A20,Load_Switch_PFET[PARTNUMBER],Load_Switch_PFET[RDSON45])*1000,IF(O20,LOOKUP(A20,Load_Switch_PFET[PARTNUMBER],Load_Switch_PFET[RDSON25])*1000,IF(N20,LOOKUP(A20,Load_Switch_PFET[PARTNUMBER],Load_Switch_PFET[RDSON18])*1000,IF(M20,LOOKUP(A20,Load_Switch_PFET[PARTNUMBER],Load_Switch_PFET[RDSON15])*1000,"")))))</f>
        <v/>
      </c>
      <c r="S20" s="19" t="str">
        <f>IF(AND(A20&lt;&gt;0,A20&lt;&gt;""),R20*(1+(Tj-25)*(LOOKUP(A20,Load_Switch_PFET[PARTNUMBER],Load_Switch_PFET[RDSDELTA])/((LOOKUP(A20,Load_Switch_PFET[PARTNUMBER],Load_Switch_PFET[TJMAX])-25)))),"")</f>
        <v/>
      </c>
      <c r="T20" s="6" t="str">
        <f>IF(AND(A20&lt;&gt;0,A20&lt;&gt;""),LOOKUP(A20,Load_Switch_PFET[PARTNUMBER],Load_Switch_PFET[VTHMAX]),"")</f>
        <v/>
      </c>
      <c r="U20" s="6" t="str">
        <f>IF(AND(A20&lt;&gt;0,A20&lt;&gt;""),LOOKUP(A20,Load_Switch_PFET[PARTNUMBER],Load_Switch_PFET[VTHMIN]),"")</f>
        <v/>
      </c>
      <c r="V20" s="6" t="str">
        <f t="shared" si="12"/>
        <v>#N/A</v>
      </c>
      <c r="W20" s="6" t="str">
        <f>IF(AND($A20&lt;&gt;0,$A20&lt;&gt;""),LOOKUP($A20,Load_Switch_PFET[PARTNUMBER],Load_Switch_PFET[RGIMAX]),"")</f>
        <v/>
      </c>
      <c r="X20" s="6" t="str">
        <f>IF(AND($A20&lt;&gt;0,$A20&lt;&gt;""),LOOKUP($A20,Load_Switch_PFET[PARTNUMBER],Load_Switch_PFET[QGTYP]),"")</f>
        <v/>
      </c>
      <c r="Y20" s="6" t="str">
        <f>IF(AND($A20&lt;&gt;0,$A20&lt;&gt;""),LOOKUP($A20,Load_Switch_PFET[PARTNUMBER],Load_Switch_PFET[QGS]),"")</f>
        <v/>
      </c>
      <c r="Z20" s="6" t="str">
        <f>IF(AND($A20&lt;&gt;0,$A20&lt;&gt;""),LOOKUP($A20,Load_Switch_PFET[PARTNUMBER],Load_Switch_PFET[QGD]),"")</f>
        <v/>
      </c>
      <c r="AA20" s="6" t="str">
        <f>IF(AND($A20&lt;&gt;0,$A20&lt;&gt;""),LOOKUP($A20,Load_Switch_PFET[PARTNUMBER],Load_Switch_PFET[COSS_AT_VDSSPEC]),"")</f>
        <v/>
      </c>
      <c r="AB20" s="6" t="str">
        <f t="shared" si="15"/>
        <v/>
      </c>
      <c r="AC20" s="6" t="str">
        <f t="shared" si="10"/>
        <v/>
      </c>
      <c r="AD20" s="49" t="str">
        <f t="shared" si="11"/>
        <v/>
      </c>
      <c r="AE20" s="46" t="str">
        <f>IF(AND($A20&lt;&gt;0,$A20&lt;&gt;""),LOOKUP($A20,Load_Switch_PFET[PARTNUMBER],Load_Switch_PFET[1KPRICE]),"")</f>
        <v/>
      </c>
      <c r="AF20" s="6" t="str">
        <f>IF(AND($A20&lt;&gt;0,$A20&lt;&gt;""),LOOKUP(A20,Load_Switch_PFET[PARTNUMBER],Load_Switch_PFET[TI_EQ_PACKAGE]),"")</f>
        <v/>
      </c>
      <c r="AG20" s="6" t="str">
        <f t="shared" si="14"/>
        <v>Invalid Part</v>
      </c>
    </row>
    <row r="21" spans="1:33" x14ac:dyDescent="0.25">
      <c r="A21" s="6" t="str">
        <f>IF(CH="P",PLogic!B21,"")</f>
        <v/>
      </c>
      <c r="B21" s="41" t="str">
        <f>IF(OR($A21=0,$A21=""),"0",IF(LOOKUP($A21,Load_Switch_PFET[PARTNUMBER],Load_Switch_PFET[RDSON15])="(NULL)","0","1"))</f>
        <v>0</v>
      </c>
      <c r="C21" s="26" t="str">
        <f>IF(OR($A21=0,$A21=""),"0",IF(LOOKUP($A21,Load_Switch_PFET[PARTNUMBER],Load_Switch_PFET[RDSON18])="(NULL)","0","1"))</f>
        <v>0</v>
      </c>
      <c r="D21" s="27" t="str">
        <f>IF(OR($A21=0,$A21=""),"0",IF(LOOKUP($A21,Load_Switch_PFET[PARTNUMBER],Load_Switch_PFET[RDSON25])="(NULL)","0","1"))</f>
        <v>0</v>
      </c>
      <c r="E21" s="28" t="str">
        <f>IF(OR($A21=0,$A21=""),"0",IF(LOOKUP($A21,Load_Switch_PFET[PARTNUMBER],Load_Switch_PFET[RDSON45])="(NULL)","0","1"))</f>
        <v>0</v>
      </c>
      <c r="F21" s="30" t="str">
        <f>IF(OR($A21=0,$A21=""),"0",IF(LOOKUP($A21,Load_Switch_PFET[PARTNUMBER],Load_Switch_PFET[RDSON8])="(NULL)","0","1"))</f>
        <v>0</v>
      </c>
      <c r="G21" s="42" t="b">
        <f t="shared" si="0"/>
        <v>0</v>
      </c>
      <c r="H21" s="32" t="b">
        <f t="shared" si="1"/>
        <v>0</v>
      </c>
      <c r="I21" s="33" t="b">
        <f t="shared" si="2"/>
        <v>0</v>
      </c>
      <c r="J21" s="34" t="b">
        <f t="shared" si="3"/>
        <v>0</v>
      </c>
      <c r="K21" s="36" t="b">
        <f t="shared" si="4"/>
        <v>0</v>
      </c>
      <c r="L21" s="43" t="b">
        <f>OR(PFET_PLOSS[[#This Row],[1V5]:[8V]])</f>
        <v>0</v>
      </c>
      <c r="M21" s="42" t="b">
        <f t="shared" si="5"/>
        <v>0</v>
      </c>
      <c r="N21" s="32" t="b">
        <f t="shared" si="6"/>
        <v>0</v>
      </c>
      <c r="O21" s="33" t="b">
        <f t="shared" si="7"/>
        <v>0</v>
      </c>
      <c r="P21" s="34" t="b">
        <f t="shared" si="8"/>
        <v>0</v>
      </c>
      <c r="Q21" s="36" t="b">
        <f t="shared" si="9"/>
        <v>0</v>
      </c>
      <c r="R21" s="6" t="str">
        <f>IF(Q21,LOOKUP(A21,Load_Switch_PFET[PARTNUMBER],Load_Switch_PFET[RDSON8])*1000,IF(P21,LOOKUP(A21,Load_Switch_PFET[PARTNUMBER],Load_Switch_PFET[RDSON45])*1000,IF(O21,LOOKUP(A21,Load_Switch_PFET[PARTNUMBER],Load_Switch_PFET[RDSON25])*1000,IF(N21,LOOKUP(A21,Load_Switch_PFET[PARTNUMBER],Load_Switch_PFET[RDSON18])*1000,IF(M21,LOOKUP(A21,Load_Switch_PFET[PARTNUMBER],Load_Switch_PFET[RDSON15])*1000,"")))))</f>
        <v/>
      </c>
      <c r="S21" s="19" t="str">
        <f>IF(AND(A21&lt;&gt;0,A21&lt;&gt;""),R21*(1+(Tj-25)*(LOOKUP(A21,Load_Switch_PFET[PARTNUMBER],Load_Switch_PFET[RDSDELTA])/((LOOKUP(A21,Load_Switch_PFET[PARTNUMBER],Load_Switch_PFET[TJMAX])-25)))),"")</f>
        <v/>
      </c>
      <c r="T21" s="6" t="str">
        <f>IF(AND(A21&lt;&gt;0,A21&lt;&gt;""),LOOKUP(A21,Load_Switch_PFET[PARTNUMBER],Load_Switch_PFET[VTHMAX]),"")</f>
        <v/>
      </c>
      <c r="U21" s="6" t="str">
        <f>IF(AND(A21&lt;&gt;0,A21&lt;&gt;""),LOOKUP(A21,Load_Switch_PFET[PARTNUMBER],Load_Switch_PFET[VTHMIN]),"")</f>
        <v/>
      </c>
      <c r="V21" s="6" t="str">
        <f t="shared" si="12"/>
        <v>#N/A</v>
      </c>
      <c r="W21" s="6" t="str">
        <f>IF(AND($A21&lt;&gt;0,$A21&lt;&gt;""),LOOKUP($A21,Load_Switch_PFET[PARTNUMBER],Load_Switch_PFET[RGIMAX]),"")</f>
        <v/>
      </c>
      <c r="X21" s="6" t="str">
        <f>IF(AND($A21&lt;&gt;0,$A21&lt;&gt;""),LOOKUP($A21,Load_Switch_PFET[PARTNUMBER],Load_Switch_PFET[QGTYP]),"")</f>
        <v/>
      </c>
      <c r="Y21" s="6" t="str">
        <f>IF(AND($A21&lt;&gt;0,$A21&lt;&gt;""),LOOKUP($A21,Load_Switch_PFET[PARTNUMBER],Load_Switch_PFET[QGS]),"")</f>
        <v/>
      </c>
      <c r="Z21" s="6" t="str">
        <f>IF(AND($A21&lt;&gt;0,$A21&lt;&gt;""),LOOKUP($A21,Load_Switch_PFET[PARTNUMBER],Load_Switch_PFET[QGD]),"")</f>
        <v/>
      </c>
      <c r="AA21" s="6" t="str">
        <f>IF(AND($A21&lt;&gt;0,$A21&lt;&gt;""),LOOKUP($A21,Load_Switch_PFET[PARTNUMBER],Load_Switch_PFET[COSS_AT_VDSSPEC]),"")</f>
        <v/>
      </c>
      <c r="AB21" s="6" t="str">
        <f t="shared" si="15"/>
        <v/>
      </c>
      <c r="AC21" s="6" t="str">
        <f t="shared" si="10"/>
        <v/>
      </c>
      <c r="AD21" s="49" t="str">
        <f t="shared" si="11"/>
        <v/>
      </c>
      <c r="AE21" s="46" t="str">
        <f>IF(AND($A21&lt;&gt;0,$A21&lt;&gt;""),LOOKUP($A21,Load_Switch_PFET[PARTNUMBER],Load_Switch_PFET[1KPRICE]),"")</f>
        <v/>
      </c>
      <c r="AF21" s="6" t="str">
        <f>IF(AND($A21&lt;&gt;0,$A21&lt;&gt;""),LOOKUP(A21,Load_Switch_PFET[PARTNUMBER],Load_Switch_PFET[TI_EQ_PACKAGE]),"")</f>
        <v/>
      </c>
      <c r="AG21" s="6" t="str">
        <f t="shared" si="14"/>
        <v>Invalid Part</v>
      </c>
    </row>
    <row r="22" spans="1:33" x14ac:dyDescent="0.25">
      <c r="A22" s="6" t="str">
        <f>IF(CH="P",PLogic!B22,"")</f>
        <v/>
      </c>
      <c r="B22" s="41" t="str">
        <f>IF(OR($A22=0,$A22=""),"0",IF(LOOKUP($A22,Load_Switch_PFET[PARTNUMBER],Load_Switch_PFET[RDSON15])="(NULL)","0","1"))</f>
        <v>0</v>
      </c>
      <c r="C22" s="26" t="str">
        <f>IF(OR($A22=0,$A22=""),"0",IF(LOOKUP($A22,Load_Switch_PFET[PARTNUMBER],Load_Switch_PFET[RDSON18])="(NULL)","0","1"))</f>
        <v>0</v>
      </c>
      <c r="D22" s="27" t="str">
        <f>IF(OR($A22=0,$A22=""),"0",IF(LOOKUP($A22,Load_Switch_PFET[PARTNUMBER],Load_Switch_PFET[RDSON25])="(NULL)","0","1"))</f>
        <v>0</v>
      </c>
      <c r="E22" s="28" t="str">
        <f>IF(OR($A22=0,$A22=""),"0",IF(LOOKUP($A22,Load_Switch_PFET[PARTNUMBER],Load_Switch_PFET[RDSON45])="(NULL)","0","1"))</f>
        <v>0</v>
      </c>
      <c r="F22" s="30" t="str">
        <f>IF(OR($A22=0,$A22=""),"0",IF(LOOKUP($A22,Load_Switch_PFET[PARTNUMBER],Load_Switch_PFET[RDSON8])="(NULL)","0","1"))</f>
        <v>0</v>
      </c>
      <c r="G22" s="42" t="b">
        <f t="shared" si="0"/>
        <v>0</v>
      </c>
      <c r="H22" s="32" t="b">
        <f t="shared" si="1"/>
        <v>0</v>
      </c>
      <c r="I22" s="33" t="b">
        <f t="shared" si="2"/>
        <v>0</v>
      </c>
      <c r="J22" s="34" t="b">
        <f t="shared" si="3"/>
        <v>0</v>
      </c>
      <c r="K22" s="36" t="b">
        <f t="shared" si="4"/>
        <v>0</v>
      </c>
      <c r="L22" s="43" t="b">
        <f>OR(PFET_PLOSS[[#This Row],[1V5]:[8V]])</f>
        <v>0</v>
      </c>
      <c r="M22" s="42" t="b">
        <f t="shared" si="5"/>
        <v>0</v>
      </c>
      <c r="N22" s="32" t="b">
        <f t="shared" si="6"/>
        <v>0</v>
      </c>
      <c r="O22" s="33" t="b">
        <f t="shared" si="7"/>
        <v>0</v>
      </c>
      <c r="P22" s="34" t="b">
        <f t="shared" si="8"/>
        <v>0</v>
      </c>
      <c r="Q22" s="36" t="b">
        <f t="shared" si="9"/>
        <v>0</v>
      </c>
      <c r="R22" s="6" t="str">
        <f>IF(Q22,LOOKUP(A22,Load_Switch_PFET[PARTNUMBER],Load_Switch_PFET[RDSON8])*1000,IF(P22,LOOKUP(A22,Load_Switch_PFET[PARTNUMBER],Load_Switch_PFET[RDSON45])*1000,IF(O22,LOOKUP(A22,Load_Switch_PFET[PARTNUMBER],Load_Switch_PFET[RDSON25])*1000,IF(N22,LOOKUP(A22,Load_Switch_PFET[PARTNUMBER],Load_Switch_PFET[RDSON18])*1000,IF(M22,LOOKUP(A22,Load_Switch_PFET[PARTNUMBER],Load_Switch_PFET[RDSON15])*1000,"")))))</f>
        <v/>
      </c>
      <c r="S22" s="19" t="str">
        <f>IF(AND(A22&lt;&gt;0,A22&lt;&gt;""),R22*(1+(Tj-25)*(LOOKUP(A22,Load_Switch_PFET[PARTNUMBER],Load_Switch_PFET[RDSDELTA])/((LOOKUP(A22,Load_Switch_PFET[PARTNUMBER],Load_Switch_PFET[TJMAX])-25)))),"")</f>
        <v/>
      </c>
      <c r="T22" s="6" t="str">
        <f>IF(AND(A22&lt;&gt;0,A22&lt;&gt;""),LOOKUP(A22,Load_Switch_PFET[PARTNUMBER],Load_Switch_PFET[VTHMAX]),"")</f>
        <v/>
      </c>
      <c r="U22" s="6" t="str">
        <f>IF(AND(A22&lt;&gt;0,A22&lt;&gt;""),LOOKUP(A22,Load_Switch_PFET[PARTNUMBER],Load_Switch_PFET[VTHMIN]),"")</f>
        <v/>
      </c>
      <c r="V22" s="6" t="str">
        <f t="shared" si="12"/>
        <v>#N/A</v>
      </c>
      <c r="W22" s="6" t="str">
        <f>IF(AND($A22&lt;&gt;0,$A22&lt;&gt;""),LOOKUP($A22,Load_Switch_PFET[PARTNUMBER],Load_Switch_PFET[RGIMAX]),"")</f>
        <v/>
      </c>
      <c r="X22" s="6" t="str">
        <f>IF(AND($A22&lt;&gt;0,$A22&lt;&gt;""),LOOKUP($A22,Load_Switch_PFET[PARTNUMBER],Load_Switch_PFET[QGTYP]),"")</f>
        <v/>
      </c>
      <c r="Y22" s="6" t="str">
        <f>IF(AND($A22&lt;&gt;0,$A22&lt;&gt;""),LOOKUP($A22,Load_Switch_PFET[PARTNUMBER],Load_Switch_PFET[QGS]),"")</f>
        <v/>
      </c>
      <c r="Z22" s="6" t="str">
        <f>IF(AND($A22&lt;&gt;0,$A22&lt;&gt;""),LOOKUP($A22,Load_Switch_PFET[PARTNUMBER],Load_Switch_PFET[QGD]),"")</f>
        <v/>
      </c>
      <c r="AA22" s="6" t="str">
        <f>IF(AND($A22&lt;&gt;0,$A22&lt;&gt;""),LOOKUP($A22,Load_Switch_PFET[PARTNUMBER],Load_Switch_PFET[COSS_AT_VDSSPEC]),"")</f>
        <v/>
      </c>
      <c r="AB22" s="6" t="str">
        <f t="shared" si="15"/>
        <v/>
      </c>
      <c r="AC22" s="6" t="str">
        <f t="shared" si="10"/>
        <v/>
      </c>
      <c r="AD22" s="49" t="str">
        <f t="shared" si="11"/>
        <v/>
      </c>
      <c r="AE22" s="46" t="str">
        <f>IF(AND($A22&lt;&gt;0,$A22&lt;&gt;""),LOOKUP($A22,Load_Switch_PFET[PARTNUMBER],Load_Switch_PFET[1KPRICE]),"")</f>
        <v/>
      </c>
      <c r="AF22" s="6" t="str">
        <f>IF(AND($A22&lt;&gt;0,$A22&lt;&gt;""),LOOKUP(A22,Load_Switch_PFET[PARTNUMBER],Load_Switch_PFET[TI_EQ_PACKAGE]),"")</f>
        <v/>
      </c>
      <c r="AG22" s="6" t="str">
        <f t="shared" si="14"/>
        <v>Invalid Part</v>
      </c>
    </row>
    <row r="23" spans="1:33" x14ac:dyDescent="0.25">
      <c r="A23" s="6" t="str">
        <f>IF(CH="P",PLogic!B23,"")</f>
        <v/>
      </c>
      <c r="B23" s="41" t="str">
        <f>IF(OR($A23=0,$A23=""),"0",IF(LOOKUP($A23,Load_Switch_PFET[PARTNUMBER],Load_Switch_PFET[RDSON15])="(NULL)","0","1"))</f>
        <v>0</v>
      </c>
      <c r="C23" s="26" t="str">
        <f>IF(OR($A23=0,$A23=""),"0",IF(LOOKUP($A23,Load_Switch_PFET[PARTNUMBER],Load_Switch_PFET[RDSON18])="(NULL)","0","1"))</f>
        <v>0</v>
      </c>
      <c r="D23" s="27" t="str">
        <f>IF(OR($A23=0,$A23=""),"0",IF(LOOKUP($A23,Load_Switch_PFET[PARTNUMBER],Load_Switch_PFET[RDSON25])="(NULL)","0","1"))</f>
        <v>0</v>
      </c>
      <c r="E23" s="28" t="str">
        <f>IF(OR($A23=0,$A23=""),"0",IF(LOOKUP($A23,Load_Switch_PFET[PARTNUMBER],Load_Switch_PFET[RDSON45])="(NULL)","0","1"))</f>
        <v>0</v>
      </c>
      <c r="F23" s="30" t="str">
        <f>IF(OR($A23=0,$A23=""),"0",IF(LOOKUP($A23,Load_Switch_PFET[PARTNUMBER],Load_Switch_PFET[RDSON8])="(NULL)","0","1"))</f>
        <v>0</v>
      </c>
      <c r="G23" s="42" t="b">
        <f t="shared" si="0"/>
        <v>0</v>
      </c>
      <c r="H23" s="32" t="b">
        <f t="shared" si="1"/>
        <v>0</v>
      </c>
      <c r="I23" s="33" t="b">
        <f t="shared" si="2"/>
        <v>0</v>
      </c>
      <c r="J23" s="34" t="b">
        <f t="shared" si="3"/>
        <v>0</v>
      </c>
      <c r="K23" s="36" t="b">
        <f t="shared" si="4"/>
        <v>0</v>
      </c>
      <c r="L23" s="43" t="b">
        <f>OR(PFET_PLOSS[[#This Row],[1V5]:[8V]])</f>
        <v>0</v>
      </c>
      <c r="M23" s="42" t="b">
        <f t="shared" si="5"/>
        <v>0</v>
      </c>
      <c r="N23" s="32" t="b">
        <f t="shared" si="6"/>
        <v>0</v>
      </c>
      <c r="O23" s="33" t="b">
        <f t="shared" si="7"/>
        <v>0</v>
      </c>
      <c r="P23" s="34" t="b">
        <f t="shared" si="8"/>
        <v>0</v>
      </c>
      <c r="Q23" s="36" t="b">
        <f t="shared" si="9"/>
        <v>0</v>
      </c>
      <c r="R23" s="6" t="str">
        <f>IF(Q23,LOOKUP(A23,Load_Switch_PFET[PARTNUMBER],Load_Switch_PFET[RDSON8])*1000,IF(P23,LOOKUP(A23,Load_Switch_PFET[PARTNUMBER],Load_Switch_PFET[RDSON45])*1000,IF(O23,LOOKUP(A23,Load_Switch_PFET[PARTNUMBER],Load_Switch_PFET[RDSON25])*1000,IF(N23,LOOKUP(A23,Load_Switch_PFET[PARTNUMBER],Load_Switch_PFET[RDSON18])*1000,IF(M23,LOOKUP(A23,Load_Switch_PFET[PARTNUMBER],Load_Switch_PFET[RDSON15])*1000,"")))))</f>
        <v/>
      </c>
      <c r="S23" s="19" t="str">
        <f>IF(AND(A23&lt;&gt;0,A23&lt;&gt;""),R23*(1+(Tj-25)*(LOOKUP(A23,Load_Switch_PFET[PARTNUMBER],Load_Switch_PFET[RDSDELTA])/((LOOKUP(A23,Load_Switch_PFET[PARTNUMBER],Load_Switch_PFET[TJMAX])-25)))),"")</f>
        <v/>
      </c>
      <c r="T23" s="6" t="str">
        <f>IF(AND(A23&lt;&gt;0,A23&lt;&gt;""),LOOKUP(A23,Load_Switch_PFET[PARTNUMBER],Load_Switch_PFET[VTHMAX]),"")</f>
        <v/>
      </c>
      <c r="U23" s="6" t="str">
        <f>IF(AND(A23&lt;&gt;0,A23&lt;&gt;""),LOOKUP(A23,Load_Switch_PFET[PARTNUMBER],Load_Switch_PFET[VTHMIN]),"")</f>
        <v/>
      </c>
      <c r="V23" s="6" t="str">
        <f t="shared" si="12"/>
        <v>#N/A</v>
      </c>
      <c r="W23" s="6" t="str">
        <f>IF(AND($A23&lt;&gt;0,$A23&lt;&gt;""),LOOKUP($A23,Load_Switch_PFET[PARTNUMBER],Load_Switch_PFET[RGIMAX]),"")</f>
        <v/>
      </c>
      <c r="X23" s="6" t="str">
        <f>IF(AND($A23&lt;&gt;0,$A23&lt;&gt;""),LOOKUP($A23,Load_Switch_PFET[PARTNUMBER],Load_Switch_PFET[QGTYP]),"")</f>
        <v/>
      </c>
      <c r="Y23" s="6" t="str">
        <f>IF(AND($A23&lt;&gt;0,$A23&lt;&gt;""),LOOKUP($A23,Load_Switch_PFET[PARTNUMBER],Load_Switch_PFET[QGS]),"")</f>
        <v/>
      </c>
      <c r="Z23" s="6" t="str">
        <f>IF(AND($A23&lt;&gt;0,$A23&lt;&gt;""),LOOKUP($A23,Load_Switch_PFET[PARTNUMBER],Load_Switch_PFET[QGD]),"")</f>
        <v/>
      </c>
      <c r="AA23" s="6" t="str">
        <f>IF(AND($A23&lt;&gt;0,$A23&lt;&gt;""),LOOKUP($A23,Load_Switch_PFET[PARTNUMBER],Load_Switch_PFET[COSS_AT_VDSSPEC]),"")</f>
        <v/>
      </c>
      <c r="AB23" s="6" t="str">
        <f t="shared" si="15"/>
        <v/>
      </c>
      <c r="AC23" s="6" t="str">
        <f t="shared" si="10"/>
        <v/>
      </c>
      <c r="AD23" s="49" t="str">
        <f t="shared" si="11"/>
        <v/>
      </c>
      <c r="AE23" s="46" t="str">
        <f>IF(AND($A23&lt;&gt;0,$A23&lt;&gt;""),LOOKUP($A23,Load_Switch_PFET[PARTNUMBER],Load_Switch_PFET[1KPRICE]),"")</f>
        <v/>
      </c>
      <c r="AF23" s="6" t="str">
        <f>IF(AND($A23&lt;&gt;0,$A23&lt;&gt;""),LOOKUP(A23,Load_Switch_PFET[PARTNUMBER],Load_Switch_PFET[TI_EQ_PACKAGE]),"")</f>
        <v/>
      </c>
      <c r="AG23" s="6" t="str">
        <f t="shared" si="14"/>
        <v>Invalid Part</v>
      </c>
    </row>
    <row r="24" spans="1:33" x14ac:dyDescent="0.25">
      <c r="A24" s="6" t="str">
        <f>IF(CH="P",PLogic!B24,"")</f>
        <v/>
      </c>
      <c r="B24" s="41" t="str">
        <f>IF(OR($A24=0,$A24=""),"0",IF(LOOKUP($A24,Load_Switch_PFET[PARTNUMBER],Load_Switch_PFET[RDSON15])="(NULL)","0","1"))</f>
        <v>0</v>
      </c>
      <c r="C24" s="26" t="str">
        <f>IF(OR($A24=0,$A24=""),"0",IF(LOOKUP($A24,Load_Switch_PFET[PARTNUMBER],Load_Switch_PFET[RDSON18])="(NULL)","0","1"))</f>
        <v>0</v>
      </c>
      <c r="D24" s="27" t="str">
        <f>IF(OR($A24=0,$A24=""),"0",IF(LOOKUP($A24,Load_Switch_PFET[PARTNUMBER],Load_Switch_PFET[RDSON25])="(NULL)","0","1"))</f>
        <v>0</v>
      </c>
      <c r="E24" s="28" t="str">
        <f>IF(OR($A24=0,$A24=""),"0",IF(LOOKUP($A24,Load_Switch_PFET[PARTNUMBER],Load_Switch_PFET[RDSON45])="(NULL)","0","1"))</f>
        <v>0</v>
      </c>
      <c r="F24" s="30" t="str">
        <f>IF(OR($A24=0,$A24=""),"0",IF(LOOKUP($A24,Load_Switch_PFET[PARTNUMBER],Load_Switch_PFET[RDSON8])="(NULL)","0","1"))</f>
        <v>0</v>
      </c>
      <c r="G24" s="42" t="b">
        <f t="shared" si="0"/>
        <v>0</v>
      </c>
      <c r="H24" s="32" t="b">
        <f t="shared" si="1"/>
        <v>0</v>
      </c>
      <c r="I24" s="33" t="b">
        <f t="shared" si="2"/>
        <v>0</v>
      </c>
      <c r="J24" s="34" t="b">
        <f t="shared" si="3"/>
        <v>0</v>
      </c>
      <c r="K24" s="36" t="b">
        <f t="shared" si="4"/>
        <v>0</v>
      </c>
      <c r="L24" s="43" t="b">
        <f>OR(PFET_PLOSS[[#This Row],[1V5]:[8V]])</f>
        <v>0</v>
      </c>
      <c r="M24" s="42" t="b">
        <f t="shared" si="5"/>
        <v>0</v>
      </c>
      <c r="N24" s="32" t="b">
        <f t="shared" si="6"/>
        <v>0</v>
      </c>
      <c r="O24" s="33" t="b">
        <f t="shared" si="7"/>
        <v>0</v>
      </c>
      <c r="P24" s="34" t="b">
        <f t="shared" si="8"/>
        <v>0</v>
      </c>
      <c r="Q24" s="36" t="b">
        <f t="shared" si="9"/>
        <v>0</v>
      </c>
      <c r="R24" s="6" t="str">
        <f>IF(Q24,LOOKUP(A24,Load_Switch_PFET[PARTNUMBER],Load_Switch_PFET[RDSON8])*1000,IF(P24,LOOKUP(A24,Load_Switch_PFET[PARTNUMBER],Load_Switch_PFET[RDSON45])*1000,IF(O24,LOOKUP(A24,Load_Switch_PFET[PARTNUMBER],Load_Switch_PFET[RDSON25])*1000,IF(N24,LOOKUP(A24,Load_Switch_PFET[PARTNUMBER],Load_Switch_PFET[RDSON18])*1000,IF(M24,LOOKUP(A24,Load_Switch_PFET[PARTNUMBER],Load_Switch_PFET[RDSON15])*1000,"")))))</f>
        <v/>
      </c>
      <c r="S24" s="19" t="str">
        <f>IF(AND(A24&lt;&gt;0,A24&lt;&gt;""),R24*(1+(Tj-25)*(LOOKUP(A24,Load_Switch_PFET[PARTNUMBER],Load_Switch_PFET[RDSDELTA])/((LOOKUP(A24,Load_Switch_PFET[PARTNUMBER],Load_Switch_PFET[TJMAX])-25)))),"")</f>
        <v/>
      </c>
      <c r="T24" s="6" t="str">
        <f>IF(AND(A24&lt;&gt;0,A24&lt;&gt;""),LOOKUP(A24,Load_Switch_PFET[PARTNUMBER],Load_Switch_PFET[VTHMAX]),"")</f>
        <v/>
      </c>
      <c r="U24" s="6" t="str">
        <f>IF(AND(A24&lt;&gt;0,A24&lt;&gt;""),LOOKUP(A24,Load_Switch_PFET[PARTNUMBER],Load_Switch_PFET[VTHMIN]),"")</f>
        <v/>
      </c>
      <c r="V24" s="6" t="str">
        <f t="shared" si="12"/>
        <v>#N/A</v>
      </c>
      <c r="W24" s="6" t="str">
        <f>IF(AND($A24&lt;&gt;0,$A24&lt;&gt;""),LOOKUP($A24,Load_Switch_PFET[PARTNUMBER],Load_Switch_PFET[RGIMAX]),"")</f>
        <v/>
      </c>
      <c r="X24" s="6" t="str">
        <f>IF(AND($A24&lt;&gt;0,$A24&lt;&gt;""),LOOKUP($A24,Load_Switch_PFET[PARTNUMBER],Load_Switch_PFET[QGTYP]),"")</f>
        <v/>
      </c>
      <c r="Y24" s="6" t="str">
        <f>IF(AND($A24&lt;&gt;0,$A24&lt;&gt;""),LOOKUP($A24,Load_Switch_PFET[PARTNUMBER],Load_Switch_PFET[QGS]),"")</f>
        <v/>
      </c>
      <c r="Z24" s="6" t="str">
        <f>IF(AND($A24&lt;&gt;0,$A24&lt;&gt;""),LOOKUP($A24,Load_Switch_PFET[PARTNUMBER],Load_Switch_PFET[QGD]),"")</f>
        <v/>
      </c>
      <c r="AA24" s="6" t="str">
        <f>IF(AND($A24&lt;&gt;0,$A24&lt;&gt;""),LOOKUP($A24,Load_Switch_PFET[PARTNUMBER],Load_Switch_PFET[COSS_AT_VDSSPEC]),"")</f>
        <v/>
      </c>
      <c r="AB24" s="6" t="str">
        <f t="shared" si="15"/>
        <v/>
      </c>
      <c r="AC24" s="6" t="str">
        <f t="shared" si="10"/>
        <v/>
      </c>
      <c r="AD24" s="49" t="str">
        <f t="shared" si="11"/>
        <v/>
      </c>
      <c r="AE24" s="46" t="str">
        <f>IF(AND($A24&lt;&gt;0,$A24&lt;&gt;""),LOOKUP($A24,Load_Switch_PFET[PARTNUMBER],Load_Switch_PFET[1KPRICE]),"")</f>
        <v/>
      </c>
      <c r="AF24" s="6" t="str">
        <f>IF(AND($A24&lt;&gt;0,$A24&lt;&gt;""),LOOKUP(A24,Load_Switch_PFET[PARTNUMBER],Load_Switch_PFET[TI_EQ_PACKAGE]),"")</f>
        <v/>
      </c>
      <c r="AG24" s="6" t="str">
        <f t="shared" si="14"/>
        <v>Invalid Part</v>
      </c>
    </row>
    <row r="25" spans="1:33" x14ac:dyDescent="0.25">
      <c r="A25" s="6" t="str">
        <f>IF(CH="P",PLogic!B25,"")</f>
        <v/>
      </c>
      <c r="B25" s="41" t="str">
        <f>IF(OR($A25=0,$A25=""),"0",IF(LOOKUP($A25,Load_Switch_PFET[PARTNUMBER],Load_Switch_PFET[RDSON15])="(NULL)","0","1"))</f>
        <v>0</v>
      </c>
      <c r="C25" s="26" t="str">
        <f>IF(OR($A25=0,$A25=""),"0",IF(LOOKUP($A25,Load_Switch_PFET[PARTNUMBER],Load_Switch_PFET[RDSON18])="(NULL)","0","1"))</f>
        <v>0</v>
      </c>
      <c r="D25" s="27" t="str">
        <f>IF(OR($A25=0,$A25=""),"0",IF(LOOKUP($A25,Load_Switch_PFET[PARTNUMBER],Load_Switch_PFET[RDSON25])="(NULL)","0","1"))</f>
        <v>0</v>
      </c>
      <c r="E25" s="28" t="str">
        <f>IF(OR($A25=0,$A25=""),"0",IF(LOOKUP($A25,Load_Switch_PFET[PARTNUMBER],Load_Switch_PFET[RDSON45])="(NULL)","0","1"))</f>
        <v>0</v>
      </c>
      <c r="F25" s="30" t="str">
        <f>IF(OR($A25=0,$A25=""),"0",IF(LOOKUP($A25,Load_Switch_PFET[PARTNUMBER],Load_Switch_PFET[RDSON8])="(NULL)","0","1"))</f>
        <v>0</v>
      </c>
      <c r="G25" s="42" t="b">
        <f t="shared" si="0"/>
        <v>0</v>
      </c>
      <c r="H25" s="32" t="b">
        <f t="shared" si="1"/>
        <v>0</v>
      </c>
      <c r="I25" s="33" t="b">
        <f t="shared" si="2"/>
        <v>0</v>
      </c>
      <c r="J25" s="34" t="b">
        <f t="shared" si="3"/>
        <v>0</v>
      </c>
      <c r="K25" s="36" t="b">
        <f t="shared" si="4"/>
        <v>0</v>
      </c>
      <c r="L25" s="43" t="b">
        <f>OR(PFET_PLOSS[[#This Row],[1V5]:[8V]])</f>
        <v>0</v>
      </c>
      <c r="M25" s="42" t="b">
        <f t="shared" si="5"/>
        <v>0</v>
      </c>
      <c r="N25" s="32" t="b">
        <f t="shared" si="6"/>
        <v>0</v>
      </c>
      <c r="O25" s="33" t="b">
        <f t="shared" si="7"/>
        <v>0</v>
      </c>
      <c r="P25" s="34" t="b">
        <f t="shared" si="8"/>
        <v>0</v>
      </c>
      <c r="Q25" s="36" t="b">
        <f t="shared" si="9"/>
        <v>0</v>
      </c>
      <c r="R25" s="6" t="str">
        <f>IF(Q25,LOOKUP(A25,Load_Switch_PFET[PARTNUMBER],Load_Switch_PFET[RDSON8])*1000,IF(P25,LOOKUP(A25,Load_Switch_PFET[PARTNUMBER],Load_Switch_PFET[RDSON45])*1000,IF(O25,LOOKUP(A25,Load_Switch_PFET[PARTNUMBER],Load_Switch_PFET[RDSON25])*1000,IF(N25,LOOKUP(A25,Load_Switch_PFET[PARTNUMBER],Load_Switch_PFET[RDSON18])*1000,IF(M25,LOOKUP(A25,Load_Switch_PFET[PARTNUMBER],Load_Switch_PFET[RDSON15])*1000,"")))))</f>
        <v/>
      </c>
      <c r="S25" s="19" t="str">
        <f>IF(AND(A25&lt;&gt;0,A25&lt;&gt;""),R25*(1+(Tj-25)*(LOOKUP(A25,Load_Switch_PFET[PARTNUMBER],Load_Switch_PFET[RDSDELTA])/((LOOKUP(A25,Load_Switch_PFET[PARTNUMBER],Load_Switch_PFET[TJMAX])-25)))),"")</f>
        <v/>
      </c>
      <c r="T25" s="6" t="str">
        <f>IF(AND(A25&lt;&gt;0,A25&lt;&gt;""),LOOKUP(A25,Load_Switch_PFET[PARTNUMBER],Load_Switch_PFET[VTHMAX]),"")</f>
        <v/>
      </c>
      <c r="U25" s="6" t="str">
        <f>IF(AND(A25&lt;&gt;0,A25&lt;&gt;""),LOOKUP(A25,Load_Switch_PFET[PARTNUMBER],Load_Switch_PFET[VTHMIN]),"")</f>
        <v/>
      </c>
      <c r="V25" s="6" t="str">
        <f t="shared" si="12"/>
        <v>#N/A</v>
      </c>
      <c r="W25" s="6" t="str">
        <f>IF(AND($A25&lt;&gt;0,$A25&lt;&gt;""),LOOKUP($A25,Load_Switch_PFET[PARTNUMBER],Load_Switch_PFET[RGIMAX]),"")</f>
        <v/>
      </c>
      <c r="X25" s="6" t="str">
        <f>IF(AND($A25&lt;&gt;0,$A25&lt;&gt;""),LOOKUP($A25,Load_Switch_PFET[PARTNUMBER],Load_Switch_PFET[QGTYP]),"")</f>
        <v/>
      </c>
      <c r="Y25" s="6" t="str">
        <f>IF(AND($A25&lt;&gt;0,$A25&lt;&gt;""),LOOKUP($A25,Load_Switch_PFET[PARTNUMBER],Load_Switch_PFET[QGS]),"")</f>
        <v/>
      </c>
      <c r="Z25" s="6" t="str">
        <f>IF(AND($A25&lt;&gt;0,$A25&lt;&gt;""),LOOKUP($A25,Load_Switch_PFET[PARTNUMBER],Load_Switch_PFET[QGD]),"")</f>
        <v/>
      </c>
      <c r="AA25" s="6" t="str">
        <f>IF(AND($A25&lt;&gt;0,$A25&lt;&gt;""),LOOKUP($A25,Load_Switch_PFET[PARTNUMBER],Load_Switch_PFET[COSS_AT_VDSSPEC]),"")</f>
        <v/>
      </c>
      <c r="AB25" s="6" t="str">
        <f t="shared" si="15"/>
        <v/>
      </c>
      <c r="AC25" s="6" t="str">
        <f t="shared" si="10"/>
        <v/>
      </c>
      <c r="AD25" s="49" t="str">
        <f t="shared" si="11"/>
        <v/>
      </c>
      <c r="AE25" s="46" t="str">
        <f>IF(AND($A25&lt;&gt;0,$A25&lt;&gt;""),LOOKUP($A25,Load_Switch_PFET[PARTNUMBER],Load_Switch_PFET[1KPRICE]),"")</f>
        <v/>
      </c>
      <c r="AF25" s="6" t="str">
        <f>IF(AND($A25&lt;&gt;0,$A25&lt;&gt;""),LOOKUP(A25,Load_Switch_PFET[PARTNUMBER],Load_Switch_PFET[TI_EQ_PACKAGE]),"")</f>
        <v/>
      </c>
      <c r="AG25" s="6" t="str">
        <f t="shared" si="14"/>
        <v>Invalid Part</v>
      </c>
    </row>
    <row r="26" spans="1:33" x14ac:dyDescent="0.25">
      <c r="AG26" s="6" t="str">
        <f>IF(AND($A26&lt;&gt;0,$A26&lt;&gt;""),CONCATENATE(A26,", ",AF26,", ",AD26,"W, $",AE26),"")</f>
        <v/>
      </c>
    </row>
    <row r="116" spans="1:38" s="39" customFormat="1" x14ac:dyDescent="0.25">
      <c r="A116" s="6"/>
      <c r="B116" s="24"/>
      <c r="C116" s="7"/>
      <c r="D116" s="10"/>
      <c r="E116" s="12"/>
      <c r="F116" s="13"/>
      <c r="G116" s="24"/>
      <c r="H116" s="7"/>
      <c r="I116" s="10"/>
      <c r="J116" s="12"/>
      <c r="K116" s="13"/>
      <c r="L116" s="18"/>
      <c r="M116" s="24"/>
      <c r="N116" s="7"/>
      <c r="O116" s="10"/>
      <c r="P116" s="12"/>
      <c r="Q116" s="13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49"/>
      <c r="AE116" s="19"/>
      <c r="AF116" s="6"/>
      <c r="AG116" s="6"/>
      <c r="AH116" s="6"/>
      <c r="AI116" s="25"/>
      <c r="AJ116" s="25"/>
      <c r="AK116" s="25"/>
      <c r="AL116" s="25"/>
    </row>
    <row r="130" spans="1:38" s="45" customFormat="1" ht="15.75" thickBot="1" x14ac:dyDescent="0.3">
      <c r="A130" s="6"/>
      <c r="B130" s="24"/>
      <c r="C130" s="7"/>
      <c r="D130" s="10"/>
      <c r="E130" s="12"/>
      <c r="F130" s="13"/>
      <c r="G130" s="24"/>
      <c r="H130" s="7"/>
      <c r="I130" s="10"/>
      <c r="J130" s="12"/>
      <c r="K130" s="13"/>
      <c r="L130" s="18"/>
      <c r="M130" s="24"/>
      <c r="N130" s="7"/>
      <c r="O130" s="10"/>
      <c r="P130" s="12"/>
      <c r="Q130" s="13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49"/>
      <c r="AE130" s="19"/>
      <c r="AF130" s="6"/>
      <c r="AG130" s="6"/>
      <c r="AH130" s="6"/>
      <c r="AI130" s="44"/>
      <c r="AJ130" s="44"/>
      <c r="AK130" s="44"/>
      <c r="AL130" s="44"/>
    </row>
    <row r="131" spans="1:38" s="39" customFormat="1" x14ac:dyDescent="0.25">
      <c r="A131" s="6"/>
      <c r="B131" s="24"/>
      <c r="C131" s="7"/>
      <c r="D131" s="10"/>
      <c r="E131" s="12"/>
      <c r="F131" s="13"/>
      <c r="G131" s="24"/>
      <c r="H131" s="7"/>
      <c r="I131" s="10"/>
      <c r="J131" s="12"/>
      <c r="K131" s="13"/>
      <c r="L131" s="18"/>
      <c r="M131" s="24"/>
      <c r="N131" s="7"/>
      <c r="O131" s="10"/>
      <c r="P131" s="12"/>
      <c r="Q131" s="13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49"/>
      <c r="AE131" s="19"/>
      <c r="AF131" s="6"/>
      <c r="AG131" s="6"/>
      <c r="AH131" s="6"/>
      <c r="AI131" s="25"/>
      <c r="AJ131" s="25"/>
      <c r="AK131" s="25"/>
      <c r="AL131" s="25"/>
    </row>
    <row r="132" spans="1:38" s="39" customFormat="1" x14ac:dyDescent="0.25">
      <c r="A132" s="6"/>
      <c r="B132" s="24"/>
      <c r="C132" s="7"/>
      <c r="D132" s="10"/>
      <c r="E132" s="12"/>
      <c r="F132" s="13"/>
      <c r="G132" s="24"/>
      <c r="H132" s="7"/>
      <c r="I132" s="10"/>
      <c r="J132" s="12"/>
      <c r="K132" s="13"/>
      <c r="L132" s="18"/>
      <c r="M132" s="24"/>
      <c r="N132" s="7"/>
      <c r="O132" s="10"/>
      <c r="P132" s="12"/>
      <c r="Q132" s="13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49"/>
      <c r="AE132" s="19"/>
      <c r="AF132" s="6"/>
      <c r="AG132" s="6"/>
      <c r="AH132" s="6"/>
      <c r="AI132" s="25"/>
      <c r="AJ132" s="25"/>
      <c r="AK132" s="25"/>
      <c r="AL132" s="2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F2A-3471-4D00-BF8C-A97413EEAB36}">
  <sheetPr codeName="Sheet9"/>
  <dimension ref="A3:A168"/>
  <sheetViews>
    <sheetView workbookViewId="0">
      <selection sqref="A1:B1048576"/>
    </sheetView>
  </sheetViews>
  <sheetFormatPr defaultRowHeight="15" x14ac:dyDescent="0.25"/>
  <sheetData>
    <row r="3" spans="1:1" x14ac:dyDescent="0.25">
      <c r="A3" s="134"/>
    </row>
    <row r="4" spans="1:1" x14ac:dyDescent="0.25">
      <c r="A4" s="134"/>
    </row>
    <row r="5" spans="1:1" x14ac:dyDescent="0.25">
      <c r="A5" s="134"/>
    </row>
    <row r="6" spans="1:1" x14ac:dyDescent="0.25">
      <c r="A6" s="134"/>
    </row>
    <row r="7" spans="1:1" x14ac:dyDescent="0.25">
      <c r="A7" s="134"/>
    </row>
    <row r="8" spans="1:1" x14ac:dyDescent="0.25">
      <c r="A8" s="134"/>
    </row>
    <row r="9" spans="1:1" x14ac:dyDescent="0.25">
      <c r="A9" s="134"/>
    </row>
    <row r="10" spans="1:1" x14ac:dyDescent="0.25">
      <c r="A10" s="134"/>
    </row>
    <row r="11" spans="1:1" x14ac:dyDescent="0.25">
      <c r="A11" s="134"/>
    </row>
    <row r="12" spans="1:1" x14ac:dyDescent="0.25">
      <c r="A12" s="134"/>
    </row>
    <row r="13" spans="1:1" x14ac:dyDescent="0.25">
      <c r="A13" s="134"/>
    </row>
    <row r="14" spans="1:1" x14ac:dyDescent="0.25">
      <c r="A14" s="134"/>
    </row>
    <row r="15" spans="1:1" x14ac:dyDescent="0.25">
      <c r="A15" s="134"/>
    </row>
    <row r="16" spans="1:1" x14ac:dyDescent="0.25">
      <c r="A16" s="134"/>
    </row>
    <row r="17" spans="1:1" x14ac:dyDescent="0.25">
      <c r="A17" s="134"/>
    </row>
    <row r="18" spans="1:1" x14ac:dyDescent="0.25">
      <c r="A18" s="134"/>
    </row>
    <row r="19" spans="1:1" x14ac:dyDescent="0.25">
      <c r="A19" s="134"/>
    </row>
    <row r="20" spans="1:1" x14ac:dyDescent="0.25">
      <c r="A20" s="134"/>
    </row>
    <row r="21" spans="1:1" x14ac:dyDescent="0.25">
      <c r="A21" s="134"/>
    </row>
    <row r="22" spans="1:1" x14ac:dyDescent="0.25">
      <c r="A22" s="134"/>
    </row>
    <row r="23" spans="1:1" x14ac:dyDescent="0.25">
      <c r="A23" s="134"/>
    </row>
    <row r="24" spans="1:1" x14ac:dyDescent="0.25">
      <c r="A24" s="134"/>
    </row>
    <row r="25" spans="1:1" x14ac:dyDescent="0.25">
      <c r="A25" s="134"/>
    </row>
    <row r="26" spans="1:1" x14ac:dyDescent="0.25">
      <c r="A26" s="134"/>
    </row>
    <row r="27" spans="1:1" x14ac:dyDescent="0.25">
      <c r="A27" s="134"/>
    </row>
    <row r="28" spans="1:1" x14ac:dyDescent="0.25">
      <c r="A28" s="134"/>
    </row>
    <row r="29" spans="1:1" x14ac:dyDescent="0.25">
      <c r="A29" s="134"/>
    </row>
    <row r="30" spans="1:1" x14ac:dyDescent="0.25">
      <c r="A30" s="134"/>
    </row>
    <row r="31" spans="1:1" x14ac:dyDescent="0.25">
      <c r="A31" s="134"/>
    </row>
    <row r="32" spans="1:1" x14ac:dyDescent="0.25">
      <c r="A32" s="134"/>
    </row>
    <row r="33" spans="1:1" x14ac:dyDescent="0.25">
      <c r="A33" s="134"/>
    </row>
    <row r="34" spans="1:1" x14ac:dyDescent="0.25">
      <c r="A34" s="134"/>
    </row>
    <row r="35" spans="1:1" x14ac:dyDescent="0.25">
      <c r="A35" s="134"/>
    </row>
    <row r="36" spans="1:1" x14ac:dyDescent="0.25">
      <c r="A36" s="134"/>
    </row>
    <row r="37" spans="1:1" x14ac:dyDescent="0.25">
      <c r="A37" s="134"/>
    </row>
    <row r="38" spans="1:1" x14ac:dyDescent="0.25">
      <c r="A38" s="134"/>
    </row>
    <row r="39" spans="1:1" x14ac:dyDescent="0.25">
      <c r="A39" s="134"/>
    </row>
    <row r="40" spans="1:1" x14ac:dyDescent="0.25">
      <c r="A40" s="134"/>
    </row>
    <row r="41" spans="1:1" x14ac:dyDescent="0.25">
      <c r="A41" s="134"/>
    </row>
    <row r="42" spans="1:1" x14ac:dyDescent="0.25">
      <c r="A42" s="134"/>
    </row>
    <row r="43" spans="1:1" x14ac:dyDescent="0.25">
      <c r="A43" s="134"/>
    </row>
    <row r="44" spans="1:1" x14ac:dyDescent="0.25">
      <c r="A44" s="134"/>
    </row>
    <row r="45" spans="1:1" x14ac:dyDescent="0.25">
      <c r="A45" s="134"/>
    </row>
    <row r="46" spans="1:1" x14ac:dyDescent="0.25">
      <c r="A46" s="134"/>
    </row>
    <row r="47" spans="1:1" x14ac:dyDescent="0.25">
      <c r="A47" s="134"/>
    </row>
    <row r="48" spans="1:1" x14ac:dyDescent="0.25">
      <c r="A48" s="134"/>
    </row>
    <row r="49" spans="1:1" x14ac:dyDescent="0.25">
      <c r="A49" s="134"/>
    </row>
    <row r="50" spans="1:1" x14ac:dyDescent="0.25">
      <c r="A50" s="134"/>
    </row>
    <row r="51" spans="1:1" x14ac:dyDescent="0.25">
      <c r="A51" s="134"/>
    </row>
    <row r="52" spans="1:1" x14ac:dyDescent="0.25">
      <c r="A52" s="134"/>
    </row>
    <row r="53" spans="1:1" x14ac:dyDescent="0.25">
      <c r="A53" s="134"/>
    </row>
    <row r="54" spans="1:1" x14ac:dyDescent="0.25">
      <c r="A54" s="134"/>
    </row>
    <row r="55" spans="1:1" x14ac:dyDescent="0.25">
      <c r="A55" s="134"/>
    </row>
    <row r="56" spans="1:1" x14ac:dyDescent="0.25">
      <c r="A56" s="134"/>
    </row>
    <row r="57" spans="1:1" x14ac:dyDescent="0.25">
      <c r="A57" s="134"/>
    </row>
    <row r="58" spans="1:1" x14ac:dyDescent="0.25">
      <c r="A58" s="134"/>
    </row>
    <row r="59" spans="1:1" x14ac:dyDescent="0.25">
      <c r="A59" s="134"/>
    </row>
    <row r="60" spans="1:1" x14ac:dyDescent="0.25">
      <c r="A60" s="134"/>
    </row>
    <row r="61" spans="1:1" x14ac:dyDescent="0.25">
      <c r="A61" s="134"/>
    </row>
    <row r="62" spans="1:1" x14ac:dyDescent="0.25">
      <c r="A62" s="134"/>
    </row>
    <row r="63" spans="1:1" x14ac:dyDescent="0.25">
      <c r="A63" s="134"/>
    </row>
    <row r="64" spans="1:1" x14ac:dyDescent="0.25">
      <c r="A64" s="134"/>
    </row>
    <row r="65" spans="1:1" x14ac:dyDescent="0.25">
      <c r="A65" s="134"/>
    </row>
    <row r="66" spans="1:1" x14ac:dyDescent="0.25">
      <c r="A66" s="134"/>
    </row>
    <row r="67" spans="1:1" x14ac:dyDescent="0.25">
      <c r="A67" s="134"/>
    </row>
    <row r="68" spans="1:1" x14ac:dyDescent="0.25">
      <c r="A68" s="134"/>
    </row>
    <row r="69" spans="1:1" x14ac:dyDescent="0.25">
      <c r="A69" s="134"/>
    </row>
    <row r="70" spans="1:1" x14ac:dyDescent="0.25">
      <c r="A70" s="134"/>
    </row>
    <row r="71" spans="1:1" x14ac:dyDescent="0.25">
      <c r="A71" s="134"/>
    </row>
    <row r="72" spans="1:1" x14ac:dyDescent="0.25">
      <c r="A72" s="134"/>
    </row>
    <row r="73" spans="1:1" x14ac:dyDescent="0.25">
      <c r="A73" s="134"/>
    </row>
    <row r="74" spans="1:1" x14ac:dyDescent="0.25">
      <c r="A74" s="134"/>
    </row>
    <row r="75" spans="1:1" x14ac:dyDescent="0.25">
      <c r="A75" s="134"/>
    </row>
    <row r="76" spans="1:1" x14ac:dyDescent="0.25">
      <c r="A76" s="134"/>
    </row>
    <row r="77" spans="1:1" x14ac:dyDescent="0.25">
      <c r="A77" s="134"/>
    </row>
    <row r="78" spans="1:1" x14ac:dyDescent="0.25">
      <c r="A78" s="134"/>
    </row>
    <row r="79" spans="1:1" x14ac:dyDescent="0.25">
      <c r="A79" s="134"/>
    </row>
    <row r="80" spans="1:1" x14ac:dyDescent="0.25">
      <c r="A80" s="134"/>
    </row>
    <row r="81" spans="1:1" x14ac:dyDescent="0.25">
      <c r="A81" s="134"/>
    </row>
    <row r="82" spans="1:1" x14ac:dyDescent="0.25">
      <c r="A82" s="134"/>
    </row>
    <row r="83" spans="1:1" x14ac:dyDescent="0.25">
      <c r="A83" s="134"/>
    </row>
    <row r="84" spans="1:1" x14ac:dyDescent="0.25">
      <c r="A84" s="134"/>
    </row>
    <row r="85" spans="1:1" x14ac:dyDescent="0.25">
      <c r="A85" s="134"/>
    </row>
    <row r="86" spans="1:1" x14ac:dyDescent="0.25">
      <c r="A86" s="134"/>
    </row>
    <row r="87" spans="1:1" x14ac:dyDescent="0.25">
      <c r="A87" s="134"/>
    </row>
    <row r="88" spans="1:1" x14ac:dyDescent="0.25">
      <c r="A88" s="134"/>
    </row>
    <row r="89" spans="1:1" x14ac:dyDescent="0.25">
      <c r="A89" s="134"/>
    </row>
    <row r="90" spans="1:1" x14ac:dyDescent="0.25">
      <c r="A90" s="134"/>
    </row>
    <row r="91" spans="1:1" x14ac:dyDescent="0.25">
      <c r="A91" s="134"/>
    </row>
    <row r="92" spans="1:1" x14ac:dyDescent="0.25">
      <c r="A92" s="134"/>
    </row>
    <row r="93" spans="1:1" x14ac:dyDescent="0.25">
      <c r="A93" s="134"/>
    </row>
    <row r="94" spans="1:1" x14ac:dyDescent="0.25">
      <c r="A94" s="134"/>
    </row>
    <row r="95" spans="1:1" x14ac:dyDescent="0.25">
      <c r="A95" s="134"/>
    </row>
    <row r="96" spans="1:1" x14ac:dyDescent="0.25">
      <c r="A96" s="134"/>
    </row>
    <row r="97" spans="1:1" x14ac:dyDescent="0.25">
      <c r="A97" s="134"/>
    </row>
    <row r="98" spans="1:1" x14ac:dyDescent="0.25">
      <c r="A98" s="134"/>
    </row>
    <row r="99" spans="1:1" x14ac:dyDescent="0.25">
      <c r="A99" s="134"/>
    </row>
    <row r="100" spans="1:1" x14ac:dyDescent="0.25">
      <c r="A100" s="134"/>
    </row>
    <row r="101" spans="1:1" x14ac:dyDescent="0.25">
      <c r="A101" s="134"/>
    </row>
    <row r="102" spans="1:1" x14ac:dyDescent="0.25">
      <c r="A102" s="134"/>
    </row>
    <row r="103" spans="1:1" x14ac:dyDescent="0.25">
      <c r="A103" s="134"/>
    </row>
    <row r="104" spans="1:1" x14ac:dyDescent="0.25">
      <c r="A104" s="134"/>
    </row>
    <row r="105" spans="1:1" x14ac:dyDescent="0.25">
      <c r="A105" s="134"/>
    </row>
    <row r="106" spans="1:1" x14ac:dyDescent="0.25">
      <c r="A106" s="134"/>
    </row>
    <row r="107" spans="1:1" x14ac:dyDescent="0.25">
      <c r="A107" s="134"/>
    </row>
    <row r="108" spans="1:1" x14ac:dyDescent="0.25">
      <c r="A108" s="134"/>
    </row>
    <row r="109" spans="1:1" x14ac:dyDescent="0.25">
      <c r="A109" s="134"/>
    </row>
    <row r="110" spans="1:1" x14ac:dyDescent="0.25">
      <c r="A110" s="134"/>
    </row>
    <row r="111" spans="1:1" x14ac:dyDescent="0.25">
      <c r="A111" s="134"/>
    </row>
    <row r="112" spans="1:1" x14ac:dyDescent="0.25">
      <c r="A112" s="134"/>
    </row>
    <row r="113" spans="1:1" x14ac:dyDescent="0.25">
      <c r="A113" s="134"/>
    </row>
    <row r="114" spans="1:1" x14ac:dyDescent="0.25">
      <c r="A114" s="134"/>
    </row>
    <row r="115" spans="1:1" x14ac:dyDescent="0.25">
      <c r="A115" s="134"/>
    </row>
    <row r="116" spans="1:1" x14ac:dyDescent="0.25">
      <c r="A116" s="134"/>
    </row>
    <row r="117" spans="1:1" x14ac:dyDescent="0.25">
      <c r="A117" s="134"/>
    </row>
    <row r="118" spans="1:1" x14ac:dyDescent="0.25">
      <c r="A118" s="134"/>
    </row>
    <row r="119" spans="1:1" x14ac:dyDescent="0.25">
      <c r="A119" s="134"/>
    </row>
    <row r="120" spans="1:1" x14ac:dyDescent="0.25">
      <c r="A120" s="134"/>
    </row>
    <row r="121" spans="1:1" x14ac:dyDescent="0.25">
      <c r="A121" s="134"/>
    </row>
    <row r="122" spans="1:1" x14ac:dyDescent="0.25">
      <c r="A122" s="134"/>
    </row>
    <row r="123" spans="1:1" x14ac:dyDescent="0.25">
      <c r="A123" s="134"/>
    </row>
    <row r="124" spans="1:1" x14ac:dyDescent="0.25">
      <c r="A124" s="134"/>
    </row>
    <row r="125" spans="1:1" x14ac:dyDescent="0.25">
      <c r="A125" s="134"/>
    </row>
    <row r="126" spans="1:1" x14ac:dyDescent="0.25">
      <c r="A126" s="134"/>
    </row>
    <row r="127" spans="1:1" x14ac:dyDescent="0.25">
      <c r="A127" s="134"/>
    </row>
    <row r="128" spans="1:1" x14ac:dyDescent="0.25">
      <c r="A128" s="134"/>
    </row>
    <row r="129" spans="1:1" x14ac:dyDescent="0.25">
      <c r="A129" s="134"/>
    </row>
    <row r="130" spans="1:1" x14ac:dyDescent="0.25">
      <c r="A130" s="134"/>
    </row>
    <row r="131" spans="1:1" x14ac:dyDescent="0.25">
      <c r="A131" s="134"/>
    </row>
    <row r="132" spans="1:1" x14ac:dyDescent="0.25">
      <c r="A132" s="134"/>
    </row>
    <row r="133" spans="1:1" x14ac:dyDescent="0.25">
      <c r="A133" s="134"/>
    </row>
    <row r="134" spans="1:1" x14ac:dyDescent="0.25">
      <c r="A134" s="134"/>
    </row>
    <row r="135" spans="1:1" x14ac:dyDescent="0.25">
      <c r="A135" s="134"/>
    </row>
    <row r="136" spans="1:1" x14ac:dyDescent="0.25">
      <c r="A136" s="134"/>
    </row>
    <row r="137" spans="1:1" x14ac:dyDescent="0.25">
      <c r="A137" s="134"/>
    </row>
    <row r="138" spans="1:1" x14ac:dyDescent="0.25">
      <c r="A138" s="134"/>
    </row>
    <row r="139" spans="1:1" x14ac:dyDescent="0.25">
      <c r="A139" s="134"/>
    </row>
    <row r="140" spans="1:1" x14ac:dyDescent="0.25">
      <c r="A140" s="134"/>
    </row>
    <row r="141" spans="1:1" x14ac:dyDescent="0.25">
      <c r="A141" s="134"/>
    </row>
    <row r="142" spans="1:1" x14ac:dyDescent="0.25">
      <c r="A142" s="134"/>
    </row>
    <row r="143" spans="1:1" x14ac:dyDescent="0.25">
      <c r="A143" s="134"/>
    </row>
    <row r="144" spans="1:1" x14ac:dyDescent="0.25">
      <c r="A144" s="134"/>
    </row>
    <row r="145" spans="1:1" x14ac:dyDescent="0.25">
      <c r="A145" s="134"/>
    </row>
    <row r="146" spans="1:1" x14ac:dyDescent="0.25">
      <c r="A146" s="134"/>
    </row>
    <row r="147" spans="1:1" x14ac:dyDescent="0.25">
      <c r="A147" s="134"/>
    </row>
    <row r="148" spans="1:1" x14ac:dyDescent="0.25">
      <c r="A148" s="134"/>
    </row>
    <row r="149" spans="1:1" x14ac:dyDescent="0.25">
      <c r="A149" s="134"/>
    </row>
    <row r="150" spans="1:1" x14ac:dyDescent="0.25">
      <c r="A150" s="134"/>
    </row>
    <row r="151" spans="1:1" x14ac:dyDescent="0.25">
      <c r="A151" s="134"/>
    </row>
    <row r="152" spans="1:1" x14ac:dyDescent="0.25">
      <c r="A152" s="134"/>
    </row>
    <row r="153" spans="1:1" x14ac:dyDescent="0.25">
      <c r="A153" s="134"/>
    </row>
    <row r="154" spans="1:1" x14ac:dyDescent="0.25">
      <c r="A154" s="134"/>
    </row>
    <row r="155" spans="1:1" x14ac:dyDescent="0.25">
      <c r="A155" s="134"/>
    </row>
    <row r="156" spans="1:1" x14ac:dyDescent="0.25">
      <c r="A156" s="134"/>
    </row>
    <row r="157" spans="1:1" x14ac:dyDescent="0.25">
      <c r="A157" s="134"/>
    </row>
    <row r="158" spans="1:1" x14ac:dyDescent="0.25">
      <c r="A158" s="134"/>
    </row>
    <row r="159" spans="1:1" x14ac:dyDescent="0.25">
      <c r="A159" s="134"/>
    </row>
    <row r="160" spans="1:1" x14ac:dyDescent="0.25">
      <c r="A160" s="134"/>
    </row>
    <row r="161" spans="1:1" x14ac:dyDescent="0.25">
      <c r="A161" s="134"/>
    </row>
    <row r="162" spans="1:1" x14ac:dyDescent="0.25">
      <c r="A162" s="134"/>
    </row>
    <row r="163" spans="1:1" x14ac:dyDescent="0.25">
      <c r="A163" s="134"/>
    </row>
    <row r="164" spans="1:1" x14ac:dyDescent="0.25">
      <c r="A164" s="134"/>
    </row>
    <row r="165" spans="1:1" x14ac:dyDescent="0.25">
      <c r="A165" s="134"/>
    </row>
    <row r="166" spans="1:1" x14ac:dyDescent="0.25">
      <c r="A166" s="134"/>
    </row>
    <row r="167" spans="1:1" x14ac:dyDescent="0.25">
      <c r="A167" s="134"/>
    </row>
    <row r="168" spans="1:1" x14ac:dyDescent="0.25">
      <c r="A168" s="84"/>
    </row>
  </sheetData>
  <sortState ref="A3:B169">
    <sortCondition ref="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33EF-2B58-44ED-90D9-C3E48614ABB1}">
  <sheetPr codeName="Sheet10"/>
  <dimension ref="A3:A168"/>
  <sheetViews>
    <sheetView workbookViewId="0">
      <selection sqref="A1:B1048576"/>
    </sheetView>
  </sheetViews>
  <sheetFormatPr defaultRowHeight="15" x14ac:dyDescent="0.25"/>
  <sheetData>
    <row r="3" spans="1:1" x14ac:dyDescent="0.25">
      <c r="A3" s="84"/>
    </row>
    <row r="4" spans="1:1" x14ac:dyDescent="0.25">
      <c r="A4" s="84"/>
    </row>
    <row r="5" spans="1:1" x14ac:dyDescent="0.25">
      <c r="A5" s="84"/>
    </row>
    <row r="6" spans="1:1" x14ac:dyDescent="0.25">
      <c r="A6" s="84"/>
    </row>
    <row r="7" spans="1:1" x14ac:dyDescent="0.25">
      <c r="A7" s="84"/>
    </row>
    <row r="8" spans="1:1" x14ac:dyDescent="0.25">
      <c r="A8" s="84"/>
    </row>
    <row r="9" spans="1:1" x14ac:dyDescent="0.25">
      <c r="A9" s="84"/>
    </row>
    <row r="10" spans="1:1" x14ac:dyDescent="0.25">
      <c r="A10" s="84"/>
    </row>
    <row r="11" spans="1:1" x14ac:dyDescent="0.25">
      <c r="A11" s="84"/>
    </row>
    <row r="12" spans="1:1" x14ac:dyDescent="0.25">
      <c r="A12" s="84"/>
    </row>
    <row r="13" spans="1:1" x14ac:dyDescent="0.25">
      <c r="A13" s="84"/>
    </row>
    <row r="14" spans="1:1" x14ac:dyDescent="0.25">
      <c r="A14" s="84"/>
    </row>
    <row r="15" spans="1:1" x14ac:dyDescent="0.25">
      <c r="A15" s="84"/>
    </row>
    <row r="16" spans="1:1" x14ac:dyDescent="0.25">
      <c r="A16" s="84"/>
    </row>
    <row r="17" spans="1:1" x14ac:dyDescent="0.25">
      <c r="A17" s="84"/>
    </row>
    <row r="18" spans="1:1" x14ac:dyDescent="0.25">
      <c r="A18" s="84"/>
    </row>
    <row r="19" spans="1:1" x14ac:dyDescent="0.25">
      <c r="A19" s="84"/>
    </row>
    <row r="20" spans="1:1" x14ac:dyDescent="0.25">
      <c r="A20" s="84"/>
    </row>
    <row r="21" spans="1:1" x14ac:dyDescent="0.25">
      <c r="A21" s="84"/>
    </row>
    <row r="22" spans="1:1" x14ac:dyDescent="0.25">
      <c r="A22" s="84"/>
    </row>
    <row r="23" spans="1:1" x14ac:dyDescent="0.25">
      <c r="A23" s="84"/>
    </row>
    <row r="24" spans="1:1" x14ac:dyDescent="0.25">
      <c r="A24" s="84"/>
    </row>
    <row r="25" spans="1:1" x14ac:dyDescent="0.25">
      <c r="A25" s="84"/>
    </row>
    <row r="26" spans="1:1" x14ac:dyDescent="0.25">
      <c r="A26" s="84"/>
    </row>
    <row r="27" spans="1:1" x14ac:dyDescent="0.25">
      <c r="A27" s="84"/>
    </row>
    <row r="28" spans="1:1" x14ac:dyDescent="0.25">
      <c r="A28" s="84"/>
    </row>
    <row r="29" spans="1:1" x14ac:dyDescent="0.25">
      <c r="A29" s="84"/>
    </row>
    <row r="30" spans="1:1" x14ac:dyDescent="0.25">
      <c r="A30" s="84"/>
    </row>
    <row r="31" spans="1:1" x14ac:dyDescent="0.25">
      <c r="A31" s="84"/>
    </row>
    <row r="32" spans="1:1" x14ac:dyDescent="0.25">
      <c r="A32" s="84"/>
    </row>
    <row r="33" spans="1:1" x14ac:dyDescent="0.25">
      <c r="A33" s="84"/>
    </row>
    <row r="34" spans="1:1" x14ac:dyDescent="0.25">
      <c r="A34" s="84"/>
    </row>
    <row r="35" spans="1:1" x14ac:dyDescent="0.25">
      <c r="A35" s="84"/>
    </row>
    <row r="36" spans="1:1" x14ac:dyDescent="0.25">
      <c r="A36" s="84"/>
    </row>
    <row r="37" spans="1:1" x14ac:dyDescent="0.25">
      <c r="A37" s="84"/>
    </row>
    <row r="38" spans="1:1" x14ac:dyDescent="0.25">
      <c r="A38" s="84"/>
    </row>
    <row r="39" spans="1:1" x14ac:dyDescent="0.25">
      <c r="A39" s="84"/>
    </row>
    <row r="40" spans="1:1" x14ac:dyDescent="0.25">
      <c r="A40" s="84"/>
    </row>
    <row r="41" spans="1:1" x14ac:dyDescent="0.25">
      <c r="A41" s="84"/>
    </row>
    <row r="42" spans="1:1" x14ac:dyDescent="0.25">
      <c r="A42" s="84"/>
    </row>
    <row r="43" spans="1:1" x14ac:dyDescent="0.25">
      <c r="A43" s="84"/>
    </row>
    <row r="44" spans="1:1" x14ac:dyDescent="0.25">
      <c r="A44" s="84"/>
    </row>
    <row r="45" spans="1:1" x14ac:dyDescent="0.25">
      <c r="A45" s="84"/>
    </row>
    <row r="46" spans="1:1" x14ac:dyDescent="0.25">
      <c r="A46" s="84"/>
    </row>
    <row r="47" spans="1:1" x14ac:dyDescent="0.25">
      <c r="A47" s="84"/>
    </row>
    <row r="48" spans="1:1" x14ac:dyDescent="0.25">
      <c r="A48" s="84"/>
    </row>
    <row r="49" spans="1:1" x14ac:dyDescent="0.25">
      <c r="A49" s="84"/>
    </row>
    <row r="50" spans="1:1" x14ac:dyDescent="0.25">
      <c r="A50" s="84"/>
    </row>
    <row r="51" spans="1:1" x14ac:dyDescent="0.25">
      <c r="A51" s="84"/>
    </row>
    <row r="52" spans="1:1" x14ac:dyDescent="0.25">
      <c r="A52" s="84"/>
    </row>
    <row r="53" spans="1:1" x14ac:dyDescent="0.25">
      <c r="A53" s="84"/>
    </row>
    <row r="54" spans="1:1" x14ac:dyDescent="0.25">
      <c r="A54" s="84"/>
    </row>
    <row r="55" spans="1:1" x14ac:dyDescent="0.25">
      <c r="A55" s="84"/>
    </row>
    <row r="56" spans="1:1" x14ac:dyDescent="0.25">
      <c r="A56" s="84"/>
    </row>
    <row r="57" spans="1:1" x14ac:dyDescent="0.25">
      <c r="A57" s="84"/>
    </row>
    <row r="58" spans="1:1" x14ac:dyDescent="0.25">
      <c r="A58" s="84"/>
    </row>
    <row r="59" spans="1:1" x14ac:dyDescent="0.25">
      <c r="A59" s="84"/>
    </row>
    <row r="60" spans="1:1" x14ac:dyDescent="0.25">
      <c r="A60" s="84"/>
    </row>
    <row r="61" spans="1:1" x14ac:dyDescent="0.25">
      <c r="A61" s="84"/>
    </row>
    <row r="62" spans="1:1" x14ac:dyDescent="0.25">
      <c r="A62" s="84"/>
    </row>
    <row r="63" spans="1:1" x14ac:dyDescent="0.25">
      <c r="A63" s="84"/>
    </row>
    <row r="64" spans="1:1" x14ac:dyDescent="0.25">
      <c r="A64" s="84"/>
    </row>
    <row r="65" spans="1:1" x14ac:dyDescent="0.25">
      <c r="A65" s="84"/>
    </row>
    <row r="66" spans="1:1" x14ac:dyDescent="0.25">
      <c r="A66" s="84"/>
    </row>
    <row r="67" spans="1:1" x14ac:dyDescent="0.25">
      <c r="A67" s="84"/>
    </row>
    <row r="68" spans="1:1" x14ac:dyDescent="0.25">
      <c r="A68" s="84"/>
    </row>
    <row r="69" spans="1:1" x14ac:dyDescent="0.25">
      <c r="A69" s="84"/>
    </row>
    <row r="70" spans="1:1" x14ac:dyDescent="0.25">
      <c r="A70" s="84"/>
    </row>
    <row r="71" spans="1:1" x14ac:dyDescent="0.25">
      <c r="A71" s="84"/>
    </row>
    <row r="72" spans="1:1" x14ac:dyDescent="0.25">
      <c r="A72" s="84"/>
    </row>
    <row r="73" spans="1:1" x14ac:dyDescent="0.25">
      <c r="A73" s="84"/>
    </row>
    <row r="74" spans="1:1" x14ac:dyDescent="0.25">
      <c r="A74" s="84"/>
    </row>
    <row r="75" spans="1:1" x14ac:dyDescent="0.25">
      <c r="A75" s="84"/>
    </row>
    <row r="76" spans="1:1" x14ac:dyDescent="0.25">
      <c r="A76" s="84"/>
    </row>
    <row r="77" spans="1:1" x14ac:dyDescent="0.25">
      <c r="A77" s="84"/>
    </row>
    <row r="78" spans="1:1" x14ac:dyDescent="0.25">
      <c r="A78" s="84"/>
    </row>
    <row r="79" spans="1:1" x14ac:dyDescent="0.25">
      <c r="A79" s="84"/>
    </row>
    <row r="80" spans="1:1" x14ac:dyDescent="0.25">
      <c r="A80" s="84"/>
    </row>
    <row r="81" spans="1:1" x14ac:dyDescent="0.25">
      <c r="A81" s="84"/>
    </row>
    <row r="82" spans="1:1" x14ac:dyDescent="0.25">
      <c r="A82" s="84"/>
    </row>
    <row r="83" spans="1:1" x14ac:dyDescent="0.25">
      <c r="A83" s="84"/>
    </row>
    <row r="84" spans="1:1" x14ac:dyDescent="0.25">
      <c r="A84" s="84"/>
    </row>
    <row r="85" spans="1:1" x14ac:dyDescent="0.25">
      <c r="A85" s="84"/>
    </row>
    <row r="86" spans="1:1" x14ac:dyDescent="0.25">
      <c r="A86" s="84"/>
    </row>
    <row r="87" spans="1:1" x14ac:dyDescent="0.25">
      <c r="A87" s="84"/>
    </row>
    <row r="88" spans="1:1" x14ac:dyDescent="0.25">
      <c r="A88" s="84"/>
    </row>
    <row r="89" spans="1:1" x14ac:dyDescent="0.25">
      <c r="A89" s="84"/>
    </row>
    <row r="90" spans="1:1" x14ac:dyDescent="0.25">
      <c r="A90" s="84"/>
    </row>
    <row r="91" spans="1:1" x14ac:dyDescent="0.25">
      <c r="A91" s="84"/>
    </row>
    <row r="92" spans="1:1" x14ac:dyDescent="0.25">
      <c r="A92" s="84"/>
    </row>
    <row r="93" spans="1:1" x14ac:dyDescent="0.25">
      <c r="A93" s="84"/>
    </row>
    <row r="94" spans="1:1" x14ac:dyDescent="0.25">
      <c r="A94" s="84"/>
    </row>
    <row r="95" spans="1:1" x14ac:dyDescent="0.25">
      <c r="A95" s="84"/>
    </row>
    <row r="96" spans="1:1" x14ac:dyDescent="0.25">
      <c r="A96" s="84"/>
    </row>
    <row r="97" spans="1:1" x14ac:dyDescent="0.25">
      <c r="A97" s="84"/>
    </row>
    <row r="98" spans="1:1" x14ac:dyDescent="0.25">
      <c r="A98" s="84"/>
    </row>
    <row r="99" spans="1:1" x14ac:dyDescent="0.25">
      <c r="A99" s="84"/>
    </row>
    <row r="100" spans="1:1" x14ac:dyDescent="0.25">
      <c r="A100" s="84"/>
    </row>
    <row r="101" spans="1:1" x14ac:dyDescent="0.25">
      <c r="A101" s="84"/>
    </row>
    <row r="102" spans="1:1" x14ac:dyDescent="0.25">
      <c r="A102" s="84"/>
    </row>
    <row r="103" spans="1:1" x14ac:dyDescent="0.25">
      <c r="A103" s="84"/>
    </row>
    <row r="104" spans="1:1" x14ac:dyDescent="0.25">
      <c r="A104" s="84"/>
    </row>
    <row r="105" spans="1:1" x14ac:dyDescent="0.25">
      <c r="A105" s="84"/>
    </row>
    <row r="106" spans="1:1" x14ac:dyDescent="0.25">
      <c r="A106" s="84"/>
    </row>
    <row r="107" spans="1:1" x14ac:dyDescent="0.25">
      <c r="A107" s="84"/>
    </row>
    <row r="108" spans="1:1" x14ac:dyDescent="0.25">
      <c r="A108" s="84"/>
    </row>
    <row r="109" spans="1:1" x14ac:dyDescent="0.25">
      <c r="A109" s="84"/>
    </row>
    <row r="110" spans="1:1" x14ac:dyDescent="0.25">
      <c r="A110" s="84"/>
    </row>
    <row r="111" spans="1:1" x14ac:dyDescent="0.25">
      <c r="A111" s="84"/>
    </row>
    <row r="112" spans="1:1" x14ac:dyDescent="0.25">
      <c r="A112" s="84"/>
    </row>
    <row r="113" spans="1:1" x14ac:dyDescent="0.25">
      <c r="A113" s="84"/>
    </row>
    <row r="114" spans="1:1" x14ac:dyDescent="0.25">
      <c r="A114" s="84"/>
    </row>
    <row r="115" spans="1:1" x14ac:dyDescent="0.25">
      <c r="A115" s="84"/>
    </row>
    <row r="116" spans="1:1" x14ac:dyDescent="0.25">
      <c r="A116" s="84"/>
    </row>
    <row r="117" spans="1:1" x14ac:dyDescent="0.25">
      <c r="A117" s="84"/>
    </row>
    <row r="118" spans="1:1" x14ac:dyDescent="0.25">
      <c r="A118" s="84"/>
    </row>
    <row r="119" spans="1:1" x14ac:dyDescent="0.25">
      <c r="A119" s="84"/>
    </row>
    <row r="120" spans="1:1" x14ac:dyDescent="0.25">
      <c r="A120" s="84"/>
    </row>
    <row r="121" spans="1:1" x14ac:dyDescent="0.25">
      <c r="A121" s="84"/>
    </row>
    <row r="122" spans="1:1" x14ac:dyDescent="0.25">
      <c r="A122" s="84"/>
    </row>
    <row r="123" spans="1:1" x14ac:dyDescent="0.25">
      <c r="A123" s="84"/>
    </row>
    <row r="124" spans="1:1" x14ac:dyDescent="0.25">
      <c r="A124" s="84"/>
    </row>
    <row r="125" spans="1:1" x14ac:dyDescent="0.25">
      <c r="A125" s="84"/>
    </row>
    <row r="126" spans="1:1" x14ac:dyDescent="0.25">
      <c r="A126" s="84"/>
    </row>
    <row r="127" spans="1:1" x14ac:dyDescent="0.25">
      <c r="A127" s="84"/>
    </row>
    <row r="128" spans="1:1" x14ac:dyDescent="0.25">
      <c r="A128" s="84"/>
    </row>
    <row r="129" spans="1:1" x14ac:dyDescent="0.25">
      <c r="A129" s="84"/>
    </row>
    <row r="130" spans="1:1" x14ac:dyDescent="0.25">
      <c r="A130" s="84"/>
    </row>
    <row r="131" spans="1:1" x14ac:dyDescent="0.25">
      <c r="A131" s="84"/>
    </row>
    <row r="132" spans="1:1" x14ac:dyDescent="0.25">
      <c r="A132" s="84"/>
    </row>
    <row r="133" spans="1:1" x14ac:dyDescent="0.25">
      <c r="A133" s="84"/>
    </row>
    <row r="134" spans="1:1" x14ac:dyDescent="0.25">
      <c r="A134" s="84"/>
    </row>
    <row r="135" spans="1:1" x14ac:dyDescent="0.25">
      <c r="A135" s="84"/>
    </row>
    <row r="136" spans="1:1" x14ac:dyDescent="0.25">
      <c r="A136" s="84"/>
    </row>
    <row r="137" spans="1:1" x14ac:dyDescent="0.25">
      <c r="A137" s="84"/>
    </row>
    <row r="138" spans="1:1" x14ac:dyDescent="0.25">
      <c r="A138" s="84"/>
    </row>
    <row r="139" spans="1:1" x14ac:dyDescent="0.25">
      <c r="A139" s="84"/>
    </row>
    <row r="140" spans="1:1" x14ac:dyDescent="0.25">
      <c r="A140" s="84"/>
    </row>
    <row r="141" spans="1:1" x14ac:dyDescent="0.25">
      <c r="A141" s="84"/>
    </row>
    <row r="142" spans="1:1" x14ac:dyDescent="0.25">
      <c r="A142" s="84"/>
    </row>
    <row r="143" spans="1:1" x14ac:dyDescent="0.25">
      <c r="A143" s="84"/>
    </row>
    <row r="144" spans="1:1" x14ac:dyDescent="0.25">
      <c r="A144" s="84"/>
    </row>
    <row r="145" spans="1:1" x14ac:dyDescent="0.25">
      <c r="A145" s="84"/>
    </row>
    <row r="146" spans="1:1" x14ac:dyDescent="0.25">
      <c r="A146" s="84"/>
    </row>
    <row r="147" spans="1:1" x14ac:dyDescent="0.25">
      <c r="A147" s="84"/>
    </row>
    <row r="148" spans="1:1" x14ac:dyDescent="0.25">
      <c r="A148" s="84"/>
    </row>
    <row r="149" spans="1:1" x14ac:dyDescent="0.25">
      <c r="A149" s="84"/>
    </row>
    <row r="150" spans="1:1" x14ac:dyDescent="0.25">
      <c r="A150" s="84"/>
    </row>
    <row r="151" spans="1:1" x14ac:dyDescent="0.25">
      <c r="A151" s="84"/>
    </row>
    <row r="152" spans="1:1" x14ac:dyDescent="0.25">
      <c r="A152" s="84"/>
    </row>
    <row r="153" spans="1:1" x14ac:dyDescent="0.25">
      <c r="A153" s="84"/>
    </row>
    <row r="154" spans="1:1" x14ac:dyDescent="0.25">
      <c r="A154" s="84"/>
    </row>
    <row r="155" spans="1:1" x14ac:dyDescent="0.25">
      <c r="A155" s="84"/>
    </row>
    <row r="156" spans="1:1" x14ac:dyDescent="0.25">
      <c r="A156" s="84"/>
    </row>
    <row r="157" spans="1:1" x14ac:dyDescent="0.25">
      <c r="A157" s="84"/>
    </row>
    <row r="158" spans="1:1" x14ac:dyDescent="0.25">
      <c r="A158" s="84"/>
    </row>
    <row r="159" spans="1:1" x14ac:dyDescent="0.25">
      <c r="A159" s="84"/>
    </row>
    <row r="160" spans="1:1" x14ac:dyDescent="0.25">
      <c r="A160" s="84"/>
    </row>
    <row r="161" spans="1:1" x14ac:dyDescent="0.25">
      <c r="A161" s="84"/>
    </row>
    <row r="162" spans="1:1" x14ac:dyDescent="0.25">
      <c r="A162" s="84"/>
    </row>
    <row r="163" spans="1:1" x14ac:dyDescent="0.25">
      <c r="A163" s="84"/>
    </row>
    <row r="164" spans="1:1" x14ac:dyDescent="0.25">
      <c r="A164" s="84"/>
    </row>
    <row r="165" spans="1:1" x14ac:dyDescent="0.25">
      <c r="A165" s="84"/>
    </row>
    <row r="166" spans="1:1" x14ac:dyDescent="0.25">
      <c r="A166" s="84"/>
    </row>
    <row r="167" spans="1:1" x14ac:dyDescent="0.25">
      <c r="A167" s="84"/>
    </row>
    <row r="168" spans="1:1" x14ac:dyDescent="0.25">
      <c r="A168" s="84"/>
    </row>
  </sheetData>
  <sortState ref="A3:B168">
    <sortCondition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8EFE3-155D-4B3B-941F-7D96876D9630}">
  <sheetPr codeName="Sheet13"/>
  <dimension ref="A3:A168"/>
  <sheetViews>
    <sheetView workbookViewId="0">
      <selection sqref="A1:B1048576"/>
    </sheetView>
  </sheetViews>
  <sheetFormatPr defaultRowHeight="15" x14ac:dyDescent="0.25"/>
  <sheetData>
    <row r="3" spans="1:1" x14ac:dyDescent="0.25">
      <c r="A3" s="84"/>
    </row>
    <row r="4" spans="1:1" x14ac:dyDescent="0.25">
      <c r="A4" s="84"/>
    </row>
    <row r="5" spans="1:1" x14ac:dyDescent="0.25">
      <c r="A5" s="84"/>
    </row>
    <row r="6" spans="1:1" x14ac:dyDescent="0.25">
      <c r="A6" s="84"/>
    </row>
    <row r="7" spans="1:1" x14ac:dyDescent="0.25">
      <c r="A7" s="84"/>
    </row>
    <row r="8" spans="1:1" x14ac:dyDescent="0.25">
      <c r="A8" s="84"/>
    </row>
    <row r="9" spans="1:1" x14ac:dyDescent="0.25">
      <c r="A9" s="84"/>
    </row>
    <row r="10" spans="1:1" x14ac:dyDescent="0.25">
      <c r="A10" s="84"/>
    </row>
    <row r="11" spans="1:1" x14ac:dyDescent="0.25">
      <c r="A11" s="84"/>
    </row>
    <row r="12" spans="1:1" x14ac:dyDescent="0.25">
      <c r="A12" s="84"/>
    </row>
    <row r="13" spans="1:1" x14ac:dyDescent="0.25">
      <c r="A13" s="84"/>
    </row>
    <row r="14" spans="1:1" x14ac:dyDescent="0.25">
      <c r="A14" s="84"/>
    </row>
    <row r="15" spans="1:1" x14ac:dyDescent="0.25">
      <c r="A15" s="84"/>
    </row>
    <row r="16" spans="1:1" x14ac:dyDescent="0.25">
      <c r="A16" s="84"/>
    </row>
    <row r="17" spans="1:1" x14ac:dyDescent="0.25">
      <c r="A17" s="84"/>
    </row>
    <row r="18" spans="1:1" x14ac:dyDescent="0.25">
      <c r="A18" s="84"/>
    </row>
    <row r="19" spans="1:1" x14ac:dyDescent="0.25">
      <c r="A19" s="84"/>
    </row>
    <row r="20" spans="1:1" x14ac:dyDescent="0.25">
      <c r="A20" s="84"/>
    </row>
    <row r="21" spans="1:1" x14ac:dyDescent="0.25">
      <c r="A21" s="84"/>
    </row>
    <row r="22" spans="1:1" x14ac:dyDescent="0.25">
      <c r="A22" s="84"/>
    </row>
    <row r="23" spans="1:1" x14ac:dyDescent="0.25">
      <c r="A23" s="84"/>
    </row>
    <row r="24" spans="1:1" x14ac:dyDescent="0.25">
      <c r="A24" s="84"/>
    </row>
    <row r="25" spans="1:1" x14ac:dyDescent="0.25">
      <c r="A25" s="84"/>
    </row>
    <row r="26" spans="1:1" x14ac:dyDescent="0.25">
      <c r="A26" s="84"/>
    </row>
    <row r="27" spans="1:1" x14ac:dyDescent="0.25">
      <c r="A27" s="84"/>
    </row>
    <row r="28" spans="1:1" x14ac:dyDescent="0.25">
      <c r="A28" s="84"/>
    </row>
    <row r="29" spans="1:1" x14ac:dyDescent="0.25">
      <c r="A29" s="84"/>
    </row>
    <row r="30" spans="1:1" x14ac:dyDescent="0.25">
      <c r="A30" s="84"/>
    </row>
    <row r="31" spans="1:1" x14ac:dyDescent="0.25">
      <c r="A31" s="84"/>
    </row>
    <row r="32" spans="1:1" x14ac:dyDescent="0.25">
      <c r="A32" s="84"/>
    </row>
    <row r="33" spans="1:1" x14ac:dyDescent="0.25">
      <c r="A33" s="84"/>
    </row>
    <row r="34" spans="1:1" x14ac:dyDescent="0.25">
      <c r="A34" s="84"/>
    </row>
    <row r="35" spans="1:1" x14ac:dyDescent="0.25">
      <c r="A35" s="84"/>
    </row>
    <row r="36" spans="1:1" x14ac:dyDescent="0.25">
      <c r="A36" s="84"/>
    </row>
    <row r="37" spans="1:1" x14ac:dyDescent="0.25">
      <c r="A37" s="84"/>
    </row>
    <row r="38" spans="1:1" x14ac:dyDescent="0.25">
      <c r="A38" s="84"/>
    </row>
    <row r="39" spans="1:1" x14ac:dyDescent="0.25">
      <c r="A39" s="84"/>
    </row>
    <row r="40" spans="1:1" x14ac:dyDescent="0.25">
      <c r="A40" s="84"/>
    </row>
    <row r="41" spans="1:1" x14ac:dyDescent="0.25">
      <c r="A41" s="84"/>
    </row>
    <row r="42" spans="1:1" x14ac:dyDescent="0.25">
      <c r="A42" s="84"/>
    </row>
    <row r="43" spans="1:1" x14ac:dyDescent="0.25">
      <c r="A43" s="84"/>
    </row>
    <row r="44" spans="1:1" x14ac:dyDescent="0.25">
      <c r="A44" s="84"/>
    </row>
    <row r="45" spans="1:1" x14ac:dyDescent="0.25">
      <c r="A45" s="84"/>
    </row>
    <row r="46" spans="1:1" x14ac:dyDescent="0.25">
      <c r="A46" s="84"/>
    </row>
    <row r="47" spans="1:1" x14ac:dyDescent="0.25">
      <c r="A47" s="84"/>
    </row>
    <row r="48" spans="1:1" x14ac:dyDescent="0.25">
      <c r="A48" s="84"/>
    </row>
    <row r="49" spans="1:1" x14ac:dyDescent="0.25">
      <c r="A49" s="84"/>
    </row>
    <row r="50" spans="1:1" x14ac:dyDescent="0.25">
      <c r="A50" s="84"/>
    </row>
    <row r="51" spans="1:1" x14ac:dyDescent="0.25">
      <c r="A51" s="84"/>
    </row>
    <row r="52" spans="1:1" x14ac:dyDescent="0.25">
      <c r="A52" s="84"/>
    </row>
    <row r="53" spans="1:1" x14ac:dyDescent="0.25">
      <c r="A53" s="84"/>
    </row>
    <row r="54" spans="1:1" x14ac:dyDescent="0.25">
      <c r="A54" s="84"/>
    </row>
    <row r="55" spans="1:1" x14ac:dyDescent="0.25">
      <c r="A55" s="84"/>
    </row>
    <row r="56" spans="1:1" x14ac:dyDescent="0.25">
      <c r="A56" s="84"/>
    </row>
    <row r="57" spans="1:1" x14ac:dyDescent="0.25">
      <c r="A57" s="84"/>
    </row>
    <row r="58" spans="1:1" x14ac:dyDescent="0.25">
      <c r="A58" s="84"/>
    </row>
    <row r="59" spans="1:1" x14ac:dyDescent="0.25">
      <c r="A59" s="84"/>
    </row>
    <row r="60" spans="1:1" x14ac:dyDescent="0.25">
      <c r="A60" s="84"/>
    </row>
    <row r="61" spans="1:1" x14ac:dyDescent="0.25">
      <c r="A61" s="84"/>
    </row>
    <row r="62" spans="1:1" x14ac:dyDescent="0.25">
      <c r="A62" s="84"/>
    </row>
    <row r="63" spans="1:1" x14ac:dyDescent="0.25">
      <c r="A63" s="84"/>
    </row>
    <row r="64" spans="1:1" x14ac:dyDescent="0.25">
      <c r="A64" s="84"/>
    </row>
    <row r="65" spans="1:1" x14ac:dyDescent="0.25">
      <c r="A65" s="84"/>
    </row>
    <row r="66" spans="1:1" x14ac:dyDescent="0.25">
      <c r="A66" s="84"/>
    </row>
    <row r="67" spans="1:1" x14ac:dyDescent="0.25">
      <c r="A67" s="84"/>
    </row>
    <row r="68" spans="1:1" x14ac:dyDescent="0.25">
      <c r="A68" s="84"/>
    </row>
    <row r="69" spans="1:1" x14ac:dyDescent="0.25">
      <c r="A69" s="84"/>
    </row>
    <row r="70" spans="1:1" x14ac:dyDescent="0.25">
      <c r="A70" s="84"/>
    </row>
    <row r="71" spans="1:1" x14ac:dyDescent="0.25">
      <c r="A71" s="84"/>
    </row>
    <row r="72" spans="1:1" x14ac:dyDescent="0.25">
      <c r="A72" s="84"/>
    </row>
    <row r="73" spans="1:1" x14ac:dyDescent="0.25">
      <c r="A73" s="84"/>
    </row>
    <row r="74" spans="1:1" x14ac:dyDescent="0.25">
      <c r="A74" s="84"/>
    </row>
    <row r="75" spans="1:1" x14ac:dyDescent="0.25">
      <c r="A75" s="84"/>
    </row>
    <row r="76" spans="1:1" x14ac:dyDescent="0.25">
      <c r="A76" s="84"/>
    </row>
    <row r="77" spans="1:1" x14ac:dyDescent="0.25">
      <c r="A77" s="84"/>
    </row>
    <row r="78" spans="1:1" x14ac:dyDescent="0.25">
      <c r="A78" s="84"/>
    </row>
    <row r="79" spans="1:1" x14ac:dyDescent="0.25">
      <c r="A79" s="84"/>
    </row>
    <row r="80" spans="1:1" x14ac:dyDescent="0.25">
      <c r="A80" s="84"/>
    </row>
    <row r="81" spans="1:1" x14ac:dyDescent="0.25">
      <c r="A81" s="84"/>
    </row>
    <row r="82" spans="1:1" x14ac:dyDescent="0.25">
      <c r="A82" s="84"/>
    </row>
    <row r="83" spans="1:1" x14ac:dyDescent="0.25">
      <c r="A83" s="84"/>
    </row>
    <row r="84" spans="1:1" x14ac:dyDescent="0.25">
      <c r="A84" s="84"/>
    </row>
    <row r="85" spans="1:1" x14ac:dyDescent="0.25">
      <c r="A85" s="84"/>
    </row>
    <row r="86" spans="1:1" x14ac:dyDescent="0.25">
      <c r="A86" s="84"/>
    </row>
    <row r="87" spans="1:1" x14ac:dyDescent="0.25">
      <c r="A87" s="84"/>
    </row>
    <row r="88" spans="1:1" x14ac:dyDescent="0.25">
      <c r="A88" s="84"/>
    </row>
    <row r="89" spans="1:1" x14ac:dyDescent="0.25">
      <c r="A89" s="84"/>
    </row>
    <row r="90" spans="1:1" x14ac:dyDescent="0.25">
      <c r="A90" s="84"/>
    </row>
    <row r="91" spans="1:1" x14ac:dyDescent="0.25">
      <c r="A91" s="84"/>
    </row>
    <row r="92" spans="1:1" x14ac:dyDescent="0.25">
      <c r="A92" s="84"/>
    </row>
    <row r="93" spans="1:1" x14ac:dyDescent="0.25">
      <c r="A93" s="84"/>
    </row>
    <row r="94" spans="1:1" x14ac:dyDescent="0.25">
      <c r="A94" s="84"/>
    </row>
    <row r="95" spans="1:1" x14ac:dyDescent="0.25">
      <c r="A95" s="84"/>
    </row>
    <row r="96" spans="1:1" x14ac:dyDescent="0.25">
      <c r="A96" s="84"/>
    </row>
    <row r="97" spans="1:1" x14ac:dyDescent="0.25">
      <c r="A97" s="84"/>
    </row>
    <row r="98" spans="1:1" x14ac:dyDescent="0.25">
      <c r="A98" s="84"/>
    </row>
    <row r="99" spans="1:1" x14ac:dyDescent="0.25">
      <c r="A99" s="84"/>
    </row>
    <row r="100" spans="1:1" x14ac:dyDescent="0.25">
      <c r="A100" s="84"/>
    </row>
    <row r="101" spans="1:1" x14ac:dyDescent="0.25">
      <c r="A101" s="84"/>
    </row>
    <row r="102" spans="1:1" x14ac:dyDescent="0.25">
      <c r="A102" s="84"/>
    </row>
    <row r="103" spans="1:1" x14ac:dyDescent="0.25">
      <c r="A103" s="84"/>
    </row>
    <row r="104" spans="1:1" x14ac:dyDescent="0.25">
      <c r="A104" s="84"/>
    </row>
    <row r="105" spans="1:1" x14ac:dyDescent="0.25">
      <c r="A105" s="84"/>
    </row>
    <row r="106" spans="1:1" x14ac:dyDescent="0.25">
      <c r="A106" s="84"/>
    </row>
    <row r="107" spans="1:1" x14ac:dyDescent="0.25">
      <c r="A107" s="84"/>
    </row>
    <row r="108" spans="1:1" x14ac:dyDescent="0.25">
      <c r="A108" s="84"/>
    </row>
    <row r="109" spans="1:1" x14ac:dyDescent="0.25">
      <c r="A109" s="84"/>
    </row>
    <row r="110" spans="1:1" x14ac:dyDescent="0.25">
      <c r="A110" s="84"/>
    </row>
    <row r="111" spans="1:1" x14ac:dyDescent="0.25">
      <c r="A111" s="84"/>
    </row>
    <row r="112" spans="1:1" x14ac:dyDescent="0.25">
      <c r="A112" s="84"/>
    </row>
    <row r="113" spans="1:1" x14ac:dyDescent="0.25">
      <c r="A113" s="84"/>
    </row>
    <row r="114" spans="1:1" x14ac:dyDescent="0.25">
      <c r="A114" s="84"/>
    </row>
    <row r="115" spans="1:1" x14ac:dyDescent="0.25">
      <c r="A115" s="84"/>
    </row>
    <row r="116" spans="1:1" x14ac:dyDescent="0.25">
      <c r="A116" s="84"/>
    </row>
    <row r="117" spans="1:1" x14ac:dyDescent="0.25">
      <c r="A117" s="84"/>
    </row>
    <row r="118" spans="1:1" x14ac:dyDescent="0.25">
      <c r="A118" s="84"/>
    </row>
    <row r="119" spans="1:1" x14ac:dyDescent="0.25">
      <c r="A119" s="84"/>
    </row>
    <row r="120" spans="1:1" x14ac:dyDescent="0.25">
      <c r="A120" s="84"/>
    </row>
    <row r="121" spans="1:1" x14ac:dyDescent="0.25">
      <c r="A121" s="84"/>
    </row>
    <row r="122" spans="1:1" x14ac:dyDescent="0.25">
      <c r="A122" s="84"/>
    </row>
    <row r="123" spans="1:1" x14ac:dyDescent="0.25">
      <c r="A123" s="84"/>
    </row>
    <row r="124" spans="1:1" x14ac:dyDescent="0.25">
      <c r="A124" s="84"/>
    </row>
    <row r="125" spans="1:1" x14ac:dyDescent="0.25">
      <c r="A125" s="84"/>
    </row>
    <row r="126" spans="1:1" x14ac:dyDescent="0.25">
      <c r="A126" s="84"/>
    </row>
    <row r="127" spans="1:1" x14ac:dyDescent="0.25">
      <c r="A127" s="84"/>
    </row>
    <row r="128" spans="1:1" x14ac:dyDescent="0.25">
      <c r="A128" s="84"/>
    </row>
    <row r="129" spans="1:1" x14ac:dyDescent="0.25">
      <c r="A129" s="84"/>
    </row>
    <row r="130" spans="1:1" x14ac:dyDescent="0.25">
      <c r="A130" s="84"/>
    </row>
    <row r="131" spans="1:1" x14ac:dyDescent="0.25">
      <c r="A131" s="84"/>
    </row>
    <row r="132" spans="1:1" x14ac:dyDescent="0.25">
      <c r="A132" s="84"/>
    </row>
    <row r="133" spans="1:1" x14ac:dyDescent="0.25">
      <c r="A133" s="84"/>
    </row>
    <row r="134" spans="1:1" x14ac:dyDescent="0.25">
      <c r="A134" s="84"/>
    </row>
    <row r="135" spans="1:1" x14ac:dyDescent="0.25">
      <c r="A135" s="84"/>
    </row>
    <row r="136" spans="1:1" x14ac:dyDescent="0.25">
      <c r="A136" s="84"/>
    </row>
    <row r="137" spans="1:1" x14ac:dyDescent="0.25">
      <c r="A137" s="84"/>
    </row>
    <row r="138" spans="1:1" x14ac:dyDescent="0.25">
      <c r="A138" s="84"/>
    </row>
    <row r="139" spans="1:1" x14ac:dyDescent="0.25">
      <c r="A139" s="84"/>
    </row>
    <row r="140" spans="1:1" x14ac:dyDescent="0.25">
      <c r="A140" s="84"/>
    </row>
    <row r="141" spans="1:1" x14ac:dyDescent="0.25">
      <c r="A141" s="84"/>
    </row>
    <row r="142" spans="1:1" x14ac:dyDescent="0.25">
      <c r="A142" s="84"/>
    </row>
    <row r="143" spans="1:1" x14ac:dyDescent="0.25">
      <c r="A143" s="84"/>
    </row>
    <row r="144" spans="1:1" x14ac:dyDescent="0.25">
      <c r="A144" s="84"/>
    </row>
    <row r="145" spans="1:1" x14ac:dyDescent="0.25">
      <c r="A145" s="84"/>
    </row>
    <row r="146" spans="1:1" x14ac:dyDescent="0.25">
      <c r="A146" s="84"/>
    </row>
    <row r="147" spans="1:1" x14ac:dyDescent="0.25">
      <c r="A147" s="84"/>
    </row>
    <row r="148" spans="1:1" x14ac:dyDescent="0.25">
      <c r="A148" s="84"/>
    </row>
    <row r="149" spans="1:1" x14ac:dyDescent="0.25">
      <c r="A149" s="84"/>
    </row>
    <row r="150" spans="1:1" x14ac:dyDescent="0.25">
      <c r="A150" s="84"/>
    </row>
    <row r="151" spans="1:1" x14ac:dyDescent="0.25">
      <c r="A151" s="84"/>
    </row>
    <row r="152" spans="1:1" x14ac:dyDescent="0.25">
      <c r="A152" s="84"/>
    </row>
    <row r="153" spans="1:1" x14ac:dyDescent="0.25">
      <c r="A153" s="84"/>
    </row>
    <row r="154" spans="1:1" x14ac:dyDescent="0.25">
      <c r="A154" s="84"/>
    </row>
    <row r="155" spans="1:1" x14ac:dyDescent="0.25">
      <c r="A155" s="84"/>
    </row>
    <row r="156" spans="1:1" x14ac:dyDescent="0.25">
      <c r="A156" s="84"/>
    </row>
    <row r="157" spans="1:1" x14ac:dyDescent="0.25">
      <c r="A157" s="84"/>
    </row>
    <row r="158" spans="1:1" x14ac:dyDescent="0.25">
      <c r="A158" s="84"/>
    </row>
    <row r="159" spans="1:1" x14ac:dyDescent="0.25">
      <c r="A159" s="84"/>
    </row>
    <row r="160" spans="1:1" x14ac:dyDescent="0.25">
      <c r="A160" s="84"/>
    </row>
    <row r="161" spans="1:1" x14ac:dyDescent="0.25">
      <c r="A161" s="84"/>
    </row>
    <row r="162" spans="1:1" x14ac:dyDescent="0.25">
      <c r="A162" s="84"/>
    </row>
    <row r="163" spans="1:1" x14ac:dyDescent="0.25">
      <c r="A163" s="84"/>
    </row>
    <row r="164" spans="1:1" x14ac:dyDescent="0.25">
      <c r="A164" s="84"/>
    </row>
    <row r="165" spans="1:1" x14ac:dyDescent="0.25">
      <c r="A165" s="84"/>
    </row>
    <row r="166" spans="1:1" x14ac:dyDescent="0.25">
      <c r="A166" s="84"/>
    </row>
    <row r="167" spans="1:1" x14ac:dyDescent="0.25">
      <c r="A167" s="84"/>
    </row>
    <row r="168" spans="1:1" x14ac:dyDescent="0.25">
      <c r="A168" s="84"/>
    </row>
  </sheetData>
  <sortState ref="A3:B16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56</vt:i4>
      </vt:variant>
    </vt:vector>
  </HeadingPairs>
  <TitlesOfParts>
    <vt:vector size="69" baseType="lpstr">
      <vt:lpstr>Intro</vt:lpstr>
      <vt:lpstr>User Input</vt:lpstr>
      <vt:lpstr>Circuit Diagrams</vt:lpstr>
      <vt:lpstr>Calculations</vt:lpstr>
      <vt:lpstr>NFET Data</vt:lpstr>
      <vt:lpstr>PFET Data</vt:lpstr>
      <vt:lpstr>NLogic</vt:lpstr>
      <vt:lpstr>PLogic</vt:lpstr>
      <vt:lpstr>Ploss_All_NFETs</vt:lpstr>
      <vt:lpstr>Ploss_All_PFETs</vt:lpstr>
      <vt:lpstr>FET_List1</vt:lpstr>
      <vt:lpstr>FET_List2</vt:lpstr>
      <vt:lpstr>FET_List3</vt:lpstr>
      <vt:lpstr>BVDSS</vt:lpstr>
      <vt:lpstr>BVDSS2</vt:lpstr>
      <vt:lpstr>BVDSS3</vt:lpstr>
      <vt:lpstr>CH</vt:lpstr>
      <vt:lpstr>G</vt:lpstr>
      <vt:lpstr>Io</vt:lpstr>
      <vt:lpstr>k</vt:lpstr>
      <vt:lpstr>m</vt:lpstr>
      <vt:lpstr>Meg</vt:lpstr>
      <vt:lpstr>n</vt:lpstr>
      <vt:lpstr>p</vt:lpstr>
      <vt:lpstr>Part_Number</vt:lpstr>
      <vt:lpstr>Part_Number2</vt:lpstr>
      <vt:lpstr>Part_Number3</vt:lpstr>
      <vt:lpstr>PCOND</vt:lpstr>
      <vt:lpstr>PCOND2</vt:lpstr>
      <vt:lpstr>PCOND3</vt:lpstr>
      <vt:lpstr>PDmax1</vt:lpstr>
      <vt:lpstr>PDmax2</vt:lpstr>
      <vt:lpstr>PDmax3</vt:lpstr>
      <vt:lpstr>Q1_Qg</vt:lpstr>
      <vt:lpstr>Q1_Qg2</vt:lpstr>
      <vt:lpstr>Q1_Qg3</vt:lpstr>
      <vt:lpstr>Q1_Qgd</vt:lpstr>
      <vt:lpstr>Q1_Qgd2</vt:lpstr>
      <vt:lpstr>Q1_Qgd3</vt:lpstr>
      <vt:lpstr>Q1_Rdson</vt:lpstr>
      <vt:lpstr>Q1_Rdson2</vt:lpstr>
      <vt:lpstr>Q1_Rdson3</vt:lpstr>
      <vt:lpstr>Q1_Rg</vt:lpstr>
      <vt:lpstr>Q1_Rg2</vt:lpstr>
      <vt:lpstr>Q1_Rg3</vt:lpstr>
      <vt:lpstr>RDSON</vt:lpstr>
      <vt:lpstr>RDSON2</vt:lpstr>
      <vt:lpstr>RDSON3</vt:lpstr>
      <vt:lpstr>RDSONP</vt:lpstr>
      <vt:lpstr>RDSONP2</vt:lpstr>
      <vt:lpstr>RDSONP3</vt:lpstr>
      <vt:lpstr>RDSONTJ</vt:lpstr>
      <vt:lpstr>RDSONTJ2</vt:lpstr>
      <vt:lpstr>RDSONTJ3</vt:lpstr>
      <vt:lpstr>SW_TYPE</vt:lpstr>
      <vt:lpstr>Tj</vt:lpstr>
      <vt:lpstr>u</vt:lpstr>
      <vt:lpstr>VG</vt:lpstr>
      <vt:lpstr>VGS_DR</vt:lpstr>
      <vt:lpstr>VGS_max</vt:lpstr>
      <vt:lpstr>VGS_max2</vt:lpstr>
      <vt:lpstr>VGS_max3</vt:lpstr>
      <vt:lpstr>Vi</vt:lpstr>
      <vt:lpstr>VTHR</vt:lpstr>
      <vt:lpstr>VTHR_MAX</vt:lpstr>
      <vt:lpstr>VTHR_MAX2</vt:lpstr>
      <vt:lpstr>VTHR_MAX3</vt:lpstr>
      <vt:lpstr>VTHR2</vt:lpstr>
      <vt:lpstr>VTHR3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Wallace, John</dc:creator>
  <cp:lastModifiedBy>John R. Wallace</cp:lastModifiedBy>
  <dcterms:created xsi:type="dcterms:W3CDTF">2008-05-14T17:54:42Z</dcterms:created>
  <dcterms:modified xsi:type="dcterms:W3CDTF">2022-07-01T18:41:14Z</dcterms:modified>
</cp:coreProperties>
</file>