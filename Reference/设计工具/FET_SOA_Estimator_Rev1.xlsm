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a0274248\TI Drive\FET\Tools\SOA Estimator\"/>
    </mc:Choice>
  </mc:AlternateContent>
  <xr:revisionPtr revIDLastSave="0" documentId="13_ncr:1_{9099F9CC-E35E-449E-9EDD-D269657DBA49}" xr6:coauthVersionLast="36" xr6:coauthVersionMax="36" xr10:uidLastSave="{00000000-0000-0000-0000-000000000000}"/>
  <workbookProtection workbookAlgorithmName="SHA-512" workbookHashValue="ymWhFX9ykgXsxZr4kOzqSkyRa7hVgFuTyQjF2x/EKKqAlvvDuAlmES8QJPXPCNUFs121UPMhyhcmN77X6PskZQ==" workbookSaltValue="+2/AJ47dgyB53Ss8zWdK0Q==" workbookSpinCount="100000" lockStructure="1"/>
  <bookViews>
    <workbookView xWindow="0" yWindow="0" windowWidth="25200" windowHeight="11775" activeTab="2" xr2:uid="{C0C11263-E83C-4ADF-B990-40A715E9AAE6}"/>
  </bookViews>
  <sheets>
    <sheet name="Intro" sheetId="4" r:id="rId1"/>
    <sheet name="Important Notice &amp; Disclaimer " sheetId="5" r:id="rId2"/>
    <sheet name="SOA Estimator" sheetId="1" r:id="rId3"/>
    <sheet name="FET Data" sheetId="2" state="hidden" r:id="rId4"/>
  </sheets>
  <externalReferences>
    <externalReference r:id="rId5"/>
  </externalReferences>
  <definedNames>
    <definedName name="a">'SOA Estimator'!$C$12</definedName>
    <definedName name="DUTY">'[1]User Input'!$C$17</definedName>
    <definedName name="FET_config">'[1]User Input'!$F$11</definedName>
    <definedName name="FET_config2">'[1]User Input'!$G$11</definedName>
    <definedName name="FET_config3">'[1]User Input'!$H$11</definedName>
    <definedName name="FET1_a">'SOA Estimator'!$G$12</definedName>
    <definedName name="FET1_m">'SOA Estimator'!$G$11</definedName>
    <definedName name="FET1_SOA_25">'SOA Estimator'!$G$13</definedName>
    <definedName name="FET1_SOA_T1">'SOA Estimator'!$G$8</definedName>
    <definedName name="FET1_SOA_T2">'SOA Estimator'!$G$7</definedName>
    <definedName name="FET1_TJMAX">'SOA Estimator'!$F$9</definedName>
    <definedName name="FET2_a">'SOA Estimator'!$J$12</definedName>
    <definedName name="FET2_m">'SOA Estimator'!$J$11</definedName>
    <definedName name="FET2_SOA_25">'SOA Estimator'!$J$13</definedName>
    <definedName name="FET2_SOA_T1">'SOA Estimator'!$J$8</definedName>
    <definedName name="FET2_SOA_T2">'SOA Estimator'!$J$7</definedName>
    <definedName name="FET2_TJMAX">'SOA Estimator'!$I$9</definedName>
    <definedName name="FET3_a">'SOA Estimator'!$M$12</definedName>
    <definedName name="FET3_m">'SOA Estimator'!$M$11</definedName>
    <definedName name="FET3_SOA_25">'SOA Estimator'!$M$13</definedName>
    <definedName name="FET3_SOA_T1">'SOA Estimator'!$M$8</definedName>
    <definedName name="FET3_SOA_T2">'SOA Estimator'!$M$7</definedName>
    <definedName name="FET3_TJMAX">'SOA Estimator'!$L$9</definedName>
    <definedName name="FSW">'[1]User Input'!$C$20</definedName>
    <definedName name="GDR_SINK">'[1]User Input'!$C$23</definedName>
    <definedName name="GDR_SRC">'[1]User Input'!$C$22</definedName>
    <definedName name="GDR_V">'[1]User Input'!$C$21</definedName>
    <definedName name="IM_AVG">'[1]User Input'!$C$27</definedName>
    <definedName name="IM_PEAK">'[1]User Input'!$C$29</definedName>
    <definedName name="IM_RMS">'[1]User Input'!$C$28</definedName>
    <definedName name="IM_RMS_120">'[1]User Input'!$C$31</definedName>
    <definedName name="k">[1]Calculations!$F$18</definedName>
    <definedName name="m" localSheetId="0">[1]Calculations!$F$17</definedName>
    <definedName name="m">'SOA Estimator'!$C$11</definedName>
    <definedName name="MOT_COM_TIME">'[1]User Input'!$C$18</definedName>
    <definedName name="MOT_ELEC_FREQ">'[1]User Input'!$C$30</definedName>
    <definedName name="n">[1]Calculations!$F$15</definedName>
    <definedName name="Num_FETS">'[1]User Input'!$F$12</definedName>
    <definedName name="Num_FETS2">'[1]User Input'!$G$12</definedName>
    <definedName name="Num_FETS3">'[1]User Input'!$H$12</definedName>
    <definedName name="P_DC">'[1]User Input'!$C$14</definedName>
    <definedName name="Pick_FET">'[1]User Input'!$F$15</definedName>
    <definedName name="Pick_FET2">'[1]User Input'!$G$15</definedName>
    <definedName name="Pick_FET3">'[1]User Input'!$H$15</definedName>
    <definedName name="PN_1">'SOA Estimator'!$E$2</definedName>
    <definedName name="PN_2">'SOA Estimator'!$H$2</definedName>
    <definedName name="PN_3">'SOA Estimator'!$K$2</definedName>
    <definedName name="POLES">'[1]User Input'!$C$15</definedName>
    <definedName name="PW">'SOA Estimator'!$B$3</definedName>
    <definedName name="PW_T1">'SOA Estimator'!$F$8</definedName>
    <definedName name="PW_T2">'SOA Estimator'!$F$7</definedName>
    <definedName name="Q1_Part_Number">[1]Calculations!$C$2</definedName>
    <definedName name="Q1_Part_Number2">[1]Calculations2!$C$2</definedName>
    <definedName name="Q1_Part_Number3">[1]Calculations3!$C$2</definedName>
    <definedName name="Q1_PD_Max">[1]Calculations!$B$17</definedName>
    <definedName name="Q1_PD_Max2">[1]Calculations2!$B$17</definedName>
    <definedName name="Q1_PD_Max3">[1]Calculations3!$B$17</definedName>
    <definedName name="Q1_Ploss">[1]Calculations!$H$4</definedName>
    <definedName name="Q1_Qgd">[1]Calculations!$C$6</definedName>
    <definedName name="Q1_Qgd2">[1]Calculations2!$C$6</definedName>
    <definedName name="Q1_Qgd3">[1]Calculations3!$C$6</definedName>
    <definedName name="Q1_Qgs">[1]Calculations!$C$7</definedName>
    <definedName name="Q1_Qgs2">[1]Calculations2!$C$7</definedName>
    <definedName name="Q1_Qgs3">[1]Calculations3!$C$7</definedName>
    <definedName name="Q1_Qgth">[1]Calculations!$C$8</definedName>
    <definedName name="Q1_Qgth2">[1]Calculations2!$C$8</definedName>
    <definedName name="Q1_Qgth3">[1]Calculations3!$C$8</definedName>
    <definedName name="Q1_Rdson">'[1]User Input'!$F$21</definedName>
    <definedName name="Q1_Rdson2">'[1]User Input'!$G$21</definedName>
    <definedName name="Q1_Rdson3">'[1]User Input'!$H$21</definedName>
    <definedName name="Q1RDSON">[1]Logic!$AB$15</definedName>
    <definedName name="Q1RDSON2">[1]Logic2!$I$15</definedName>
    <definedName name="Q1RDSON3">[1]Logic3!$I$15</definedName>
    <definedName name="Q1RDSONTJ">[1]Calculations!$B$14</definedName>
    <definedName name="Q1RDSONTJ2">[1]Calculations2!$B$14</definedName>
    <definedName name="Q1RDSONTJ3">[1]Calculations3!$B$14</definedName>
    <definedName name="Q2_Part_Number">[1]Calculations!$B$2</definedName>
    <definedName name="Q2_Part_Number2">[1]Calculations2!$B$2</definedName>
    <definedName name="Q2_Part_Number3">[1]Calculations3!$B$2</definedName>
    <definedName name="Q2_PD_Max">[1]Calculations!$B$21</definedName>
    <definedName name="Q2_Ploss">[1]Calculations!$H$3</definedName>
    <definedName name="Q2_Qg">'[1]User Input'!$F$20</definedName>
    <definedName name="Q2_Qg2">'[1]User Input'!$G$20</definedName>
    <definedName name="Q2_Qg3">'[1]User Input'!$H$20</definedName>
    <definedName name="Q2_Qgd">[1]Calculations!$B$6</definedName>
    <definedName name="Q2_Qgd2">[1]Calculations2!$B$6</definedName>
    <definedName name="Q2_Qgd3">[1]Calculations3!$B$6</definedName>
    <definedName name="Q2_Qgs">[1]Calculations!$B$7</definedName>
    <definedName name="Q2_Qgs2">[1]Calculations2!$B$7</definedName>
    <definedName name="Q2_Qgs3">[1]Calculations3!$B$7</definedName>
    <definedName name="Q2_Qgth">[1]Calculations!$B$8</definedName>
    <definedName name="Q2_Qgth2">[1]Calculations2!$B$8</definedName>
    <definedName name="Q2_Qgth3">[1]Calculations3!$B$8</definedName>
    <definedName name="Q2_Qoss">[1]Calculations!$B$9</definedName>
    <definedName name="Q2_Qoss2">[1]Calculations2!$B$9</definedName>
    <definedName name="Q2_Qoss3">[1]Calculations3!$B$9</definedName>
    <definedName name="Q2_Qrr">[1]Calculations!$B$10</definedName>
    <definedName name="Q2_Qrr2">[1]Calculations2!$B$10</definedName>
    <definedName name="Q2_Qrr3">[1]Calculations3!$B$10</definedName>
    <definedName name="Q2_Rdson">'[1]User Input'!$F$19</definedName>
    <definedName name="Q2_Rdson2">'[1]User Input'!$G$19</definedName>
    <definedName name="Q2_Rdson3">'[1]User Input'!$H$19</definedName>
    <definedName name="Q2_Vsd">[1]Calculations!$B$19</definedName>
    <definedName name="Q2_Vsd2">[1]Calculations2!$B$19</definedName>
    <definedName name="Q2_Vsd3">[1]Calculations3!$B$19</definedName>
    <definedName name="Q2RDSON">[1]Logic!$AB$7</definedName>
    <definedName name="Q2RDSON2">[1]Logic2!$I$7</definedName>
    <definedName name="Q2RDSON3">[1]Logic3!$I$7</definedName>
    <definedName name="Q2RDSONTJ">[1]Calculations!$B$18</definedName>
    <definedName name="Q2RDSONTJ2">[1]Calculations2!$B$18</definedName>
    <definedName name="Q2RDSONTJ3">[1]Calculations3!$B$18</definedName>
    <definedName name="RATED_SPEED">'[1]User Input'!$C$16</definedName>
    <definedName name="T_DEAD">'[1]User Input'!$C$24</definedName>
    <definedName name="TC">'SOA Estimator'!$B$4</definedName>
    <definedName name="TI_PN1">'SOA Estimator'!$F$3</definedName>
    <definedName name="TI_PN2">'SOA Estimator'!$I$3</definedName>
    <definedName name="TI_PN3">'SOA Estimator'!$L$3</definedName>
    <definedName name="Tj">'[1]User Input'!$C$25</definedName>
    <definedName name="TJMAX">'SOA Estimator'!$B$9</definedName>
    <definedName name="VDC_AVG">'[1]User Input'!$C$13</definedName>
    <definedName name="VDS">'SOA Estimator'!$B$2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1" l="1"/>
  <c r="L3" i="1"/>
  <c r="L4" i="1" s="1"/>
  <c r="I3" i="1"/>
  <c r="I4" i="1" s="1"/>
  <c r="F3" i="1"/>
  <c r="F4" i="1" s="1"/>
  <c r="I9" i="1" l="1"/>
  <c r="K14" i="1"/>
  <c r="H14" i="1"/>
  <c r="N2" i="2" l="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O14" i="2" l="1"/>
  <c r="Y14" i="2" s="1"/>
  <c r="O2" i="2"/>
  <c r="O18" i="2"/>
  <c r="Y18" i="2" s="1"/>
  <c r="O34" i="2"/>
  <c r="Y34" i="2" s="1"/>
  <c r="O10" i="2"/>
  <c r="O37" i="2"/>
  <c r="Y37" i="2" s="1"/>
  <c r="O25" i="2"/>
  <c r="Y25" i="2" s="1"/>
  <c r="O13" i="2"/>
  <c r="Y13" i="2" s="1"/>
  <c r="O29" i="2"/>
  <c r="Y29" i="2" s="1"/>
  <c r="O17" i="2"/>
  <c r="Y17" i="2" s="1"/>
  <c r="O5" i="2"/>
  <c r="O36" i="2"/>
  <c r="Y36" i="2" s="1"/>
  <c r="O24" i="2"/>
  <c r="Y24" i="2" s="1"/>
  <c r="O12" i="2"/>
  <c r="Y12" i="2" s="1"/>
  <c r="O28" i="2"/>
  <c r="Y28" i="2" s="1"/>
  <c r="O16" i="2"/>
  <c r="Y16" i="2" s="1"/>
  <c r="O4" i="2"/>
  <c r="O32" i="2"/>
  <c r="Y32" i="2" s="1"/>
  <c r="O20" i="2"/>
  <c r="Y20" i="2" s="1"/>
  <c r="O8" i="2"/>
  <c r="O38" i="2"/>
  <c r="Y38" i="2" s="1"/>
  <c r="O6" i="2"/>
  <c r="O23" i="2"/>
  <c r="Y23" i="2" s="1"/>
  <c r="O27" i="2"/>
  <c r="Y27" i="2" s="1"/>
  <c r="O15" i="2"/>
  <c r="Y15" i="2" s="1"/>
  <c r="O31" i="2"/>
  <c r="Y31" i="2" s="1"/>
  <c r="O19" i="2"/>
  <c r="Y19" i="2" s="1"/>
  <c r="O7" i="2"/>
  <c r="O9" i="2"/>
  <c r="O3" i="2"/>
  <c r="O26" i="2"/>
  <c r="Y26" i="2" s="1"/>
  <c r="O30" i="2"/>
  <c r="Y30" i="2" s="1"/>
  <c r="O22" i="2"/>
  <c r="Y22" i="2" s="1"/>
  <c r="O35" i="2"/>
  <c r="Y35" i="2" s="1"/>
  <c r="O11" i="2"/>
  <c r="O33" i="2"/>
  <c r="Y33" i="2" s="1"/>
  <c r="O21" i="2"/>
  <c r="Y21" i="2" s="1"/>
  <c r="L9" i="1"/>
  <c r="F9" i="1"/>
  <c r="B2" i="2" l="1"/>
  <c r="C2" i="2"/>
  <c r="D2" i="2"/>
  <c r="E2" i="2"/>
  <c r="B3" i="2"/>
  <c r="C3" i="2"/>
  <c r="D3" i="2"/>
  <c r="E3" i="2"/>
  <c r="B4" i="2"/>
  <c r="C4" i="2"/>
  <c r="D4" i="2"/>
  <c r="E4" i="2"/>
  <c r="F4" i="2"/>
  <c r="B5" i="2"/>
  <c r="C5" i="2"/>
  <c r="D5" i="2"/>
  <c r="E5" i="2"/>
  <c r="B6" i="2"/>
  <c r="C6" i="2"/>
  <c r="D6" i="2"/>
  <c r="E6" i="2"/>
  <c r="B7" i="2"/>
  <c r="C7" i="2"/>
  <c r="D7" i="2"/>
  <c r="E7" i="2"/>
  <c r="F7" i="2"/>
  <c r="B8" i="2"/>
  <c r="C8" i="2"/>
  <c r="D8" i="2"/>
  <c r="E8" i="2"/>
  <c r="B9" i="2"/>
  <c r="C9" i="2"/>
  <c r="D9" i="2"/>
  <c r="E9" i="2"/>
  <c r="F9" i="2"/>
  <c r="B10" i="2"/>
  <c r="C10" i="2"/>
  <c r="D10" i="2"/>
  <c r="E10" i="2"/>
  <c r="F10" i="2"/>
  <c r="B11" i="2"/>
  <c r="C11" i="2"/>
  <c r="D11" i="2"/>
  <c r="E11" i="2"/>
  <c r="F11" i="2"/>
  <c r="E38" i="2" l="1"/>
  <c r="D38" i="2"/>
  <c r="C38" i="2"/>
  <c r="B38" i="2"/>
  <c r="E37" i="2"/>
  <c r="D37" i="2"/>
  <c r="C37" i="2"/>
  <c r="B37" i="2"/>
  <c r="F36" i="2"/>
  <c r="E36" i="2"/>
  <c r="D36" i="2"/>
  <c r="C36" i="2"/>
  <c r="B36" i="2"/>
  <c r="F33" i="2"/>
  <c r="E33" i="2"/>
  <c r="D33" i="2"/>
  <c r="C33" i="2"/>
  <c r="B33" i="2"/>
  <c r="F30" i="2"/>
  <c r="E30" i="2"/>
  <c r="D30" i="2"/>
  <c r="C30" i="2"/>
  <c r="B30" i="2"/>
  <c r="F31" i="2"/>
  <c r="E31" i="2"/>
  <c r="D31" i="2"/>
  <c r="C31" i="2"/>
  <c r="B31" i="2"/>
  <c r="F32" i="2"/>
  <c r="E32" i="2"/>
  <c r="D32" i="2"/>
  <c r="C32" i="2"/>
  <c r="B32" i="2"/>
  <c r="E34" i="2"/>
  <c r="D34" i="2"/>
  <c r="C34" i="2"/>
  <c r="B34" i="2"/>
  <c r="E35" i="2"/>
  <c r="D35" i="2"/>
  <c r="C35" i="2"/>
  <c r="B35" i="2"/>
  <c r="F21" i="2" l="1"/>
  <c r="E21" i="2"/>
  <c r="D21" i="2"/>
  <c r="C21" i="2"/>
  <c r="B21" i="2"/>
  <c r="F17" i="2"/>
  <c r="E17" i="2"/>
  <c r="D17" i="2"/>
  <c r="C17" i="2"/>
  <c r="B17" i="2"/>
  <c r="F27" i="2"/>
  <c r="E27" i="2"/>
  <c r="D27" i="2"/>
  <c r="C27" i="2"/>
  <c r="B27" i="2"/>
  <c r="F24" i="2"/>
  <c r="E24" i="2"/>
  <c r="D24" i="2"/>
  <c r="C24" i="2"/>
  <c r="B24" i="2"/>
  <c r="F25" i="2"/>
  <c r="E25" i="2"/>
  <c r="D25" i="2"/>
  <c r="C25" i="2"/>
  <c r="B25" i="2"/>
  <c r="F16" i="2"/>
  <c r="E16" i="2"/>
  <c r="D16" i="2"/>
  <c r="C16" i="2"/>
  <c r="B16" i="2"/>
  <c r="F12" i="2"/>
  <c r="E12" i="2"/>
  <c r="D12" i="2"/>
  <c r="C12" i="2"/>
  <c r="B12" i="2"/>
  <c r="E13" i="2"/>
  <c r="D13" i="2"/>
  <c r="C13" i="2"/>
  <c r="B13" i="2"/>
  <c r="F26" i="2"/>
  <c r="E26" i="2"/>
  <c r="D26" i="2"/>
  <c r="C26" i="2"/>
  <c r="B26" i="2"/>
  <c r="E23" i="2"/>
  <c r="D23" i="2"/>
  <c r="C23" i="2"/>
  <c r="B23" i="2"/>
  <c r="E14" i="2"/>
  <c r="D14" i="2"/>
  <c r="C14" i="2"/>
  <c r="B14" i="2"/>
  <c r="F15" i="2"/>
  <c r="E15" i="2"/>
  <c r="D15" i="2"/>
  <c r="C15" i="2"/>
  <c r="B15" i="2"/>
  <c r="E28" i="2"/>
  <c r="D28" i="2"/>
  <c r="C28" i="2"/>
  <c r="B28" i="2"/>
  <c r="E29" i="2"/>
  <c r="D29" i="2"/>
  <c r="C29" i="2"/>
  <c r="B29" i="2"/>
  <c r="E22" i="2"/>
  <c r="D22" i="2"/>
  <c r="C22" i="2"/>
  <c r="B22" i="2"/>
  <c r="D18" i="2"/>
  <c r="C18" i="2"/>
  <c r="B18" i="2"/>
  <c r="E18" i="2"/>
  <c r="E20" i="2"/>
  <c r="D20" i="2"/>
  <c r="C20" i="2"/>
  <c r="B20" i="2"/>
  <c r="E19" i="2"/>
  <c r="D19" i="2"/>
  <c r="C19" i="2"/>
  <c r="B19" i="2"/>
  <c r="F8" i="1" l="1"/>
  <c r="T28" i="2" s="1"/>
  <c r="F7" i="1"/>
  <c r="S12" i="2" s="1"/>
  <c r="T20" i="2" l="1"/>
  <c r="T27" i="2"/>
  <c r="S15" i="2"/>
  <c r="S25" i="2"/>
  <c r="T25" i="2"/>
  <c r="S22" i="2"/>
  <c r="T13" i="2"/>
  <c r="T22" i="2"/>
  <c r="U15" i="2"/>
  <c r="T24" i="2"/>
  <c r="U24" i="2" s="1"/>
  <c r="V24" i="2" s="1"/>
  <c r="W24" i="2" s="1"/>
  <c r="X24" i="2" s="1"/>
  <c r="T17" i="2"/>
  <c r="T23" i="2"/>
  <c r="T15" i="2"/>
  <c r="S23" i="2"/>
  <c r="S19" i="2"/>
  <c r="S27" i="2"/>
  <c r="S18" i="2"/>
  <c r="T29" i="2"/>
  <c r="S16" i="2"/>
  <c r="S29" i="2"/>
  <c r="T14" i="2"/>
  <c r="T16" i="2"/>
  <c r="T26" i="2"/>
  <c r="S14" i="2"/>
  <c r="S24" i="2"/>
  <c r="S21" i="2"/>
  <c r="T18" i="2"/>
  <c r="S26" i="2"/>
  <c r="T19" i="2"/>
  <c r="S20" i="2"/>
  <c r="U20" i="2" s="1"/>
  <c r="V20" i="2" s="1"/>
  <c r="W20" i="2" s="1"/>
  <c r="X20" i="2" s="1"/>
  <c r="U27" i="2"/>
  <c r="V27" i="2" s="1"/>
  <c r="W27" i="2" s="1"/>
  <c r="X27" i="2" s="1"/>
  <c r="S37" i="2"/>
  <c r="S33" i="2"/>
  <c r="S35" i="2"/>
  <c r="S32" i="2"/>
  <c r="S31" i="2"/>
  <c r="S30" i="2"/>
  <c r="S34" i="2"/>
  <c r="S38" i="2"/>
  <c r="S36" i="2"/>
  <c r="S17" i="2"/>
  <c r="S13" i="2"/>
  <c r="T34" i="2"/>
  <c r="T30" i="2"/>
  <c r="U30" i="2" s="1"/>
  <c r="V30" i="2" s="1"/>
  <c r="W30" i="2" s="1"/>
  <c r="X30" i="2" s="1"/>
  <c r="T37" i="2"/>
  <c r="T36" i="2"/>
  <c r="T31" i="2"/>
  <c r="T32" i="2"/>
  <c r="T35" i="2"/>
  <c r="T33" i="2"/>
  <c r="T38" i="2"/>
  <c r="U38" i="2" s="1"/>
  <c r="V38" i="2" s="1"/>
  <c r="W38" i="2" s="1"/>
  <c r="X38" i="2" s="1"/>
  <c r="T12" i="2"/>
  <c r="U12" i="2" s="1"/>
  <c r="V12" i="2" s="1"/>
  <c r="W12" i="2" s="1"/>
  <c r="X12" i="2" s="1"/>
  <c r="S28" i="2"/>
  <c r="T21" i="2"/>
  <c r="U21" i="2" s="1"/>
  <c r="V21" i="2" s="1"/>
  <c r="W21" i="2" s="1"/>
  <c r="X21" i="2" s="1"/>
  <c r="S6" i="2"/>
  <c r="S10" i="2"/>
  <c r="S2" i="2"/>
  <c r="S5" i="2"/>
  <c r="S3" i="2"/>
  <c r="S8" i="2"/>
  <c r="S7" i="2"/>
  <c r="S9" i="2"/>
  <c r="S4" i="2"/>
  <c r="S11" i="2"/>
  <c r="G8" i="1"/>
  <c r="T7" i="2"/>
  <c r="T11" i="2"/>
  <c r="T9" i="2"/>
  <c r="T10" i="2"/>
  <c r="T2" i="2"/>
  <c r="T5" i="2"/>
  <c r="T6" i="2"/>
  <c r="T8" i="2"/>
  <c r="T4" i="2"/>
  <c r="T3" i="2"/>
  <c r="G7" i="1"/>
  <c r="J7" i="1"/>
  <c r="L7" i="1"/>
  <c r="M7" i="1"/>
  <c r="L8" i="1"/>
  <c r="M8" i="1"/>
  <c r="J8" i="1"/>
  <c r="I7" i="1"/>
  <c r="I8" i="1"/>
  <c r="U11" i="2" l="1"/>
  <c r="V11" i="2" s="1"/>
  <c r="W11" i="2" s="1"/>
  <c r="X11" i="2" s="1"/>
  <c r="Y11" i="2" s="1"/>
  <c r="U9" i="2"/>
  <c r="V9" i="2" s="1"/>
  <c r="W9" i="2" s="1"/>
  <c r="X9" i="2" s="1"/>
  <c r="Y9" i="2" s="1"/>
  <c r="U14" i="2"/>
  <c r="V14" i="2" s="1"/>
  <c r="W14" i="2" s="1"/>
  <c r="X14" i="2" s="1"/>
  <c r="U31" i="2"/>
  <c r="V31" i="2" s="1"/>
  <c r="W31" i="2" s="1"/>
  <c r="X31" i="2" s="1"/>
  <c r="U29" i="2"/>
  <c r="V29" i="2" s="1"/>
  <c r="W29" i="2" s="1"/>
  <c r="X29" i="2" s="1"/>
  <c r="U16" i="2"/>
  <c r="V16" i="2" s="1"/>
  <c r="W16" i="2" s="1"/>
  <c r="X16" i="2" s="1"/>
  <c r="U19" i="2"/>
  <c r="V19" i="2" s="1"/>
  <c r="W19" i="2" s="1"/>
  <c r="X19" i="2" s="1"/>
  <c r="U33" i="2"/>
  <c r="V33" i="2" s="1"/>
  <c r="W33" i="2" s="1"/>
  <c r="X33" i="2" s="1"/>
  <c r="U18" i="2"/>
  <c r="V18" i="2" s="1"/>
  <c r="W18" i="2" s="1"/>
  <c r="X18" i="2" s="1"/>
  <c r="U22" i="2"/>
  <c r="V22" i="2" s="1"/>
  <c r="W22" i="2" s="1"/>
  <c r="X22" i="2" s="1"/>
  <c r="U26" i="2"/>
  <c r="V26" i="2" s="1"/>
  <c r="W26" i="2" s="1"/>
  <c r="X26" i="2" s="1"/>
  <c r="U34" i="2"/>
  <c r="V34" i="2" s="1"/>
  <c r="W34" i="2" s="1"/>
  <c r="X34" i="2" s="1"/>
  <c r="V15" i="2"/>
  <c r="W15" i="2" s="1"/>
  <c r="X15" i="2" s="1"/>
  <c r="U23" i="2"/>
  <c r="V23" i="2" s="1"/>
  <c r="W23" i="2" s="1"/>
  <c r="X23" i="2" s="1"/>
  <c r="U36" i="2"/>
  <c r="V36" i="2" s="1"/>
  <c r="W36" i="2" s="1"/>
  <c r="X36" i="2" s="1"/>
  <c r="U25" i="2"/>
  <c r="V25" i="2" s="1"/>
  <c r="W25" i="2" s="1"/>
  <c r="X25" i="2" s="1"/>
  <c r="U35" i="2"/>
  <c r="V35" i="2" s="1"/>
  <c r="W35" i="2" s="1"/>
  <c r="X35" i="2" s="1"/>
  <c r="U13" i="2"/>
  <c r="V13" i="2" s="1"/>
  <c r="W13" i="2" s="1"/>
  <c r="X13" i="2" s="1"/>
  <c r="U37" i="2"/>
  <c r="V37" i="2" s="1"/>
  <c r="W37" i="2" s="1"/>
  <c r="X37" i="2" s="1"/>
  <c r="U28" i="2"/>
  <c r="V28" i="2" s="1"/>
  <c r="W28" i="2" s="1"/>
  <c r="X28" i="2" s="1"/>
  <c r="U17" i="2"/>
  <c r="V17" i="2" s="1"/>
  <c r="W17" i="2" s="1"/>
  <c r="X17" i="2" s="1"/>
  <c r="U32" i="2"/>
  <c r="V32" i="2" s="1"/>
  <c r="W32" i="2" s="1"/>
  <c r="X32" i="2" s="1"/>
  <c r="U2" i="2"/>
  <c r="V2" i="2" s="1"/>
  <c r="W2" i="2" s="1"/>
  <c r="X2" i="2" s="1"/>
  <c r="Y2" i="2" s="1"/>
  <c r="U7" i="2"/>
  <c r="V7" i="2" s="1"/>
  <c r="W7" i="2" s="1"/>
  <c r="X7" i="2" s="1"/>
  <c r="Y7" i="2" s="1"/>
  <c r="U10" i="2"/>
  <c r="V10" i="2" s="1"/>
  <c r="W10" i="2" s="1"/>
  <c r="X10" i="2" s="1"/>
  <c r="Y10" i="2" s="1"/>
  <c r="U5" i="2"/>
  <c r="V5" i="2" s="1"/>
  <c r="W5" i="2" s="1"/>
  <c r="X5" i="2" s="1"/>
  <c r="Y5" i="2" s="1"/>
  <c r="U6" i="2"/>
  <c r="V6" i="2" s="1"/>
  <c r="W6" i="2" s="1"/>
  <c r="X6" i="2" s="1"/>
  <c r="Y6" i="2" s="1"/>
  <c r="U3" i="2"/>
  <c r="V3" i="2" s="1"/>
  <c r="W3" i="2" s="1"/>
  <c r="X3" i="2" s="1"/>
  <c r="Y3" i="2" s="1"/>
  <c r="U8" i="2"/>
  <c r="V8" i="2" s="1"/>
  <c r="W8" i="2" s="1"/>
  <c r="X8" i="2" s="1"/>
  <c r="Y8" i="2" s="1"/>
  <c r="U4" i="2"/>
  <c r="V4" i="2" s="1"/>
  <c r="W4" i="2" s="1"/>
  <c r="X4" i="2" s="1"/>
  <c r="Y4" i="2" s="1"/>
  <c r="G11" i="1"/>
  <c r="G12" i="1" s="1"/>
  <c r="G13" i="1" s="1"/>
  <c r="G14" i="1" s="1"/>
  <c r="J11" i="1"/>
  <c r="J12" i="1" s="1"/>
  <c r="J13" i="1" s="1"/>
  <c r="J14" i="1" s="1"/>
  <c r="M11" i="1"/>
  <c r="M12" i="1" s="1"/>
  <c r="M13" i="1" s="1"/>
  <c r="M1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R. Wallace</author>
  </authors>
  <commentList>
    <comment ref="E2" authorId="0" shapeId="0" xr:uid="{FBCED01D-6523-41C9-9EE8-3C71D58CB681}">
      <text>
        <r>
          <rPr>
            <b/>
            <sz val="9"/>
            <color indexed="81"/>
            <rFont val="Tahoma"/>
            <family val="2"/>
          </rPr>
          <t>Pulldown to pick FET from list</t>
        </r>
      </text>
    </comment>
    <comment ref="H2" authorId="0" shapeId="0" xr:uid="{17B1430C-971F-4F6E-A0E1-9FE41D7CE303}">
      <text>
        <r>
          <rPr>
            <b/>
            <sz val="9"/>
            <color indexed="81"/>
            <rFont val="Tahoma"/>
            <family val="2"/>
          </rPr>
          <t>Pulldown to pick FET from list</t>
        </r>
      </text>
    </comment>
    <comment ref="K2" authorId="0" shapeId="0" xr:uid="{89EC9405-D6A2-4BEE-80F1-BA53D50AAFBF}">
      <text>
        <r>
          <rPr>
            <b/>
            <sz val="9"/>
            <color indexed="81"/>
            <rFont val="Tahoma"/>
            <family val="2"/>
          </rPr>
          <t>Pulldown to pick FET from list</t>
        </r>
      </text>
    </comment>
  </commentList>
</comments>
</file>

<file path=xl/sharedStrings.xml><?xml version="1.0" encoding="utf-8"?>
<sst xmlns="http://schemas.openxmlformats.org/spreadsheetml/2006/main" count="247" uniqueCount="163">
  <si>
    <t>PW (ms)</t>
  </si>
  <si>
    <t>m</t>
  </si>
  <si>
    <t>a</t>
  </si>
  <si>
    <t>SOA @ t2</t>
  </si>
  <si>
    <t>SOA @ t1</t>
  </si>
  <si>
    <t>Slope</t>
  </si>
  <si>
    <t>Magnitude</t>
  </si>
  <si>
    <t>100</t>
  </si>
  <si>
    <t>10</t>
  </si>
  <si>
    <t>1</t>
  </si>
  <si>
    <t>0.1</t>
  </si>
  <si>
    <t>0.01</t>
  </si>
  <si>
    <t>Part_Number</t>
  </si>
  <si>
    <t>CSD16415Q5</t>
  </si>
  <si>
    <t>CSD16570Q5B</t>
  </si>
  <si>
    <t>Datasheet SOA values</t>
  </si>
  <si>
    <t>TJMAX</t>
  </si>
  <si>
    <t>IDMAX</t>
  </si>
  <si>
    <t>CSD17570Q5B</t>
  </si>
  <si>
    <t>CSD17573Q5B</t>
  </si>
  <si>
    <t>CSD16556Q5B</t>
  </si>
  <si>
    <t>CSD17559Q5</t>
  </si>
  <si>
    <t>CSD17556Q5B</t>
  </si>
  <si>
    <t>CSD17576Q5B</t>
  </si>
  <si>
    <t>CSD17575Q3</t>
  </si>
  <si>
    <t>CSD17581Q5A</t>
  </si>
  <si>
    <t>CSD18536KCS</t>
  </si>
  <si>
    <t>VDSMAX</t>
  </si>
  <si>
    <t>CSD18536KTT</t>
  </si>
  <si>
    <t>CSD18535KTT</t>
  </si>
  <si>
    <t>CSD18540Q5B</t>
  </si>
  <si>
    <t>CSD19506KTT</t>
  </si>
  <si>
    <t>CSD19505KTT</t>
  </si>
  <si>
    <t>CSD18532Q5B</t>
  </si>
  <si>
    <t>CSD18532NQ5B</t>
  </si>
  <si>
    <t>CSD18542KTT</t>
  </si>
  <si>
    <t>CSD19502Q5B</t>
  </si>
  <si>
    <t>CSD18532KCS</t>
  </si>
  <si>
    <t>CSD18531Q5A</t>
  </si>
  <si>
    <t>CSD18533Q5A</t>
  </si>
  <si>
    <t>CSD19501KCS</t>
  </si>
  <si>
    <t>CSD18563Q5A</t>
  </si>
  <si>
    <t>CSD19503KCS</t>
  </si>
  <si>
    <t>CSD18534Q5A</t>
  </si>
  <si>
    <t>CSD18537NQ5A</t>
  </si>
  <si>
    <t>CSD19536KTT</t>
  </si>
  <si>
    <t>CSD19535KTT</t>
  </si>
  <si>
    <t>CSD19532Q5B</t>
  </si>
  <si>
    <t>CSD19532KTT</t>
  </si>
  <si>
    <t>CSD19531Q5A</t>
  </si>
  <si>
    <t>CSD19533Q5A</t>
  </si>
  <si>
    <t>CSD19537Q3</t>
  </si>
  <si>
    <t>CSD19538Q2</t>
  </si>
  <si>
    <t>CSD19538Q3A</t>
  </si>
  <si>
    <t/>
  </si>
  <si>
    <t>In pulldown</t>
  </si>
  <si>
    <t>BV=60</t>
  </si>
  <si>
    <t>BV=80</t>
  </si>
  <si>
    <t>BV=100</t>
  </si>
  <si>
    <t>BV=30</t>
  </si>
  <si>
    <t>BV=25&amp;30</t>
  </si>
  <si>
    <t>Datasheet link</t>
  </si>
  <si>
    <t>Datasheet</t>
  </si>
  <si>
    <t>https://www.ti.com/lit/ds/symlink/csd16415q5.pdf</t>
  </si>
  <si>
    <t>https://www.ti.com/lit/ds/symlink/csd16556q5b.pdf</t>
  </si>
  <si>
    <t>https://www.ti.com/lit/ds/symlink/csd16570q5b.pdf</t>
  </si>
  <si>
    <t>https://www.ti.com/lit/ds/symlink/csd17556q5b.pdf</t>
  </si>
  <si>
    <t>https://www.ti.com/lit/ds/symlink/csd17559q5.pdf</t>
  </si>
  <si>
    <t>https://www.ti.com/lit/ds/symlink/csd17570q5b.pdf</t>
  </si>
  <si>
    <t>https://www.ti.com/lit/ds/symlink/csd17573q5b.pdf</t>
  </si>
  <si>
    <t>https://www.ti.com/lit/ds/symlink/csd17575q3.pdf</t>
  </si>
  <si>
    <t>https://www.ti.com/lit/ds/symlink/csd17576q5b.pdf</t>
  </si>
  <si>
    <t>https://www.ti.com/lit/ds/symlink/csd17581q5a.pdf</t>
  </si>
  <si>
    <t>https://www.ti.com/lit/ds/symlink/csd18531q5a.pdf</t>
  </si>
  <si>
    <t>https://www.ti.com/lit/ds/symlink/csd18532kcs.pdf</t>
  </si>
  <si>
    <t>https://www.ti.com/lit/ds/symlink/csd18532nq5b.pdf</t>
  </si>
  <si>
    <t>https://www.ti.com/lit/ds/symlink/csd18532q5b.pdf</t>
  </si>
  <si>
    <t>https://www.ti.com/lit/ds/symlink/csd18533q5a.pdf</t>
  </si>
  <si>
    <t>https://www.ti.com/lit/ds/symlink/csd18534q5a.pdf</t>
  </si>
  <si>
    <t>https://www.ti.com/lit/ds/symlink/csd18535ktt.pdf</t>
  </si>
  <si>
    <t>https://www.ti.com/lit/ds/symlink/csd18536kcs.pdf</t>
  </si>
  <si>
    <t>https://www.ti.com/lit/ds/symlink/csd18536ktt.pdf</t>
  </si>
  <si>
    <t>https://www.ti.com/lit/ds/symlink/csd18537nq5a.pdf</t>
  </si>
  <si>
    <t>https://www.ti.com/lit/ds/symlink/csd18540q5b.pdf</t>
  </si>
  <si>
    <t>https://www.ti.com/lit/ds/symlink/csd18542ktt.pdf</t>
  </si>
  <si>
    <t>https://www.ti.com/lit/ds/symlink/csd18563q5a.pdf</t>
  </si>
  <si>
    <t>https://www.ti.com/lit/ds/symlink/csd19501kcs.pdf</t>
  </si>
  <si>
    <t>https://www.ti.com/lit/ds/symlink/csd19502q5b.pdf</t>
  </si>
  <si>
    <t>https://www.ti.com/lit/ds/symlink/csd19503kcs.pdf</t>
  </si>
  <si>
    <t>https://www.ti.com/lit/ds/symlink/csd19505ktt.pdf</t>
  </si>
  <si>
    <t>https://www.ti.com/lit/ds/symlink/csd19506ktt.pdf</t>
  </si>
  <si>
    <t>https://www.ti.com/lit/ds/symlink/csd19531q5a.pdf</t>
  </si>
  <si>
    <t>https://www.ti.com/lit/ds/symlink/csd19532ktt.pdf</t>
  </si>
  <si>
    <t>https://www.ti.com/lit/ds/symlink/csd19532q5b.pdf</t>
  </si>
  <si>
    <t>https://www.ti.com/lit/ds/symlink/csd19533q5a.pdf</t>
  </si>
  <si>
    <t>https://www.ti.com/lit/ds/symlink/csd19535ktt.pdf</t>
  </si>
  <si>
    <t>https://www.ti.com/lit/ds/symlink/csd19536ktt.pdf</t>
  </si>
  <si>
    <t>https://www.ti.com/lit/ds/symlink/csd19537q3.pdf</t>
  </si>
  <si>
    <t>https://www.ti.com/lit/ds/symlink/csd19538q2.pdf</t>
  </si>
  <si>
    <t>https://www.ti.com/lit/ds/symlink/csd19538q3a.pdf</t>
  </si>
  <si>
    <t>Click on a selector button to choose the application type by RPM.</t>
  </si>
  <si>
    <t>The yellow cells are from the FET datasheet. The green cells are calculated values.</t>
  </si>
  <si>
    <t>Comments or suggestions should be posted on: e2e.ti.com</t>
  </si>
  <si>
    <r>
      <rPr>
        <sz val="11"/>
        <rFont val="Arial"/>
        <family val="2"/>
      </rPr>
      <t xml:space="preserve">calculations. </t>
    </r>
    <r>
      <rPr>
        <sz val="11"/>
        <color rgb="FFFF0000"/>
        <rFont val="Arial"/>
        <family val="2"/>
      </rPr>
      <t xml:space="preserve">   </t>
    </r>
  </si>
  <si>
    <t>The blue cells on worksheet "User Input" are inputs, yellow cells are from the FET datasheet and green cells are calculated values</t>
  </si>
  <si>
    <t>After entering the system parameters, click on the big blue button to start the FET selection process. You can compare up to 3 FET solutions.</t>
  </si>
  <si>
    <t>Questions, comments or suggestions should be posted on: e2e.ti.com</t>
  </si>
  <si>
    <t xml:space="preserve"> </t>
  </si>
  <si>
    <t>Disclaimer</t>
  </si>
  <si>
    <t>This product is designed as an aid for customers of Texas Instruments.  No warranties, either express</t>
  </si>
  <si>
    <t>or implied, with respect to this software or its fitness for any particular purpose is claimed by Texas</t>
  </si>
  <si>
    <t>Instruments or the author.  The software is licensed solely on an "as is" basis.  The entire risk as to its</t>
  </si>
  <si>
    <t>quality and performance is with the customer.</t>
  </si>
  <si>
    <t>TI NexFET SOA Estimation Tool- Rev. 1</t>
  </si>
  <si>
    <t>Input Application Conditions</t>
  </si>
  <si>
    <t>Pulse Width (ms)</t>
  </si>
  <si>
    <r>
      <t>I</t>
    </r>
    <r>
      <rPr>
        <b/>
        <vertAlign val="subscript"/>
        <sz val="11"/>
        <color rgb="FF000000"/>
        <rFont val="Calibri"/>
        <family val="2"/>
        <scheme val="minor"/>
      </rPr>
      <t>D</t>
    </r>
    <r>
      <rPr>
        <b/>
        <sz val="11"/>
        <color indexed="8"/>
        <rFont val="Calibri"/>
        <family val="2"/>
        <scheme val="minor"/>
      </rPr>
      <t xml:space="preserve"> (A)</t>
    </r>
  </si>
  <si>
    <r>
      <t xml:space="preserve">Step 1: Fill in the blue </t>
    </r>
    <r>
      <rPr>
        <i/>
        <sz val="11"/>
        <rFont val="Arial"/>
        <family val="2"/>
      </rPr>
      <t>Application Conditions</t>
    </r>
    <r>
      <rPr>
        <sz val="11"/>
        <rFont val="Arial"/>
        <family val="2"/>
      </rPr>
      <t xml:space="preserve"> cells. </t>
    </r>
  </si>
  <si>
    <r>
      <t xml:space="preserve">Step 2: Click on the big blue </t>
    </r>
    <r>
      <rPr>
        <i/>
        <sz val="11"/>
        <rFont val="Arial"/>
        <family val="2"/>
      </rPr>
      <t>Sort FETs</t>
    </r>
    <r>
      <rPr>
        <sz val="11"/>
        <rFont val="Arial"/>
        <family val="2"/>
      </rPr>
      <t xml:space="preserve"> button.</t>
    </r>
  </si>
  <si>
    <t>Step 3: Select FET1. Repeat to compare 3 FET combinations</t>
  </si>
  <si>
    <r>
      <rPr>
        <i/>
        <sz val="11"/>
        <rFont val="Arial"/>
        <family val="2"/>
      </rPr>
      <t xml:space="preserve">SOA Estimator </t>
    </r>
    <r>
      <rPr>
        <sz val="11"/>
        <rFont val="Arial"/>
        <family val="2"/>
      </rPr>
      <t>Worksheet Instructions:</t>
    </r>
  </si>
  <si>
    <r>
      <t xml:space="preserve">Click on the big blue </t>
    </r>
    <r>
      <rPr>
        <i/>
        <sz val="11"/>
        <rFont val="Arial"/>
        <family val="2"/>
      </rPr>
      <t>Sort FETs</t>
    </r>
    <r>
      <rPr>
        <sz val="11"/>
        <rFont val="Arial"/>
        <family val="2"/>
      </rPr>
      <t xml:space="preserve"> button to clear previous FET selections and to start a new search.</t>
    </r>
  </si>
  <si>
    <t>This worksheet is designed with Microsoft Excel 2019.  Its use is intended to assist engineers in their routine, day-to-day</t>
  </si>
  <si>
    <t>There are pulldown lists with FET part numbers</t>
  </si>
  <si>
    <r>
      <t>Case Temperature (</t>
    </r>
    <r>
      <rPr>
        <b/>
        <sz val="11"/>
        <color theme="1"/>
        <rFont val="Calibri"/>
        <family val="2"/>
      </rPr>
      <t>°C)</t>
    </r>
  </si>
  <si>
    <t>Drain-Source Voltage (V)</t>
  </si>
  <si>
    <t>Package</t>
  </si>
  <si>
    <t>SON5X6</t>
  </si>
  <si>
    <t>SON3X3</t>
  </si>
  <si>
    <t>TO-220</t>
  </si>
  <si>
    <t>DDPAK</t>
  </si>
  <si>
    <t>SON2X2</t>
  </si>
  <si>
    <t>SOA_25</t>
  </si>
  <si>
    <t>SOA_T2</t>
  </si>
  <si>
    <t>SOA_T1</t>
  </si>
  <si>
    <t>Mag</t>
  </si>
  <si>
    <t>SOA_TC</t>
  </si>
  <si>
    <t>1ku</t>
  </si>
  <si>
    <t>LIST</t>
  </si>
  <si>
    <t>TI PN</t>
  </si>
  <si>
    <t>FET1 SOA @ TC = 25°C (A)</t>
  </si>
  <si>
    <t>FET2 SOA @ TC = 25°C (A)</t>
  </si>
  <si>
    <t>FET3 SOA @ TC = 25°C (A)</t>
  </si>
  <si>
    <r>
      <t>T</t>
    </r>
    <r>
      <rPr>
        <b/>
        <vertAlign val="subscript"/>
        <sz val="11"/>
        <color theme="1"/>
        <rFont val="Calibri"/>
        <family val="2"/>
        <scheme val="minor"/>
      </rPr>
      <t>JMAX</t>
    </r>
    <r>
      <rPr>
        <b/>
        <sz val="11"/>
        <color theme="1"/>
        <rFont val="Calibri"/>
        <family val="2"/>
        <scheme val="minor"/>
      </rPr>
      <t xml:space="preserve"> (°C)</t>
    </r>
  </si>
  <si>
    <t>Results</t>
  </si>
  <si>
    <t>PN, BVDSS, SOA@TC, $1ku, PKG</t>
  </si>
  <si>
    <t>Important Notice and Disclaimer</t>
  </si>
  <si>
    <t>TI PROVIDES TECHNICAL AND RELIABILITY DATA (INCLUDING DATASHEETS), DESIGN RESOURCES (INCLUDING REFERENCE DESIGNS), APPLICATION OR OTHER DESIGN ADVICE, WEB TOOLS, SAFETY INFORMATION, AND OTHER RESOURCES “AS IS” AND WITH ALL FAULTS, AND DISCLAIMS ALL WARRANTIES, EXPRESS AND IMPLIED, INCLUDING WITHOUT LIMITATION ANY IMPLIED WARRANTIES OF MERCHANTABILITY, FITNESS FOR A PARTICULAR PURPOSE OR NON-INFRINGEMENT OF THIRD PARTY INTELLECTUAL PROPERTY RIGHTS.</t>
  </si>
  <si>
    <t>These resources are intended for skilled developers designing with TI products. You are solely responsible for (1) selecting the appropriate TI products for your application, (2) designing, validating and testing your application, and (3) ensuring your application meets applicable standards, and any other safety, security, regulatory or other requirements.</t>
  </si>
  <si>
    <t>These resources are subject to change without notice. TI grants you permission to use these resources only for development of an application that uses the TI products described in the resource. Other reproduction and display of these resources is prohibited. No license is granted to any other TI intellectual property right or to any third party intellectual property right. TI disclaims responsibility for, and you will fully indemnify TI and its representatives against, any claims, damages, costs, losses, and liabilities arising out of your use of these resources.</t>
  </si>
  <si>
    <t>TI objects to and rejects any additional or different terms you may have proposed.  </t>
  </si>
  <si>
    <r>
      <rPr>
        <sz val="11"/>
        <rFont val="Calibri"/>
        <family val="2"/>
        <scheme val="minor"/>
      </rPr>
      <t xml:space="preserve">TI’s products are provided subject to TI’s </t>
    </r>
    <r>
      <rPr>
        <u/>
        <sz val="11"/>
        <color theme="10"/>
        <rFont val="Calibri"/>
        <family val="2"/>
        <scheme val="minor"/>
      </rPr>
      <t>Terms of Sale</t>
    </r>
    <r>
      <rPr>
        <sz val="11"/>
        <rFont val="Calibri"/>
        <family val="2"/>
        <scheme val="minor"/>
      </rPr>
      <t xml:space="preserve"> or other applicable terms available either on ti.com or provided in conjunction with such TI products. TI’s provision of these resources does not expand or otherwise alter TI’s applicable warranties or warranty disclaimers for TI products. </t>
    </r>
  </si>
  <si>
    <t>© 2024</t>
  </si>
  <si>
    <t>CSD16415Q5, 25V, 12.39A, $0.803, SON5X6</t>
  </si>
  <si>
    <t>CSD16556Q5B, 25V, 5.39A, $0.75, SON5X6</t>
  </si>
  <si>
    <t>CSD16570Q5B, 25V, 4.88A, $0.717, SON5X6</t>
  </si>
  <si>
    <t>CSD17556Q5B, 30V, 7.61A, $0.768, SON5X6</t>
  </si>
  <si>
    <t>CSD17559Q5, 30V, 8.79A, $0.905, SON5X6</t>
  </si>
  <si>
    <t>CSD17570Q5B, 30V, 4.88A, $0.726, SON5X6</t>
  </si>
  <si>
    <t>CSD17573Q5B, 30V, 5.09A, $0.524, SON5X6</t>
  </si>
  <si>
    <t>CSD17575Q3, 30V, 1.50A, $0.309, SON3X3</t>
  </si>
  <si>
    <t>CSD17576Q5B, 30V, 4.17A, $0.378, SON5X6</t>
  </si>
  <si>
    <t>CSD17581Q5A, 30V, 2.16A, $0.219, SON5X6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</si>
</sst>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2" x14ac:knownFonts="1">
    <font>
      <sz val="11"/>
      <color theme="1"/>
      <name val="Calibri"/>
      <family val="2"/>
      <scheme val="minor"/>
    </font>
    <font>
      <sz val="11"/>
      <color theme="1"/>
      <name val="Calibri"/>
      <family val="2"/>
      <scheme val="minor"/>
    </font>
    <font>
      <b/>
      <sz val="9"/>
      <color indexed="81"/>
      <name val="Tahoma"/>
      <family val="2"/>
    </font>
    <font>
      <u/>
      <sz val="11"/>
      <color theme="10"/>
      <name val="Calibri"/>
      <family val="2"/>
      <scheme val="minor"/>
    </font>
    <font>
      <b/>
      <sz val="11"/>
      <color theme="1"/>
      <name val="Calibri"/>
      <family val="2"/>
      <scheme val="minor"/>
    </font>
    <font>
      <sz val="10"/>
      <name val="Arial"/>
      <family val="2"/>
    </font>
    <font>
      <b/>
      <sz val="24"/>
      <name val="Arial"/>
      <family val="2"/>
    </font>
    <font>
      <sz val="12"/>
      <name val="MS Sans Serif"/>
      <family val="2"/>
    </font>
    <font>
      <b/>
      <sz val="18"/>
      <name val="Arial"/>
      <family val="2"/>
    </font>
    <font>
      <sz val="11"/>
      <name val="Arial"/>
      <family val="2"/>
    </font>
    <font>
      <i/>
      <sz val="11"/>
      <name val="Arial"/>
      <family val="2"/>
    </font>
    <font>
      <sz val="11"/>
      <color rgb="FFFF0000"/>
      <name val="Arial"/>
      <family val="2"/>
    </font>
    <font>
      <b/>
      <u/>
      <sz val="12"/>
      <color theme="10"/>
      <name val="Arial"/>
      <family val="2"/>
    </font>
    <font>
      <b/>
      <sz val="11"/>
      <name val="Arial"/>
      <family val="2"/>
    </font>
    <font>
      <b/>
      <sz val="11"/>
      <name val="Calibri"/>
      <family val="2"/>
      <scheme val="minor"/>
    </font>
    <font>
      <b/>
      <u/>
      <sz val="11"/>
      <color theme="10"/>
      <name val="Calibri"/>
      <family val="2"/>
      <scheme val="minor"/>
    </font>
    <font>
      <b/>
      <vertAlign val="subscript"/>
      <sz val="11"/>
      <color rgb="FF000000"/>
      <name val="Calibri"/>
      <family val="2"/>
      <scheme val="minor"/>
    </font>
    <font>
      <b/>
      <sz val="11"/>
      <color indexed="8"/>
      <name val="Calibri"/>
      <family val="2"/>
      <scheme val="minor"/>
    </font>
    <font>
      <b/>
      <vertAlign val="subscript"/>
      <sz val="11"/>
      <color theme="1"/>
      <name val="Calibri"/>
      <family val="2"/>
      <scheme val="minor"/>
    </font>
    <font>
      <b/>
      <sz val="11"/>
      <color theme="1"/>
      <name val="Calibri"/>
      <family val="2"/>
    </font>
    <font>
      <sz val="11"/>
      <name val="Calibri"/>
      <family val="2"/>
      <scheme val="minor"/>
    </font>
    <font>
      <b/>
      <sz val="24"/>
      <color theme="1"/>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FFFFCC"/>
        <bgColor indexed="64"/>
      </patternFill>
    </fill>
    <fill>
      <patternFill patternType="solid">
        <fgColor rgb="FFDA9694"/>
        <bgColor indexed="64"/>
      </patternFill>
    </fill>
    <fill>
      <patternFill patternType="solid">
        <fgColor rgb="FFE4DFEC"/>
        <bgColor indexed="64"/>
      </patternFill>
    </fill>
    <fill>
      <patternFill patternType="solid">
        <fgColor rgb="FFFDE9D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
    <xf numFmtId="0" fontId="0" fillId="0" borderId="0"/>
    <xf numFmtId="0" fontId="1" fillId="0" borderId="0"/>
    <xf numFmtId="0" fontId="1" fillId="0" borderId="0"/>
    <xf numFmtId="0" fontId="3" fillId="0" borderId="0" applyNumberFormat="0" applyFill="0" applyBorder="0" applyAlignment="0" applyProtection="0"/>
    <xf numFmtId="0" fontId="5" fillId="0" borderId="0"/>
  </cellStyleXfs>
  <cellXfs count="74">
    <xf numFmtId="0" fontId="0" fillId="0" borderId="0" xfId="0"/>
    <xf numFmtId="2" fontId="0" fillId="0" borderId="0" xfId="0" applyNumberFormat="1"/>
    <xf numFmtId="0" fontId="0" fillId="0" borderId="0" xfId="0" applyAlignment="1">
      <alignment horizontal="center"/>
    </xf>
    <xf numFmtId="0" fontId="0" fillId="0" borderId="0" xfId="0" applyNumberFormat="1"/>
    <xf numFmtId="0" fontId="3" fillId="0" borderId="0" xfId="3" applyNumberFormat="1"/>
    <xf numFmtId="0" fontId="5" fillId="0" borderId="5" xfId="4" applyFill="1" applyBorder="1" applyProtection="1"/>
    <xf numFmtId="0" fontId="5" fillId="0" borderId="6" xfId="4" applyFill="1" applyBorder="1" applyProtection="1"/>
    <xf numFmtId="0" fontId="5" fillId="0" borderId="7" xfId="4" applyFill="1" applyBorder="1" applyProtection="1"/>
    <xf numFmtId="0" fontId="5" fillId="0" borderId="0" xfId="4" applyProtection="1"/>
    <xf numFmtId="0" fontId="5" fillId="0" borderId="8" xfId="4" applyFill="1" applyBorder="1" applyProtection="1"/>
    <xf numFmtId="0" fontId="5" fillId="0" borderId="0" xfId="4" applyFill="1" applyBorder="1" applyProtection="1"/>
    <xf numFmtId="0" fontId="5" fillId="0" borderId="9" xfId="4" applyFill="1" applyBorder="1" applyProtection="1"/>
    <xf numFmtId="0" fontId="6" fillId="0" borderId="0" xfId="4" applyFont="1" applyFill="1" applyBorder="1" applyProtection="1"/>
    <xf numFmtId="0" fontId="7" fillId="0" borderId="0" xfId="4" applyFont="1" applyFill="1" applyBorder="1" applyProtection="1"/>
    <xf numFmtId="0" fontId="8" fillId="0" borderId="0" xfId="4" applyFont="1" applyFill="1" applyBorder="1" applyProtection="1"/>
    <xf numFmtId="0" fontId="9" fillId="2" borderId="5" xfId="4" applyFont="1" applyFill="1" applyBorder="1" applyProtection="1"/>
    <xf numFmtId="0" fontId="9" fillId="2" borderId="6" xfId="4" applyFont="1" applyFill="1" applyBorder="1" applyProtection="1"/>
    <xf numFmtId="0" fontId="11" fillId="2" borderId="6" xfId="4" applyFont="1" applyFill="1" applyBorder="1" applyProtection="1"/>
    <xf numFmtId="0" fontId="9" fillId="2" borderId="7" xfId="4" applyFont="1" applyFill="1" applyBorder="1" applyProtection="1"/>
    <xf numFmtId="0" fontId="9" fillId="2" borderId="8" xfId="4" applyFont="1" applyFill="1" applyBorder="1" applyProtection="1"/>
    <xf numFmtId="0" fontId="9" fillId="2" borderId="0" xfId="4" applyFont="1" applyFill="1" applyBorder="1" applyProtection="1"/>
    <xf numFmtId="0" fontId="11" fillId="2" borderId="0" xfId="4" applyFont="1" applyFill="1" applyBorder="1" applyProtection="1"/>
    <xf numFmtId="0" fontId="9" fillId="2" borderId="9" xfId="4" applyFont="1" applyFill="1" applyBorder="1" applyProtection="1"/>
    <xf numFmtId="0" fontId="9" fillId="2" borderId="10" xfId="4" applyFont="1" applyFill="1" applyBorder="1" applyProtection="1"/>
    <xf numFmtId="0" fontId="9" fillId="2" borderId="11" xfId="4" applyFont="1" applyFill="1" applyBorder="1" applyProtection="1"/>
    <xf numFmtId="0" fontId="9" fillId="2" borderId="12" xfId="4" applyFont="1" applyFill="1" applyBorder="1" applyProtection="1"/>
    <xf numFmtId="0" fontId="9" fillId="0" borderId="8" xfId="4" applyFont="1" applyFill="1" applyBorder="1" applyProtection="1"/>
    <xf numFmtId="0" fontId="9" fillId="0" borderId="0" xfId="4" applyFont="1" applyFill="1" applyBorder="1" applyProtection="1"/>
    <xf numFmtId="0" fontId="9" fillId="0" borderId="9" xfId="4" applyFont="1" applyFill="1" applyBorder="1" applyProtection="1"/>
    <xf numFmtId="0" fontId="11" fillId="0" borderId="0" xfId="4" applyFont="1" applyFill="1" applyBorder="1" applyProtection="1"/>
    <xf numFmtId="0" fontId="12" fillId="0" borderId="0" xfId="3" applyFont="1" applyFill="1" applyBorder="1" applyProtection="1"/>
    <xf numFmtId="0" fontId="13" fillId="0" borderId="0" xfId="4" applyFont="1" applyFill="1" applyBorder="1" applyProtection="1"/>
    <xf numFmtId="0" fontId="5" fillId="0" borderId="10" xfId="4" applyFill="1" applyBorder="1" applyProtection="1"/>
    <xf numFmtId="0" fontId="5" fillId="0" borderId="11" xfId="4" applyFill="1" applyBorder="1" applyProtection="1"/>
    <xf numFmtId="0" fontId="5" fillId="0" borderId="12" xfId="4" applyFill="1" applyBorder="1" applyProtection="1"/>
    <xf numFmtId="0" fontId="14" fillId="5" borderId="1" xfId="0" applyFont="1" applyFill="1" applyBorder="1" applyAlignment="1" applyProtection="1"/>
    <xf numFmtId="0" fontId="4" fillId="0" borderId="0" xfId="0" applyFont="1"/>
    <xf numFmtId="0" fontId="4" fillId="3" borderId="16" xfId="0" applyFont="1" applyFill="1" applyBorder="1" applyAlignment="1">
      <alignment horizontal="left"/>
    </xf>
    <xf numFmtId="0" fontId="14" fillId="5" borderId="1" xfId="3" applyFont="1" applyFill="1" applyBorder="1" applyAlignment="1">
      <alignment vertical="center" wrapText="1"/>
    </xf>
    <xf numFmtId="0" fontId="4" fillId="3" borderId="18" xfId="0" applyFont="1" applyFill="1" applyBorder="1" applyAlignment="1">
      <alignment horizontal="left"/>
    </xf>
    <xf numFmtId="0" fontId="4" fillId="4" borderId="1" xfId="0" applyFont="1" applyFill="1" applyBorder="1"/>
    <xf numFmtId="2" fontId="4" fillId="4" borderId="1" xfId="0" applyNumberFormat="1" applyFont="1" applyFill="1" applyBorder="1" applyAlignment="1">
      <alignment horizontal="center"/>
    </xf>
    <xf numFmtId="0" fontId="14" fillId="5" borderId="1" xfId="0" applyFont="1" applyFill="1" applyBorder="1" applyAlignment="1" applyProtection="1">
      <alignment horizontal="center"/>
    </xf>
    <xf numFmtId="0" fontId="4" fillId="4" borderId="1" xfId="0" applyFont="1" applyFill="1" applyBorder="1" applyAlignment="1">
      <alignment horizontal="right"/>
    </xf>
    <xf numFmtId="0" fontId="14" fillId="5" borderId="1" xfId="0" applyFont="1" applyFill="1" applyBorder="1" applyAlignment="1" applyProtection="1">
      <alignment horizontal="left"/>
    </xf>
    <xf numFmtId="2" fontId="14" fillId="5" borderId="1" xfId="0" applyNumberFormat="1" applyFont="1" applyFill="1" applyBorder="1" applyAlignment="1" applyProtection="1">
      <alignment horizontal="center"/>
    </xf>
    <xf numFmtId="0" fontId="20" fillId="0" borderId="0" xfId="3" applyNumberFormat="1" applyFont="1"/>
    <xf numFmtId="2" fontId="20" fillId="0" borderId="0" xfId="3" applyNumberFormat="1" applyFont="1"/>
    <xf numFmtId="0" fontId="21" fillId="0" borderId="0" xfId="0" applyFont="1" applyAlignment="1">
      <alignment vertical="center" wrapText="1"/>
    </xf>
    <xf numFmtId="0" fontId="0" fillId="0" borderId="0" xfId="0" applyAlignment="1">
      <alignment wrapText="1"/>
    </xf>
    <xf numFmtId="0" fontId="3" fillId="0" borderId="0" xfId="3" applyAlignment="1">
      <alignment wrapText="1"/>
    </xf>
    <xf numFmtId="0" fontId="4" fillId="4" borderId="1" xfId="0" applyFont="1" applyFill="1" applyBorder="1" applyAlignment="1">
      <alignment horizontal="left"/>
    </xf>
    <xf numFmtId="0" fontId="4" fillId="4" borderId="2" xfId="0" applyFont="1" applyFill="1" applyBorder="1" applyAlignment="1">
      <alignment horizontal="center"/>
    </xf>
    <xf numFmtId="0" fontId="4" fillId="4" borderId="4" xfId="0" applyFont="1" applyFill="1" applyBorder="1" applyAlignment="1">
      <alignment horizontal="center"/>
    </xf>
    <xf numFmtId="0" fontId="4" fillId="4" borderId="3" xfId="0" applyFont="1" applyFill="1" applyBorder="1" applyAlignment="1">
      <alignment horizontal="center"/>
    </xf>
    <xf numFmtId="0" fontId="4" fillId="8" borderId="1" xfId="0" applyFont="1" applyFill="1" applyBorder="1" applyAlignment="1">
      <alignment horizontal="center"/>
    </xf>
    <xf numFmtId="0" fontId="14" fillId="5" borderId="2" xfId="0" applyFont="1" applyFill="1" applyBorder="1" applyAlignment="1" applyProtection="1">
      <alignment horizontal="center"/>
    </xf>
    <xf numFmtId="0" fontId="14" fillId="5" borderId="3" xfId="0" applyFont="1" applyFill="1" applyBorder="1" applyAlignment="1" applyProtection="1">
      <alignment horizontal="center"/>
    </xf>
    <xf numFmtId="0" fontId="15" fillId="5" borderId="2" xfId="3" applyFont="1" applyFill="1" applyBorder="1" applyAlignment="1">
      <alignment horizontal="center" vertical="center" wrapText="1"/>
    </xf>
    <xf numFmtId="0" fontId="15" fillId="5" borderId="3" xfId="3" applyFont="1" applyFill="1" applyBorder="1" applyAlignment="1">
      <alignment horizontal="center" vertical="center" wrapText="1"/>
    </xf>
    <xf numFmtId="0" fontId="4" fillId="7" borderId="13" xfId="0" applyFont="1" applyFill="1" applyBorder="1" applyAlignment="1">
      <alignment horizontal="center"/>
    </xf>
    <xf numFmtId="0" fontId="4" fillId="7" borderId="14" xfId="0" applyFont="1" applyFill="1" applyBorder="1" applyAlignment="1">
      <alignment horizontal="center"/>
    </xf>
    <xf numFmtId="0" fontId="4" fillId="7" borderId="15" xfId="0" applyFont="1" applyFill="1" applyBorder="1" applyAlignment="1">
      <alignment horizontal="center"/>
    </xf>
    <xf numFmtId="0" fontId="14" fillId="5" borderId="4" xfId="0" applyFont="1" applyFill="1" applyBorder="1" applyAlignment="1" applyProtection="1">
      <alignment horizontal="center"/>
    </xf>
    <xf numFmtId="0" fontId="14" fillId="5" borderId="2" xfId="3" applyFont="1" applyFill="1" applyBorder="1" applyAlignment="1">
      <alignment horizontal="center" vertical="center" wrapText="1"/>
    </xf>
    <xf numFmtId="0" fontId="14" fillId="5" borderId="3" xfId="3" applyFont="1" applyFill="1" applyBorder="1" applyAlignment="1">
      <alignment horizontal="center" vertical="center" wrapText="1"/>
    </xf>
    <xf numFmtId="0" fontId="4" fillId="0" borderId="0" xfId="0" applyFont="1" applyFill="1" applyBorder="1" applyAlignment="1">
      <alignment horizontal="center"/>
    </xf>
    <xf numFmtId="0" fontId="4" fillId="6" borderId="1" xfId="0" applyFont="1" applyFill="1" applyBorder="1" applyAlignment="1" applyProtection="1">
      <alignment horizontal="center"/>
      <protection locked="0"/>
    </xf>
    <xf numFmtId="164" fontId="4" fillId="3" borderId="1" xfId="0" applyNumberFormat="1" applyFont="1" applyFill="1" applyBorder="1" applyAlignment="1" applyProtection="1">
      <alignment horizontal="center"/>
      <protection locked="0"/>
    </xf>
    <xf numFmtId="164" fontId="4" fillId="3" borderId="17" xfId="0" applyNumberFormat="1" applyFont="1" applyFill="1" applyBorder="1" applyAlignment="1" applyProtection="1">
      <alignment horizontal="center"/>
      <protection locked="0"/>
    </xf>
    <xf numFmtId="2" fontId="4" fillId="3" borderId="1" xfId="0" applyNumberFormat="1" applyFont="1" applyFill="1" applyBorder="1" applyAlignment="1" applyProtection="1">
      <alignment horizontal="center"/>
      <protection locked="0"/>
    </xf>
    <xf numFmtId="2" fontId="4" fillId="3" borderId="17" xfId="0" applyNumberFormat="1" applyFont="1" applyFill="1" applyBorder="1" applyAlignment="1" applyProtection="1">
      <alignment horizontal="center"/>
      <protection locked="0"/>
    </xf>
    <xf numFmtId="1" fontId="4" fillId="3" borderId="19" xfId="0" applyNumberFormat="1" applyFont="1" applyFill="1" applyBorder="1" applyAlignment="1" applyProtection="1">
      <alignment horizontal="center"/>
      <protection locked="0"/>
    </xf>
    <xf numFmtId="1" fontId="4" fillId="3" borderId="20" xfId="0" applyNumberFormat="1" applyFont="1" applyFill="1" applyBorder="1" applyAlignment="1" applyProtection="1">
      <alignment horizontal="center"/>
      <protection locked="0"/>
    </xf>
  </cellXfs>
  <cellStyles count="5">
    <cellStyle name="Hyperlink" xfId="3" builtinId="8"/>
    <cellStyle name="Normal" xfId="0" builtinId="0"/>
    <cellStyle name="Normal 2" xfId="4" xr:uid="{D3F152FF-56FB-47F9-AE36-9531931FCD1C}"/>
    <cellStyle name="Normal 2 2" xfId="2" xr:uid="{C4AF3413-0CE5-4198-BEA6-F2FB5AE8B04B}"/>
    <cellStyle name="Normal 3 2 3" xfId="1" xr:uid="{EE11D061-53A7-4BCE-9AC5-157A4B14EAE7}"/>
  </cellStyles>
  <dxfs count="16">
    <dxf>
      <numFmt numFmtId="0" formatCode="General"/>
    </dxf>
    <dxf>
      <numFmt numFmtId="2" formatCode="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minor"/>
      </font>
      <numFmt numFmtId="0" formatCode="General"/>
    </dxf>
    <dxf>
      <font>
        <strike val="0"/>
        <outline val="0"/>
        <shadow val="0"/>
        <u val="none"/>
        <vertAlign val="baseline"/>
        <sz val="11"/>
        <color auto="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DE9D9"/>
      <color rgb="FFE4DFEC"/>
      <color rgb="FFE4E8EC"/>
      <color rgb="FFDA9694"/>
      <color rgb="FFFF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070712087708245E-2"/>
          <c:y val="2.8601685372452498E-2"/>
          <c:w val="0.56726383625207066"/>
          <c:h val="0.8239312278355706"/>
        </c:manualLayout>
      </c:layout>
      <c:scatterChart>
        <c:scatterStyle val="lineMarker"/>
        <c:varyColors val="0"/>
        <c:ser>
          <c:idx val="3"/>
          <c:order val="0"/>
          <c:tx>
            <c:v>FET1 Datasheet SOA</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'SOA Estimator'!$F$7:$F$8</c:f>
              <c:numCache>
                <c:formatCode>General</c:formatCode>
                <c:ptCount val="2"/>
                <c:pt idx="0">
                  <c:v>100</c:v>
                </c:pt>
                <c:pt idx="1">
                  <c:v>10</c:v>
                </c:pt>
              </c:numCache>
            </c:numRef>
          </c:xVal>
          <c:yVal>
            <c:numRef>
              <c:f>'SOA Estimator'!$G$7:$G$8</c:f>
              <c:numCache>
                <c:formatCode>0.00</c:formatCode>
                <c:ptCount val="2"/>
                <c:pt idx="0">
                  <c:v>0</c:v>
                </c:pt>
                <c:pt idx="1">
                  <c:v>0</c:v>
                </c:pt>
              </c:numCache>
            </c:numRef>
          </c:yVal>
          <c:smooth val="0"/>
          <c:extLst>
            <c:ext xmlns:c16="http://schemas.microsoft.com/office/drawing/2014/chart" uri="{C3380CC4-5D6E-409C-BE32-E72D297353CC}">
              <c16:uniqueId val="{00000001-A25D-4CAF-B3B4-4D267D2E5B3D}"/>
            </c:ext>
          </c:extLst>
        </c:ser>
        <c:ser>
          <c:idx val="0"/>
          <c:order val="1"/>
          <c:tx>
            <c:strRef>
              <c:f>'SOA Estimator'!$E$13:$F$13</c:f>
              <c:strCache>
                <c:ptCount val="1"/>
                <c:pt idx="0">
                  <c:v>FET1 SOA @ TC = 25°C (A)</c:v>
                </c:pt>
              </c:strCache>
            </c:strRef>
          </c:tx>
          <c:spPr>
            <a:ln w="19050" cap="rnd">
              <a:noFill/>
              <a:round/>
            </a:ln>
            <a:effectLst/>
          </c:spPr>
          <c:marker>
            <c:symbol val="triangle"/>
            <c:size val="5"/>
            <c:spPr>
              <a:solidFill>
                <a:schemeClr val="accent1"/>
              </a:solidFill>
              <a:ln w="9525">
                <a:solidFill>
                  <a:schemeClr val="accent1"/>
                </a:solidFill>
              </a:ln>
              <a:effectLst/>
            </c:spPr>
          </c:marker>
          <c:xVal>
            <c:numRef>
              <c:f>'SOA Estimator'!$B$3:$C$3</c:f>
              <c:numCache>
                <c:formatCode>0.00</c:formatCode>
                <c:ptCount val="2"/>
                <c:pt idx="0">
                  <c:v>20</c:v>
                </c:pt>
              </c:numCache>
            </c:numRef>
          </c:xVal>
          <c:yVal>
            <c:numRef>
              <c:f>'SOA Estimator'!$G$13</c:f>
              <c:numCache>
                <c:formatCode>0.00</c:formatCode>
                <c:ptCount val="1"/>
                <c:pt idx="0">
                  <c:v>0</c:v>
                </c:pt>
              </c:numCache>
            </c:numRef>
          </c:yVal>
          <c:smooth val="0"/>
          <c:extLst>
            <c:ext xmlns:c16="http://schemas.microsoft.com/office/drawing/2014/chart" uri="{C3380CC4-5D6E-409C-BE32-E72D297353CC}">
              <c16:uniqueId val="{00000001-FD9D-48B6-BAB8-9A1B8FCEAF81}"/>
            </c:ext>
          </c:extLst>
        </c:ser>
        <c:ser>
          <c:idx val="1"/>
          <c:order val="2"/>
          <c:tx>
            <c:strRef>
              <c:f>'SOA Estimator'!$E$14:$F$14</c:f>
              <c:strCache>
                <c:ptCount val="1"/>
                <c:pt idx="0">
                  <c:v>FET1 Derated SOA @ TC = 50°C (A)</c:v>
                </c:pt>
              </c:strCache>
            </c:strRef>
          </c:tx>
          <c:spPr>
            <a:ln w="19050" cap="rnd">
              <a:noFill/>
              <a:round/>
            </a:ln>
            <a:effectLst/>
          </c:spPr>
          <c:marker>
            <c:symbol val="diamond"/>
            <c:size val="5"/>
            <c:spPr>
              <a:solidFill>
                <a:schemeClr val="accent1"/>
              </a:solidFill>
              <a:ln w="9525">
                <a:solidFill>
                  <a:schemeClr val="accent1"/>
                </a:solidFill>
              </a:ln>
              <a:effectLst/>
            </c:spPr>
          </c:marker>
          <c:xVal>
            <c:numRef>
              <c:f>'SOA Estimator'!$B$3:$C$3</c:f>
              <c:numCache>
                <c:formatCode>0.00</c:formatCode>
                <c:ptCount val="2"/>
                <c:pt idx="0">
                  <c:v>20</c:v>
                </c:pt>
              </c:numCache>
            </c:numRef>
          </c:xVal>
          <c:yVal>
            <c:numRef>
              <c:f>'SOA Estimator'!$G$14</c:f>
              <c:numCache>
                <c:formatCode>0.00</c:formatCode>
                <c:ptCount val="1"/>
                <c:pt idx="0">
                  <c:v>0</c:v>
                </c:pt>
              </c:numCache>
            </c:numRef>
          </c:yVal>
          <c:smooth val="0"/>
          <c:extLst>
            <c:ext xmlns:c16="http://schemas.microsoft.com/office/drawing/2014/chart" uri="{C3380CC4-5D6E-409C-BE32-E72D297353CC}">
              <c16:uniqueId val="{00000002-FD9D-48B6-BAB8-9A1B8FCEAF81}"/>
            </c:ext>
          </c:extLst>
        </c:ser>
        <c:ser>
          <c:idx val="2"/>
          <c:order val="3"/>
          <c:tx>
            <c:v>FET2 Datasheet SOA</c:v>
          </c:tx>
          <c:spPr>
            <a:ln w="19050" cap="rnd">
              <a:solidFill>
                <a:srgbClr val="002060"/>
              </a:solidFill>
              <a:round/>
            </a:ln>
            <a:effectLst/>
          </c:spPr>
          <c:marker>
            <c:symbol val="circle"/>
            <c:size val="5"/>
            <c:spPr>
              <a:solidFill>
                <a:srgbClr val="002060"/>
              </a:solidFill>
              <a:ln w="9525">
                <a:solidFill>
                  <a:srgbClr val="002060"/>
                </a:solidFill>
              </a:ln>
              <a:effectLst/>
            </c:spPr>
          </c:marker>
          <c:xVal>
            <c:numRef>
              <c:f>'SOA Estimator'!$I$7:$I$8</c:f>
              <c:numCache>
                <c:formatCode>General</c:formatCode>
                <c:ptCount val="2"/>
                <c:pt idx="0">
                  <c:v>100</c:v>
                </c:pt>
                <c:pt idx="1">
                  <c:v>10</c:v>
                </c:pt>
              </c:numCache>
            </c:numRef>
          </c:xVal>
          <c:yVal>
            <c:numRef>
              <c:f>'SOA Estimator'!$J$7:$J$8</c:f>
              <c:numCache>
                <c:formatCode>0.00</c:formatCode>
                <c:ptCount val="2"/>
                <c:pt idx="0">
                  <c:v>0</c:v>
                </c:pt>
                <c:pt idx="1">
                  <c:v>0</c:v>
                </c:pt>
              </c:numCache>
            </c:numRef>
          </c:yVal>
          <c:smooth val="0"/>
          <c:extLst>
            <c:ext xmlns:c16="http://schemas.microsoft.com/office/drawing/2014/chart" uri="{C3380CC4-5D6E-409C-BE32-E72D297353CC}">
              <c16:uniqueId val="{00000004-FD9D-48B6-BAB8-9A1B8FCEAF81}"/>
            </c:ext>
          </c:extLst>
        </c:ser>
        <c:ser>
          <c:idx val="4"/>
          <c:order val="4"/>
          <c:tx>
            <c:strRef>
              <c:f>'SOA Estimator'!$H$13:$I$13</c:f>
              <c:strCache>
                <c:ptCount val="1"/>
                <c:pt idx="0">
                  <c:v>FET2 SOA @ TC = 25°C (A)</c:v>
                </c:pt>
              </c:strCache>
            </c:strRef>
          </c:tx>
          <c:spPr>
            <a:ln w="19050" cap="rnd">
              <a:noFill/>
              <a:round/>
            </a:ln>
            <a:effectLst/>
          </c:spPr>
          <c:marker>
            <c:symbol val="triangle"/>
            <c:size val="5"/>
            <c:spPr>
              <a:solidFill>
                <a:srgbClr val="002060"/>
              </a:solidFill>
              <a:ln w="9525">
                <a:solidFill>
                  <a:srgbClr val="002060"/>
                </a:solidFill>
              </a:ln>
              <a:effectLst/>
            </c:spPr>
          </c:marker>
          <c:xVal>
            <c:numRef>
              <c:f>'SOA Estimator'!$B$3:$C$3</c:f>
              <c:numCache>
                <c:formatCode>0.00</c:formatCode>
                <c:ptCount val="2"/>
                <c:pt idx="0">
                  <c:v>20</c:v>
                </c:pt>
              </c:numCache>
            </c:numRef>
          </c:xVal>
          <c:yVal>
            <c:numRef>
              <c:f>'SOA Estimator'!$J$13</c:f>
              <c:numCache>
                <c:formatCode>0.00</c:formatCode>
                <c:ptCount val="1"/>
                <c:pt idx="0">
                  <c:v>0</c:v>
                </c:pt>
              </c:numCache>
            </c:numRef>
          </c:yVal>
          <c:smooth val="0"/>
          <c:extLst>
            <c:ext xmlns:c16="http://schemas.microsoft.com/office/drawing/2014/chart" uri="{C3380CC4-5D6E-409C-BE32-E72D297353CC}">
              <c16:uniqueId val="{00000005-FD9D-48B6-BAB8-9A1B8FCEAF81}"/>
            </c:ext>
          </c:extLst>
        </c:ser>
        <c:ser>
          <c:idx val="5"/>
          <c:order val="5"/>
          <c:tx>
            <c:strRef>
              <c:f>'SOA Estimator'!$H$14:$I$14</c:f>
              <c:strCache>
                <c:ptCount val="1"/>
                <c:pt idx="0">
                  <c:v>FET2 Derated SOA @ TC = 50°C (A)</c:v>
                </c:pt>
              </c:strCache>
            </c:strRef>
          </c:tx>
          <c:spPr>
            <a:ln w="19050" cap="rnd">
              <a:noFill/>
              <a:round/>
            </a:ln>
            <a:effectLst/>
          </c:spPr>
          <c:marker>
            <c:symbol val="diamond"/>
            <c:size val="5"/>
            <c:spPr>
              <a:solidFill>
                <a:srgbClr val="002060"/>
              </a:solidFill>
              <a:ln w="9525">
                <a:solidFill>
                  <a:srgbClr val="002060"/>
                </a:solidFill>
              </a:ln>
              <a:effectLst/>
            </c:spPr>
          </c:marker>
          <c:xVal>
            <c:numRef>
              <c:f>'SOA Estimator'!$B$3:$C$3</c:f>
              <c:numCache>
                <c:formatCode>0.00</c:formatCode>
                <c:ptCount val="2"/>
                <c:pt idx="0">
                  <c:v>20</c:v>
                </c:pt>
              </c:numCache>
            </c:numRef>
          </c:xVal>
          <c:yVal>
            <c:numRef>
              <c:f>'SOA Estimator'!$J$14</c:f>
              <c:numCache>
                <c:formatCode>0.00</c:formatCode>
                <c:ptCount val="1"/>
                <c:pt idx="0">
                  <c:v>0</c:v>
                </c:pt>
              </c:numCache>
            </c:numRef>
          </c:yVal>
          <c:smooth val="0"/>
          <c:extLst>
            <c:ext xmlns:c16="http://schemas.microsoft.com/office/drawing/2014/chart" uri="{C3380CC4-5D6E-409C-BE32-E72D297353CC}">
              <c16:uniqueId val="{00000006-FD9D-48B6-BAB8-9A1B8FCEAF81}"/>
            </c:ext>
          </c:extLst>
        </c:ser>
        <c:ser>
          <c:idx val="6"/>
          <c:order val="6"/>
          <c:tx>
            <c:v>FET3 Datasheet SOA</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'SOA Estimator'!$L$7:$L$8</c:f>
              <c:numCache>
                <c:formatCode>General</c:formatCode>
                <c:ptCount val="2"/>
                <c:pt idx="0">
                  <c:v>100</c:v>
                </c:pt>
                <c:pt idx="1">
                  <c:v>10</c:v>
                </c:pt>
              </c:numCache>
            </c:numRef>
          </c:xVal>
          <c:yVal>
            <c:numRef>
              <c:f>'SOA Estimator'!$M$7:$M$8</c:f>
              <c:numCache>
                <c:formatCode>0.00</c:formatCode>
                <c:ptCount val="2"/>
                <c:pt idx="0">
                  <c:v>0</c:v>
                </c:pt>
                <c:pt idx="1">
                  <c:v>0</c:v>
                </c:pt>
              </c:numCache>
            </c:numRef>
          </c:yVal>
          <c:smooth val="0"/>
          <c:extLst>
            <c:ext xmlns:c16="http://schemas.microsoft.com/office/drawing/2014/chart" uri="{C3380CC4-5D6E-409C-BE32-E72D297353CC}">
              <c16:uniqueId val="{00000007-FD9D-48B6-BAB8-9A1B8FCEAF81}"/>
            </c:ext>
          </c:extLst>
        </c:ser>
        <c:ser>
          <c:idx val="7"/>
          <c:order val="7"/>
          <c:tx>
            <c:strRef>
              <c:f>'SOA Estimator'!$K$13:$L$13</c:f>
              <c:strCache>
                <c:ptCount val="1"/>
                <c:pt idx="0">
                  <c:v>FET3 SOA @ TC = 25°C (A)</c:v>
                </c:pt>
              </c:strCache>
            </c:strRef>
          </c:tx>
          <c:spPr>
            <a:ln w="19050" cap="rnd">
              <a:noFill/>
              <a:round/>
            </a:ln>
            <a:effectLst/>
          </c:spPr>
          <c:marker>
            <c:symbol val="triangle"/>
            <c:size val="5"/>
            <c:spPr>
              <a:solidFill>
                <a:srgbClr val="C00000"/>
              </a:solidFill>
              <a:ln w="9525">
                <a:solidFill>
                  <a:srgbClr val="C00000"/>
                </a:solidFill>
              </a:ln>
              <a:effectLst/>
            </c:spPr>
          </c:marker>
          <c:xVal>
            <c:numRef>
              <c:f>'SOA Estimator'!$B$3:$C$3</c:f>
              <c:numCache>
                <c:formatCode>0.00</c:formatCode>
                <c:ptCount val="2"/>
                <c:pt idx="0">
                  <c:v>20</c:v>
                </c:pt>
              </c:numCache>
            </c:numRef>
          </c:xVal>
          <c:yVal>
            <c:numRef>
              <c:f>'SOA Estimator'!$M$13</c:f>
              <c:numCache>
                <c:formatCode>0.00</c:formatCode>
                <c:ptCount val="1"/>
                <c:pt idx="0">
                  <c:v>0</c:v>
                </c:pt>
              </c:numCache>
            </c:numRef>
          </c:yVal>
          <c:smooth val="0"/>
          <c:extLst>
            <c:ext xmlns:c16="http://schemas.microsoft.com/office/drawing/2014/chart" uri="{C3380CC4-5D6E-409C-BE32-E72D297353CC}">
              <c16:uniqueId val="{00000008-FD9D-48B6-BAB8-9A1B8FCEAF81}"/>
            </c:ext>
          </c:extLst>
        </c:ser>
        <c:ser>
          <c:idx val="8"/>
          <c:order val="8"/>
          <c:tx>
            <c:strRef>
              <c:f>'SOA Estimator'!$K$14:$L$14</c:f>
              <c:strCache>
                <c:ptCount val="1"/>
                <c:pt idx="0">
                  <c:v>FET3 Derated SOA @ TC = 50°C (A)</c:v>
                </c:pt>
              </c:strCache>
            </c:strRef>
          </c:tx>
          <c:spPr>
            <a:ln w="19050" cap="rnd">
              <a:noFill/>
              <a:round/>
            </a:ln>
            <a:effectLst/>
          </c:spPr>
          <c:marker>
            <c:symbol val="diamond"/>
            <c:size val="5"/>
            <c:spPr>
              <a:solidFill>
                <a:srgbClr val="C00000"/>
              </a:solidFill>
              <a:ln w="9525">
                <a:solidFill>
                  <a:srgbClr val="C00000"/>
                </a:solidFill>
              </a:ln>
              <a:effectLst/>
            </c:spPr>
          </c:marker>
          <c:xVal>
            <c:numRef>
              <c:f>'SOA Estimator'!$B$3:$C$3</c:f>
              <c:numCache>
                <c:formatCode>0.00</c:formatCode>
                <c:ptCount val="2"/>
                <c:pt idx="0">
                  <c:v>20</c:v>
                </c:pt>
              </c:numCache>
            </c:numRef>
          </c:xVal>
          <c:yVal>
            <c:numRef>
              <c:f>'SOA Estimator'!$M$14</c:f>
              <c:numCache>
                <c:formatCode>0.00</c:formatCode>
                <c:ptCount val="1"/>
                <c:pt idx="0">
                  <c:v>0</c:v>
                </c:pt>
              </c:numCache>
            </c:numRef>
          </c:yVal>
          <c:smooth val="0"/>
          <c:extLst>
            <c:ext xmlns:c16="http://schemas.microsoft.com/office/drawing/2014/chart" uri="{C3380CC4-5D6E-409C-BE32-E72D297353CC}">
              <c16:uniqueId val="{00000009-FD9D-48B6-BAB8-9A1B8FCEAF81}"/>
            </c:ext>
          </c:extLst>
        </c:ser>
        <c:dLbls>
          <c:showLegendKey val="0"/>
          <c:showVal val="0"/>
          <c:showCatName val="0"/>
          <c:showSerName val="0"/>
          <c:showPercent val="0"/>
          <c:showBubbleSize val="0"/>
        </c:dLbls>
        <c:axId val="1435012559"/>
        <c:axId val="1283675055"/>
        <c:extLst/>
      </c:scatterChart>
      <c:valAx>
        <c:axId val="1435012559"/>
        <c:scaling>
          <c:logBase val="10"/>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Pulse</a:t>
                </a:r>
                <a:r>
                  <a:rPr lang="en-US" baseline="0">
                    <a:solidFill>
                      <a:schemeClr val="tx1"/>
                    </a:solidFill>
                  </a:rPr>
                  <a:t> Width (ms)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cross"/>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83675055"/>
        <c:crosses val="autoZero"/>
        <c:crossBetween val="midCat"/>
      </c:valAx>
      <c:valAx>
        <c:axId val="1283675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SOA Current</a:t>
                </a:r>
                <a:r>
                  <a:rPr lang="en-US" baseline="0">
                    <a:solidFill>
                      <a:schemeClr val="tx1"/>
                    </a:solidFill>
                  </a:rPr>
                  <a:t> (A)</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cross"/>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5012559"/>
        <c:crosses val="autoZero"/>
        <c:crossBetween val="midCat"/>
      </c:valAx>
      <c:spPr>
        <a:noFill/>
        <a:ln>
          <a:solidFill>
            <a:schemeClr val="tx1"/>
          </a:solidFill>
        </a:ln>
        <a:effectLst/>
      </c:spPr>
    </c:plotArea>
    <c:legend>
      <c:legendPos val="r"/>
      <c:layout>
        <c:manualLayout>
          <c:xMode val="edge"/>
          <c:yMode val="edge"/>
          <c:x val="0.59491002911907853"/>
          <c:y val="0.21222986408971217"/>
          <c:w val="0.40259069450623269"/>
          <c:h val="0.33541630984695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35278</xdr:colOff>
      <xdr:row>1</xdr:row>
      <xdr:rowOff>97719</xdr:rowOff>
    </xdr:from>
    <xdr:to>
      <xdr:col>15</xdr:col>
      <xdr:colOff>616303</xdr:colOff>
      <xdr:row>5</xdr:row>
      <xdr:rowOff>31044</xdr:rowOff>
    </xdr:to>
    <xdr:sp macro="" textlink="">
      <xdr:nvSpPr>
        <xdr:cNvPr id="2" name="Rectangle 1">
          <a:extLst>
            <a:ext uri="{FF2B5EF4-FFF2-40B4-BE49-F238E27FC236}">
              <a16:creationId xmlns:a16="http://schemas.microsoft.com/office/drawing/2014/main" id="{7514A45A-1074-478B-A099-25011D8CA6AD}"/>
            </a:ext>
          </a:extLst>
        </xdr:cNvPr>
        <xdr:cNvSpPr>
          <a:spLocks noChangeArrowheads="1"/>
        </xdr:cNvSpPr>
      </xdr:nvSpPr>
      <xdr:spPr bwMode="auto">
        <a:xfrm>
          <a:off x="35278" y="250119"/>
          <a:ext cx="10172700" cy="933450"/>
        </a:xfrm>
        <a:prstGeom prst="rect">
          <a:avLst/>
        </a:prstGeom>
        <a:solidFill>
          <a:srgbClr val="FFFFFF"/>
        </a:solidFill>
        <a:ln w="9525">
          <a:solidFill>
            <a:srgbClr val="000000"/>
          </a:solidFill>
          <a:miter lim="800000"/>
          <a:headEnd/>
          <a:tailEnd/>
        </a:ln>
      </xdr:spPr>
    </xdr:sp>
    <xdr:clientData/>
  </xdr:twoCellAnchor>
  <xdr:twoCellAnchor>
    <xdr:from>
      <xdr:col>1</xdr:col>
      <xdr:colOff>380999</xdr:colOff>
      <xdr:row>28</xdr:row>
      <xdr:rowOff>76200</xdr:rowOff>
    </xdr:from>
    <xdr:to>
      <xdr:col>12</xdr:col>
      <xdr:colOff>590549</xdr:colOff>
      <xdr:row>35</xdr:row>
      <xdr:rowOff>76200</xdr:rowOff>
    </xdr:to>
    <xdr:sp macro="" textlink="">
      <xdr:nvSpPr>
        <xdr:cNvPr id="3" name="Rectangle 2">
          <a:extLst>
            <a:ext uri="{FF2B5EF4-FFF2-40B4-BE49-F238E27FC236}">
              <a16:creationId xmlns:a16="http://schemas.microsoft.com/office/drawing/2014/main" id="{907FBE93-303B-477E-9DC4-0C41E82B0405}"/>
            </a:ext>
          </a:extLst>
        </xdr:cNvPr>
        <xdr:cNvSpPr>
          <a:spLocks noChangeArrowheads="1"/>
        </xdr:cNvSpPr>
      </xdr:nvSpPr>
      <xdr:spPr bwMode="auto">
        <a:xfrm>
          <a:off x="990599" y="6191250"/>
          <a:ext cx="7362825" cy="1276350"/>
        </a:xfrm>
        <a:prstGeom prst="rect">
          <a:avLst/>
        </a:prstGeom>
        <a:noFill/>
        <a:ln w="17145">
          <a:solidFill>
            <a:srgbClr val="000000"/>
          </a:solidFill>
          <a:miter lim="800000"/>
          <a:headEnd/>
          <a:tailEnd/>
        </a:ln>
      </xdr:spPr>
    </xdr:sp>
    <xdr:clientData/>
  </xdr:twoCellAnchor>
  <xdr:twoCellAnchor editAs="oneCell">
    <xdr:from>
      <xdr:col>0</xdr:col>
      <xdr:colOff>201611</xdr:colOff>
      <xdr:row>2</xdr:row>
      <xdr:rowOff>44450</xdr:rowOff>
    </xdr:from>
    <xdr:to>
      <xdr:col>9</xdr:col>
      <xdr:colOff>131761</xdr:colOff>
      <xdr:row>4</xdr:row>
      <xdr:rowOff>101600</xdr:rowOff>
    </xdr:to>
    <xdr:pic>
      <xdr:nvPicPr>
        <xdr:cNvPr id="4" name="Picture 3">
          <a:extLst>
            <a:ext uri="{FF2B5EF4-FFF2-40B4-BE49-F238E27FC236}">
              <a16:creationId xmlns:a16="http://schemas.microsoft.com/office/drawing/2014/main" id="{393293DD-88D9-41B4-B123-548060432133}"/>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1520" b="32986"/>
        <a:stretch/>
      </xdr:blipFill>
      <xdr:spPr bwMode="auto">
        <a:xfrm>
          <a:off x="201611" y="358775"/>
          <a:ext cx="5864225" cy="7334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605383</xdr:colOff>
      <xdr:row>13</xdr:row>
      <xdr:rowOff>187750</xdr:rowOff>
    </xdr:from>
    <xdr:to>
      <xdr:col>12</xdr:col>
      <xdr:colOff>600074</xdr:colOff>
      <xdr:row>33</xdr:row>
      <xdr:rowOff>38099</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4</xdr:row>
      <xdr:rowOff>19050</xdr:rowOff>
    </xdr:from>
    <xdr:to>
      <xdr:col>2</xdr:col>
      <xdr:colOff>987798</xdr:colOff>
      <xdr:row>5</xdr:row>
      <xdr:rowOff>224118</xdr:rowOff>
    </xdr:to>
    <xdr:sp macro="[0]!Module1.FET_List" textlink="">
      <xdr:nvSpPr>
        <xdr:cNvPr id="3" name="Rectangle: Rounded Corners 2">
          <a:extLst>
            <a:ext uri="{FF2B5EF4-FFF2-40B4-BE49-F238E27FC236}">
              <a16:creationId xmlns:a16="http://schemas.microsoft.com/office/drawing/2014/main" id="{DDBDACA9-1777-46C7-B2B6-3353D015F75A}"/>
            </a:ext>
          </a:extLst>
        </xdr:cNvPr>
        <xdr:cNvSpPr/>
      </xdr:nvSpPr>
      <xdr:spPr>
        <a:xfrm>
          <a:off x="19050" y="933450"/>
          <a:ext cx="3464298" cy="433668"/>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Click Here to Sort</a:t>
          </a:r>
          <a:r>
            <a:rPr lang="en-US" sz="1100" b="1" baseline="0">
              <a:solidFill>
                <a:sysClr val="windowText" lastClr="000000"/>
              </a:solidFill>
            </a:rPr>
            <a:t> FETS</a:t>
          </a:r>
          <a:endParaRPr lang="en-US" sz="1100" b="1">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274248/TI%20Drive/FET/Tools/BLDC%20Motor%20Drive/update/MOTOR-DRIVE-FET-LOSS-CALC_Rev2_09_14_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User Input"/>
      <sheetName val="Diagrams"/>
      <sheetName val="Equations"/>
      <sheetName val="Calculations"/>
      <sheetName val="Calculations2"/>
      <sheetName val="Calculations3"/>
      <sheetName val="FET Data"/>
      <sheetName val="Logic"/>
      <sheetName val="Logic2"/>
      <sheetName val="Logic3"/>
      <sheetName val="Ploss_Sync_FET1"/>
      <sheetName val="Ploss_Sync_FET2"/>
      <sheetName val="Ploss_Sync_FET3"/>
      <sheetName val="FET_List1"/>
      <sheetName val="FET_List2"/>
      <sheetName val="FET_List3"/>
    </sheetNames>
    <sheetDataSet>
      <sheetData sheetId="0"/>
      <sheetData sheetId="1">
        <row r="11">
          <cell r="F11" t="str">
            <v>Single Discrete</v>
          </cell>
          <cell r="G11" t="str">
            <v>Single Discrete</v>
          </cell>
          <cell r="H11" t="str">
            <v>Single Discrete</v>
          </cell>
        </row>
        <row r="12">
          <cell r="F12">
            <v>1</v>
          </cell>
          <cell r="G12">
            <v>1</v>
          </cell>
          <cell r="H12">
            <v>1</v>
          </cell>
        </row>
        <row r="13">
          <cell r="C13">
            <v>24</v>
          </cell>
        </row>
        <row r="14">
          <cell r="C14">
            <v>250</v>
          </cell>
        </row>
        <row r="15">
          <cell r="C15">
            <v>4</v>
          </cell>
          <cell r="F15" t="str">
            <v>0.98W, CSD17578Q3A, SON3x3, $0.15</v>
          </cell>
        </row>
        <row r="16">
          <cell r="C16">
            <v>3000</v>
          </cell>
        </row>
        <row r="17">
          <cell r="C17">
            <v>0.95</v>
          </cell>
        </row>
        <row r="18">
          <cell r="C18">
            <v>0.1</v>
          </cell>
        </row>
        <row r="19">
          <cell r="F19">
            <v>9.4</v>
          </cell>
          <cell r="G19" t="e">
            <v>#VALUE!</v>
          </cell>
          <cell r="H19" t="e">
            <v>#VALUE!</v>
          </cell>
        </row>
        <row r="20">
          <cell r="C20">
            <v>20</v>
          </cell>
          <cell r="F20">
            <v>7.9</v>
          </cell>
          <cell r="G20" t="e">
            <v>#VALUE!</v>
          </cell>
          <cell r="H20" t="e">
            <v>#VALUE!</v>
          </cell>
        </row>
        <row r="21">
          <cell r="C21">
            <v>6</v>
          </cell>
          <cell r="F21">
            <v>9.4</v>
          </cell>
          <cell r="G21" t="e">
            <v>#VALUE!</v>
          </cell>
          <cell r="H21" t="e">
            <v>#VALUE!</v>
          </cell>
        </row>
        <row r="22">
          <cell r="C22">
            <v>0.68</v>
          </cell>
        </row>
        <row r="23">
          <cell r="C23">
            <v>1</v>
          </cell>
        </row>
        <row r="24">
          <cell r="C24">
            <v>100</v>
          </cell>
        </row>
        <row r="25">
          <cell r="C25">
            <v>50</v>
          </cell>
        </row>
        <row r="27">
          <cell r="C27">
            <v>10.964912280701753</v>
          </cell>
        </row>
        <row r="28">
          <cell r="C28">
            <v>8.952813387365417</v>
          </cell>
        </row>
        <row r="29">
          <cell r="C29">
            <v>12.533938742311584</v>
          </cell>
        </row>
        <row r="30">
          <cell r="C30">
            <v>100</v>
          </cell>
        </row>
        <row r="31">
          <cell r="C31">
            <v>10.964912280701753</v>
          </cell>
        </row>
      </sheetData>
      <sheetData sheetId="2"/>
      <sheetData sheetId="3"/>
      <sheetData sheetId="4">
        <row r="2">
          <cell r="B2" t="str">
            <v>CSD17578Q3A</v>
          </cell>
          <cell r="C2" t="str">
            <v>CSD17578Q3A</v>
          </cell>
        </row>
        <row r="3">
          <cell r="H3">
            <v>0.51523434271336721</v>
          </cell>
        </row>
        <row r="4">
          <cell r="H4">
            <v>0.46596332886673503</v>
          </cell>
        </row>
        <row r="6">
          <cell r="B6">
            <v>1.7</v>
          </cell>
          <cell r="C6">
            <v>1.7</v>
          </cell>
        </row>
        <row r="7">
          <cell r="B7">
            <v>3.3</v>
          </cell>
          <cell r="C7">
            <v>3.3</v>
          </cell>
        </row>
        <row r="8">
          <cell r="B8">
            <v>1.7</v>
          </cell>
          <cell r="C8">
            <v>1.7</v>
          </cell>
        </row>
        <row r="9">
          <cell r="B9">
            <v>4.2</v>
          </cell>
        </row>
        <row r="10">
          <cell r="B10">
            <v>4.4000000000000004</v>
          </cell>
        </row>
        <row r="14">
          <cell r="B14">
            <v>10.715999999999999</v>
          </cell>
        </row>
        <row r="15">
          <cell r="F15">
            <v>1.0000000000000001E-9</v>
          </cell>
        </row>
        <row r="17">
          <cell r="B17">
            <v>2.5</v>
          </cell>
          <cell r="F17">
            <v>1E-3</v>
          </cell>
        </row>
        <row r="18">
          <cell r="B18">
            <v>10.715999999999999</v>
          </cell>
          <cell r="F18">
            <v>1000</v>
          </cell>
        </row>
        <row r="19">
          <cell r="B19">
            <v>0.8</v>
          </cell>
        </row>
        <row r="21">
          <cell r="B21">
            <v>2.5</v>
          </cell>
        </row>
      </sheetData>
      <sheetData sheetId="5">
        <row r="2">
          <cell r="B2" t="e">
            <v>#VALUE!</v>
          </cell>
          <cell r="C2" t="e">
            <v>#VALUE!</v>
          </cell>
        </row>
        <row r="6">
          <cell r="B6" t="e">
            <v>#VALUE!</v>
          </cell>
          <cell r="C6" t="e">
            <v>#VALUE!</v>
          </cell>
        </row>
        <row r="7">
          <cell r="B7" t="e">
            <v>#VALUE!</v>
          </cell>
          <cell r="C7" t="e">
            <v>#VALUE!</v>
          </cell>
        </row>
        <row r="8">
          <cell r="B8" t="e">
            <v>#VALUE!</v>
          </cell>
          <cell r="C8" t="e">
            <v>#VALUE!</v>
          </cell>
        </row>
        <row r="9">
          <cell r="B9" t="e">
            <v>#VALUE!</v>
          </cell>
        </row>
        <row r="10">
          <cell r="B10" t="e">
            <v>#VALUE!</v>
          </cell>
        </row>
        <row r="14">
          <cell r="B14" t="e">
            <v>#VALUE!</v>
          </cell>
        </row>
        <row r="17">
          <cell r="B17" t="e">
            <v>#VALUE!</v>
          </cell>
        </row>
        <row r="18">
          <cell r="B18" t="e">
            <v>#VALUE!</v>
          </cell>
        </row>
        <row r="19">
          <cell r="B19" t="e">
            <v>#VALUE!</v>
          </cell>
        </row>
      </sheetData>
      <sheetData sheetId="6">
        <row r="2">
          <cell r="B2" t="e">
            <v>#VALUE!</v>
          </cell>
          <cell r="C2" t="e">
            <v>#VALUE!</v>
          </cell>
        </row>
        <row r="6">
          <cell r="B6" t="e">
            <v>#VALUE!</v>
          </cell>
          <cell r="C6" t="e">
            <v>#VALUE!</v>
          </cell>
        </row>
        <row r="7">
          <cell r="B7" t="e">
            <v>#VALUE!</v>
          </cell>
          <cell r="C7" t="e">
            <v>#VALUE!</v>
          </cell>
        </row>
        <row r="8">
          <cell r="B8" t="e">
            <v>#VALUE!</v>
          </cell>
          <cell r="C8" t="e">
            <v>#VALUE!</v>
          </cell>
        </row>
        <row r="9">
          <cell r="B9" t="e">
            <v>#VALUE!</v>
          </cell>
        </row>
        <row r="10">
          <cell r="B10" t="e">
            <v>#VALUE!</v>
          </cell>
        </row>
        <row r="14">
          <cell r="B14" t="e">
            <v>#VALUE!</v>
          </cell>
        </row>
        <row r="17">
          <cell r="B17" t="e">
            <v>#VALUE!</v>
          </cell>
        </row>
        <row r="18">
          <cell r="B18" t="e">
            <v>#VALUE!</v>
          </cell>
        </row>
        <row r="19">
          <cell r="B19" t="e">
            <v>#VALUE!</v>
          </cell>
        </row>
      </sheetData>
      <sheetData sheetId="7"/>
      <sheetData sheetId="8">
        <row r="7">
          <cell r="AB7">
            <v>9.4</v>
          </cell>
        </row>
        <row r="15">
          <cell r="AB15">
            <v>9.4</v>
          </cell>
        </row>
      </sheetData>
      <sheetData sheetId="9">
        <row r="7">
          <cell r="I7" t="e">
            <v>#VALUE!</v>
          </cell>
        </row>
        <row r="15">
          <cell r="I15" t="e">
            <v>#VALUE!</v>
          </cell>
        </row>
      </sheetData>
      <sheetData sheetId="10">
        <row r="7">
          <cell r="I7" t="e">
            <v>#VALUE!</v>
          </cell>
        </row>
        <row r="15">
          <cell r="I15" t="e">
            <v>#VALUE!</v>
          </cell>
        </row>
      </sheetData>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AF44F0-F73F-4F31-A5C9-39F226892460}" name="FET_List" displayName="FET_List" ref="A1:Y38" totalsRowShown="0">
  <autoFilter ref="A1:Y38" xr:uid="{74A57A20-D4A1-467B-9B6A-31A252572397}"/>
  <sortState ref="A2:J38">
    <sortCondition ref="A1:A38"/>
  </sortState>
  <tableColumns count="25">
    <tableColumn id="1" xr3:uid="{B2A91D8D-5DEC-4B30-A1B6-3138C21BB1A4}" name="Part_Number"/>
    <tableColumn id="2" xr3:uid="{2EAD9BE2-399A-4296-9EFC-635CFE664910}" name="100"/>
    <tableColumn id="3" xr3:uid="{4AE21E45-363B-4DC2-843E-DACD0340BF0A}" name="10"/>
    <tableColumn id="4" xr3:uid="{8575904E-B3ED-4A66-B64D-9C694CF877F3}" name="1"/>
    <tableColumn id="5" xr3:uid="{81C4117F-1623-4DC1-959E-4AB51A5A5579}" name="0.1"/>
    <tableColumn id="6" xr3:uid="{80F053C7-0AAB-49E6-8407-DC7C12D09ACE}" name="0.01"/>
    <tableColumn id="7" xr3:uid="{7FB9209E-57DA-44E7-B477-40049EB69F21}" name="TJMAX"/>
    <tableColumn id="8" xr3:uid="{DB1CBFE1-63A4-477A-B925-F49E2E44DD24}" name="IDMAX"/>
    <tableColumn id="9" xr3:uid="{310A835F-5F0D-455E-B942-57EC9668902A}" name="VDSMAX"/>
    <tableColumn id="10" xr3:uid="{770DD179-4E1C-4521-91E9-AAC5A453753D}" name="BV=25&amp;30" dataDxfId="15">
      <calculatedColumnFormula>AND(FET_List[[#This Row],[VDSMAX]]&gt;VDS,VDS&lt;=24,FET_List[[#This Row],[VDSMAX]]&lt;=30)</calculatedColumnFormula>
    </tableColumn>
    <tableColumn id="15" xr3:uid="{83B4BE70-2329-4406-8BB5-9E420F79757B}" name="BV=30" dataDxfId="14">
      <calculatedColumnFormula>AND(FET_List[[#This Row],[VDSMAX]]&gt;VDS,VDS&lt;=28,FET_List[[#This Row],[VDSMAX]]=30)</calculatedColumnFormula>
    </tableColumn>
    <tableColumn id="12" xr3:uid="{5FEE6575-0C44-471F-AA40-6750636454DB}" name="BV=60" dataDxfId="13">
      <calculatedColumnFormula>AND(FET_List[[#This Row],[VDSMAX]]&gt;VDS,VDS&gt;24,VDS&lt;=56,FET_List[[#This Row],[VDSMAX]]=60)</calculatedColumnFormula>
    </tableColumn>
    <tableColumn id="13" xr3:uid="{412B2424-43D3-429A-A3C9-B0BCB0638B44}" name="BV=80" dataDxfId="12">
      <calculatedColumnFormula>AND(FET_List[[#This Row],[VDSMAX]]&gt;VDS,VDS&gt;=48,VDS&lt;=76,FET_List[[#This Row],[VDSMAX]]=80)</calculatedColumnFormula>
    </tableColumn>
    <tableColumn id="16" xr3:uid="{F3FC87D8-F468-4300-959B-BA7CD90D4C5D}" name="BV=100" dataDxfId="11">
      <calculatedColumnFormula>AND(FET_List[[#This Row],[VDSMAX]]&gt;VDS,VDS&gt;=48,VDS&lt;=96,FET_List[[#This Row],[VDSMAX]]=100)</calculatedColumnFormula>
    </tableColumn>
    <tableColumn id="14" xr3:uid="{709B8115-C99A-406D-8AE4-0D6BC7B56AFF}" name="In pulldown" dataDxfId="10">
      <calculatedColumnFormula>IF(OR(FET_List[[#This Row],[BV=25&amp;30]:[BV=100]]),FET_List[[#This Row],[Part_Number]],"")</calculatedColumnFormula>
    </tableColumn>
    <tableColumn id="20" xr3:uid="{63BB9C97-56D0-4A5A-B1E7-F0A583A5A5A8}" name="Datasheet link" dataDxfId="9"/>
    <tableColumn id="11" xr3:uid="{B69AD294-2866-4C9F-A45D-7A27E89DD392}" name="Package" dataDxfId="8"/>
    <tableColumn id="24" xr3:uid="{2E7EB06C-3EB7-4D61-A7ED-F32B5A227F06}" name="1ku" dataDxfId="7" dataCellStyle="Hyperlink"/>
    <tableColumn id="17" xr3:uid="{FFE78959-DB4C-4BC8-AA7B-8294855AE871}" name="SOA_T2" dataDxfId="6">
      <calculatedColumnFormula>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calculatedColumnFormula>
    </tableColumn>
    <tableColumn id="18" xr3:uid="{98DCF912-9056-458D-BBBF-B5D90DF792EA}" name="SOA_T1" dataDxfId="5">
      <calculatedColumnFormula>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calculatedColumnFormula>
    </tableColumn>
    <tableColumn id="19" xr3:uid="{3CEB349E-8438-4292-8CC4-C840CCFC36A4}" name="Slope" dataDxfId="4">
      <calculatedColumnFormula>IF(FET_List[[#This Row],[In pulldown]]="","",IF(PW_T2&lt;&gt;PW_T1,LN(FET_List[[#This Row],[SOA_T2]]/FET_List[[#This Row],[SOA_T1]])/LN(PW_T2/PW_T1),"na"))</calculatedColumnFormula>
    </tableColumn>
    <tableColumn id="21" xr3:uid="{2531262C-0377-4105-BE8A-1EF6E71A4F66}" name="Mag" dataDxfId="3">
      <calculatedColumnFormula>IF(FET_List[[#This Row],[In pulldown]]="","",IF(PW_T2&lt;&gt;PW_T1,FET_List[[#This Row],[SOA_T2]]/PW_T2^FET_List[[#This Row],[Slope]],"na"))</calculatedColumnFormula>
    </tableColumn>
    <tableColumn id="22" xr3:uid="{4BB87EC0-F9DA-466B-9D6C-DE73BBDFBF66}" name="SOA_25" dataDxfId="2">
      <calculatedColumnFormula>IF(FET_List[[#This Row],[In pulldown]]="","",IF(PW_T2&lt;&gt;PW_T1,FET_List[[#This Row],[Mag]]*PW^FET_List[[#This Row],[Slope]],FET_List[[#This Row],[SOA_T2]]))</calculatedColumnFormula>
    </tableColumn>
    <tableColumn id="23" xr3:uid="{9D7B9F2B-C2EC-401F-9523-A3744ADC682D}" name="SOA_TC" dataDxfId="1">
      <calculatedColumnFormula>IF(FET_List[[#This Row],[In pulldown]]="","",FET_List[[#This Row],[SOA_25]]*((FET_List[[#This Row],[TJMAX]]-TC)/(FET_List[[#This Row],[TJMAX]]-25)))</calculatedColumnFormula>
    </tableColumn>
    <tableColumn id="25" xr3:uid="{DE1E386B-02DC-45E3-AB79-2111AF342270}" name="LIST" dataDxfId="0">
      <calculatedColumnFormula>IF(FET_List[[#This Row],[In pulldown]]="","",_xlfn.CONCAT(O2,", ",FET_List[[#This Row],[VDSMAX]],"V, ",TEXT(X2,"0.00"),"A, $",FET_List[[#This Row],[1ku]],", ",FET_List[[#This Row],[Package]]))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2e.ti.com/"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ti.com/legal/terms-conditions/terms-of-sale.html"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ti.com/lit/ds/symlink/csd18532nq5b.pdf" TargetMode="External"/><Relationship Id="rId18" Type="http://schemas.openxmlformats.org/officeDocument/2006/relationships/hyperlink" Target="https://www.ti.com/lit/ds/symlink/csd18536kcs.pdf" TargetMode="External"/><Relationship Id="rId26" Type="http://schemas.openxmlformats.org/officeDocument/2006/relationships/hyperlink" Target="https://www.ti.com/lit/ds/symlink/csd19503kcs.pdf" TargetMode="External"/><Relationship Id="rId39" Type="http://schemas.openxmlformats.org/officeDocument/2006/relationships/table" Target="../tables/table1.xml"/><Relationship Id="rId21" Type="http://schemas.openxmlformats.org/officeDocument/2006/relationships/hyperlink" Target="https://www.ti.com/lit/ds/symlink/csd18540q5b.pdf" TargetMode="External"/><Relationship Id="rId34" Type="http://schemas.openxmlformats.org/officeDocument/2006/relationships/hyperlink" Target="https://www.ti.com/lit/ds/symlink/csd19536ktt.pdf" TargetMode="External"/><Relationship Id="rId7" Type="http://schemas.openxmlformats.org/officeDocument/2006/relationships/hyperlink" Target="https://www.ti.com/lit/ds/symlink/csd17573q5b.pdf" TargetMode="External"/><Relationship Id="rId12" Type="http://schemas.openxmlformats.org/officeDocument/2006/relationships/hyperlink" Target="https://www.ti.com/lit/ds/symlink/csd18532kcs.pdf" TargetMode="External"/><Relationship Id="rId17" Type="http://schemas.openxmlformats.org/officeDocument/2006/relationships/hyperlink" Target="https://www.ti.com/lit/ds/symlink/csd18535ktt.pdf" TargetMode="External"/><Relationship Id="rId25" Type="http://schemas.openxmlformats.org/officeDocument/2006/relationships/hyperlink" Target="https://www.ti.com/lit/ds/symlink/csd19502q5b.pdf" TargetMode="External"/><Relationship Id="rId33" Type="http://schemas.openxmlformats.org/officeDocument/2006/relationships/hyperlink" Target="https://www.ti.com/lit/ds/symlink/csd19535ktt.pdf" TargetMode="External"/><Relationship Id="rId38" Type="http://schemas.openxmlformats.org/officeDocument/2006/relationships/printerSettings" Target="../printerSettings/printerSettings4.bin"/><Relationship Id="rId2" Type="http://schemas.openxmlformats.org/officeDocument/2006/relationships/hyperlink" Target="https://www.ti.com/lit/ds/symlink/csd16556q5b.pdf" TargetMode="External"/><Relationship Id="rId16" Type="http://schemas.openxmlformats.org/officeDocument/2006/relationships/hyperlink" Target="https://www.ti.com/lit/ds/symlink/csd18534q5a.pdf" TargetMode="External"/><Relationship Id="rId20" Type="http://schemas.openxmlformats.org/officeDocument/2006/relationships/hyperlink" Target="https://www.ti.com/lit/ds/symlink/csd18537nq5a.pdf" TargetMode="External"/><Relationship Id="rId29" Type="http://schemas.openxmlformats.org/officeDocument/2006/relationships/hyperlink" Target="https://www.ti.com/lit/ds/symlink/csd19531q5a.pdf" TargetMode="External"/><Relationship Id="rId1" Type="http://schemas.openxmlformats.org/officeDocument/2006/relationships/hyperlink" Target="https://www.ti.com/lit/ds/symlink/csd16415q5.pdf" TargetMode="External"/><Relationship Id="rId6" Type="http://schemas.openxmlformats.org/officeDocument/2006/relationships/hyperlink" Target="https://www.ti.com/lit/ds/symlink/csd17570q5b.pdf" TargetMode="External"/><Relationship Id="rId11" Type="http://schemas.openxmlformats.org/officeDocument/2006/relationships/hyperlink" Target="https://www.ti.com/lit/ds/symlink/csd18531q5a.pdf" TargetMode="External"/><Relationship Id="rId24" Type="http://schemas.openxmlformats.org/officeDocument/2006/relationships/hyperlink" Target="https://www.ti.com/lit/ds/symlink/csd19501kcs.pdf" TargetMode="External"/><Relationship Id="rId32" Type="http://schemas.openxmlformats.org/officeDocument/2006/relationships/hyperlink" Target="https://www.ti.com/lit/ds/symlink/csd19533q5a.pdf" TargetMode="External"/><Relationship Id="rId37" Type="http://schemas.openxmlformats.org/officeDocument/2006/relationships/hyperlink" Target="https://www.ti.com/lit/ds/symlink/csd19538q3a.pdf" TargetMode="External"/><Relationship Id="rId5" Type="http://schemas.openxmlformats.org/officeDocument/2006/relationships/hyperlink" Target="https://www.ti.com/lit/ds/symlink/csd17559q5.pdf" TargetMode="External"/><Relationship Id="rId15" Type="http://schemas.openxmlformats.org/officeDocument/2006/relationships/hyperlink" Target="https://www.ti.com/lit/ds/symlink/csd18533q5a.pdf" TargetMode="External"/><Relationship Id="rId23" Type="http://schemas.openxmlformats.org/officeDocument/2006/relationships/hyperlink" Target="https://www.ti.com/lit/ds/symlink/csd18563q5a.pdf" TargetMode="External"/><Relationship Id="rId28" Type="http://schemas.openxmlformats.org/officeDocument/2006/relationships/hyperlink" Target="https://www.ti.com/lit/ds/symlink/csd19506ktt.pdf" TargetMode="External"/><Relationship Id="rId36" Type="http://schemas.openxmlformats.org/officeDocument/2006/relationships/hyperlink" Target="https://www.ti.com/lit/ds/symlink/csd19538q2.pdf" TargetMode="External"/><Relationship Id="rId10" Type="http://schemas.openxmlformats.org/officeDocument/2006/relationships/hyperlink" Target="https://www.ti.com/lit/ds/symlink/csd17581q5a.pdf" TargetMode="External"/><Relationship Id="rId19" Type="http://schemas.openxmlformats.org/officeDocument/2006/relationships/hyperlink" Target="https://www.ti.com/lit/ds/symlink/csd18536ktt.pdf" TargetMode="External"/><Relationship Id="rId31" Type="http://schemas.openxmlformats.org/officeDocument/2006/relationships/hyperlink" Target="https://www.ti.com/lit/ds/symlink/csd19532q5b.pdf" TargetMode="External"/><Relationship Id="rId4" Type="http://schemas.openxmlformats.org/officeDocument/2006/relationships/hyperlink" Target="https://www.ti.com/lit/ds/symlink/csd17556q5b.pdf" TargetMode="External"/><Relationship Id="rId9" Type="http://schemas.openxmlformats.org/officeDocument/2006/relationships/hyperlink" Target="https://www.ti.com/lit/ds/symlink/csd17576q5b.pdf" TargetMode="External"/><Relationship Id="rId14" Type="http://schemas.openxmlformats.org/officeDocument/2006/relationships/hyperlink" Target="https://www.ti.com/lit/ds/symlink/csd18532q5b.pdf" TargetMode="External"/><Relationship Id="rId22" Type="http://schemas.openxmlformats.org/officeDocument/2006/relationships/hyperlink" Target="https://www.ti.com/lit/ds/symlink/csd18542ktt.pdf" TargetMode="External"/><Relationship Id="rId27" Type="http://schemas.openxmlformats.org/officeDocument/2006/relationships/hyperlink" Target="https://www.ti.com/lit/ds/symlink/csd19505ktt.pdf" TargetMode="External"/><Relationship Id="rId30" Type="http://schemas.openxmlformats.org/officeDocument/2006/relationships/hyperlink" Target="https://www.ti.com/lit/ds/symlink/csd19532ktt.pdf" TargetMode="External"/><Relationship Id="rId35" Type="http://schemas.openxmlformats.org/officeDocument/2006/relationships/hyperlink" Target="https://www.ti.com/lit/ds/symlink/csd19537q3.pdf" TargetMode="External"/><Relationship Id="rId8" Type="http://schemas.openxmlformats.org/officeDocument/2006/relationships/hyperlink" Target="https://www.ti.com/lit/ds/symlink/csd17575q3.pdf" TargetMode="External"/><Relationship Id="rId3" Type="http://schemas.openxmlformats.org/officeDocument/2006/relationships/hyperlink" Target="https://www.ti.com/lit/ds/symlink/csd16570q5b.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0DE1B-AE2B-4418-9B96-2287A13FD209}">
  <sheetPr codeName="Sheet3"/>
  <dimension ref="A1:P38"/>
  <sheetViews>
    <sheetView zoomScaleNormal="100" workbookViewId="0">
      <selection activeCell="S15" sqref="S15"/>
    </sheetView>
  </sheetViews>
  <sheetFormatPr defaultColWidth="9.140625" defaultRowHeight="12.75" x14ac:dyDescent="0.2"/>
  <cols>
    <col min="1" max="1" width="9.140625" style="8"/>
    <col min="2" max="2" width="15.85546875" style="8" customWidth="1"/>
    <col min="3" max="15" width="9.140625" style="8"/>
    <col min="16" max="16" width="17.7109375" style="8" customWidth="1"/>
    <col min="17" max="16384" width="9.140625" style="8"/>
  </cols>
  <sheetData>
    <row r="1" spans="1:16" ht="12.6" customHeight="1" x14ac:dyDescent="0.2">
      <c r="A1" s="5"/>
      <c r="B1" s="6"/>
      <c r="C1" s="6"/>
      <c r="D1" s="6"/>
      <c r="E1" s="6"/>
      <c r="F1" s="6"/>
      <c r="G1" s="6"/>
      <c r="H1" s="6"/>
      <c r="I1" s="6"/>
      <c r="J1" s="6"/>
      <c r="K1" s="6"/>
      <c r="L1" s="6"/>
      <c r="M1" s="6"/>
      <c r="N1" s="6"/>
      <c r="O1" s="6"/>
      <c r="P1" s="7"/>
    </row>
    <row r="2" spans="1:16" x14ac:dyDescent="0.2">
      <c r="A2" s="9"/>
      <c r="B2" s="10"/>
      <c r="C2" s="10"/>
      <c r="D2" s="10"/>
      <c r="E2" s="10"/>
      <c r="F2" s="10"/>
      <c r="G2" s="10"/>
      <c r="H2" s="10"/>
      <c r="I2" s="10"/>
      <c r="J2" s="10"/>
      <c r="K2" s="10"/>
      <c r="L2" s="10"/>
      <c r="M2" s="10"/>
      <c r="N2" s="10"/>
      <c r="O2" s="10"/>
      <c r="P2" s="11"/>
    </row>
    <row r="3" spans="1:16" ht="30" x14ac:dyDescent="0.4">
      <c r="A3" s="9"/>
      <c r="B3" s="10"/>
      <c r="C3" s="10"/>
      <c r="D3" s="12"/>
      <c r="E3" s="10"/>
      <c r="F3" s="10"/>
      <c r="G3" s="10"/>
      <c r="H3" s="10"/>
      <c r="I3" s="10"/>
      <c r="J3" s="10"/>
      <c r="K3" s="10"/>
      <c r="L3" s="13"/>
      <c r="M3" s="10"/>
      <c r="N3" s="10"/>
      <c r="O3" s="10"/>
      <c r="P3" s="11"/>
    </row>
    <row r="4" spans="1:16" ht="23.25" x14ac:dyDescent="0.35">
      <c r="A4" s="9"/>
      <c r="B4" s="10"/>
      <c r="C4" s="10"/>
      <c r="D4" s="14"/>
      <c r="E4" s="10"/>
      <c r="F4" s="10"/>
      <c r="G4" s="10"/>
      <c r="H4" s="10"/>
      <c r="I4" s="10"/>
      <c r="J4" s="10"/>
      <c r="K4" s="10"/>
      <c r="L4" s="10"/>
      <c r="M4" s="10"/>
      <c r="N4" s="10"/>
      <c r="O4" s="10"/>
      <c r="P4" s="11"/>
    </row>
    <row r="5" spans="1:16" x14ac:dyDescent="0.2">
      <c r="A5" s="9"/>
      <c r="B5" s="10"/>
      <c r="C5" s="10"/>
      <c r="D5" s="10"/>
      <c r="E5" s="10"/>
      <c r="F5" s="10"/>
      <c r="G5" s="10"/>
      <c r="H5" s="10"/>
      <c r="I5" s="10"/>
      <c r="J5" s="10"/>
      <c r="K5" s="10"/>
      <c r="L5" s="10"/>
      <c r="M5" s="10"/>
      <c r="N5" s="10"/>
      <c r="O5" s="10"/>
      <c r="P5" s="11"/>
    </row>
    <row r="6" spans="1:16" x14ac:dyDescent="0.2">
      <c r="A6" s="9"/>
      <c r="B6" s="10"/>
      <c r="C6" s="10"/>
      <c r="D6" s="10"/>
      <c r="E6" s="10"/>
      <c r="F6" s="10"/>
      <c r="G6" s="10"/>
      <c r="H6" s="10"/>
      <c r="I6" s="10"/>
      <c r="J6" s="10"/>
      <c r="K6" s="10"/>
      <c r="L6" s="10"/>
      <c r="M6" s="10"/>
      <c r="N6" s="10"/>
      <c r="O6" s="10"/>
      <c r="P6" s="11"/>
    </row>
    <row r="7" spans="1:16" ht="15.75" x14ac:dyDescent="0.25">
      <c r="A7" s="9"/>
      <c r="B7" s="10"/>
      <c r="C7" s="10"/>
      <c r="D7" s="10"/>
      <c r="E7" s="10"/>
      <c r="F7" s="10"/>
      <c r="G7" s="10"/>
      <c r="H7" s="10"/>
      <c r="I7" s="10"/>
      <c r="J7" s="10"/>
      <c r="K7" s="10"/>
      <c r="L7" s="10"/>
      <c r="M7" s="13" t="s">
        <v>152</v>
      </c>
      <c r="N7" s="10"/>
      <c r="O7" s="10"/>
      <c r="P7" s="11"/>
    </row>
    <row r="8" spans="1:16" ht="30" x14ac:dyDescent="0.4">
      <c r="A8" s="9"/>
      <c r="B8" s="12" t="s">
        <v>113</v>
      </c>
      <c r="C8" s="10"/>
      <c r="D8" s="10"/>
      <c r="E8" s="10"/>
      <c r="F8" s="10"/>
      <c r="G8" s="10"/>
      <c r="H8" s="10"/>
      <c r="I8" s="10"/>
      <c r="J8" s="10"/>
      <c r="K8" s="10"/>
      <c r="L8" s="10"/>
      <c r="M8" s="10"/>
      <c r="N8" s="10"/>
      <c r="O8" s="10"/>
      <c r="P8" s="11"/>
    </row>
    <row r="9" spans="1:16" ht="30.75" thickBot="1" x14ac:dyDescent="0.45">
      <c r="A9" s="9"/>
      <c r="B9" s="12"/>
      <c r="C9" s="10"/>
      <c r="D9" s="10"/>
      <c r="E9" s="10"/>
      <c r="F9" s="10"/>
      <c r="G9" s="10"/>
      <c r="H9" s="10"/>
      <c r="I9" s="10"/>
      <c r="J9" s="10"/>
      <c r="K9" s="10"/>
      <c r="L9" s="10"/>
      <c r="M9" s="10"/>
      <c r="N9" s="10"/>
      <c r="O9" s="10"/>
      <c r="P9" s="11"/>
    </row>
    <row r="10" spans="1:16" ht="14.25" x14ac:dyDescent="0.2">
      <c r="A10" s="15"/>
      <c r="B10" s="16" t="s">
        <v>120</v>
      </c>
      <c r="C10" s="17"/>
      <c r="D10" s="17"/>
      <c r="E10" s="17"/>
      <c r="F10" s="17"/>
      <c r="G10" s="17"/>
      <c r="H10" s="17"/>
      <c r="I10" s="17"/>
      <c r="J10" s="17"/>
      <c r="K10" s="17"/>
      <c r="L10" s="17"/>
      <c r="M10" s="16"/>
      <c r="N10" s="16"/>
      <c r="O10" s="16"/>
      <c r="P10" s="18"/>
    </row>
    <row r="11" spans="1:16" ht="14.25" x14ac:dyDescent="0.2">
      <c r="A11" s="19"/>
      <c r="B11" s="20" t="s">
        <v>117</v>
      </c>
      <c r="C11" s="21"/>
      <c r="D11" s="21"/>
      <c r="E11" s="21"/>
      <c r="F11" s="21"/>
      <c r="G11" s="21"/>
      <c r="H11" s="21"/>
      <c r="I11" s="21"/>
      <c r="J11" s="21"/>
      <c r="K11" s="21"/>
      <c r="L11" s="21"/>
      <c r="M11" s="20"/>
      <c r="N11" s="20"/>
      <c r="O11" s="20"/>
      <c r="P11" s="22"/>
    </row>
    <row r="12" spans="1:16" ht="14.25" x14ac:dyDescent="0.2">
      <c r="A12" s="19"/>
      <c r="B12" s="20" t="s">
        <v>100</v>
      </c>
      <c r="C12" s="21"/>
      <c r="D12" s="21"/>
      <c r="E12" s="21"/>
      <c r="F12" s="21"/>
      <c r="G12" s="21"/>
      <c r="H12" s="21"/>
      <c r="I12" s="21"/>
      <c r="J12" s="21"/>
      <c r="K12" s="21"/>
      <c r="L12" s="21"/>
      <c r="M12" s="20"/>
      <c r="N12" s="20"/>
      <c r="O12" s="20"/>
      <c r="P12" s="22"/>
    </row>
    <row r="13" spans="1:16" ht="14.25" x14ac:dyDescent="0.2">
      <c r="A13" s="19"/>
      <c r="B13" s="20" t="s">
        <v>118</v>
      </c>
      <c r="C13" s="20"/>
      <c r="D13" s="20"/>
      <c r="E13" s="20"/>
      <c r="F13" s="20"/>
      <c r="G13" s="20"/>
      <c r="H13" s="20"/>
      <c r="I13" s="20"/>
      <c r="J13" s="20"/>
      <c r="K13" s="20"/>
      <c r="L13" s="20"/>
      <c r="M13" s="20"/>
      <c r="N13" s="20"/>
      <c r="O13" s="20"/>
      <c r="P13" s="22"/>
    </row>
    <row r="14" spans="1:16" ht="14.25" x14ac:dyDescent="0.2">
      <c r="A14" s="19"/>
      <c r="B14" s="20" t="s">
        <v>119</v>
      </c>
      <c r="C14" s="20"/>
      <c r="D14" s="20"/>
      <c r="E14" s="20"/>
      <c r="F14" s="20"/>
      <c r="G14" s="20"/>
      <c r="H14" s="20"/>
      <c r="I14" s="20"/>
      <c r="J14" s="20"/>
      <c r="K14" s="20"/>
      <c r="L14" s="20"/>
      <c r="M14" s="20"/>
      <c r="N14" s="20"/>
      <c r="O14" s="20"/>
      <c r="P14" s="22"/>
    </row>
    <row r="15" spans="1:16" ht="14.25" x14ac:dyDescent="0.2">
      <c r="A15" s="19"/>
      <c r="B15" s="20" t="s">
        <v>101</v>
      </c>
      <c r="C15" s="20"/>
      <c r="D15" s="20"/>
      <c r="E15" s="20"/>
      <c r="F15" s="20"/>
      <c r="G15" s="20"/>
      <c r="H15" s="20"/>
      <c r="I15" s="20"/>
      <c r="J15" s="20"/>
      <c r="K15" s="20"/>
      <c r="L15" s="20"/>
      <c r="M15" s="20"/>
      <c r="N15" s="20"/>
      <c r="O15" s="20"/>
      <c r="P15" s="22"/>
    </row>
    <row r="16" spans="1:16" ht="14.25" x14ac:dyDescent="0.2">
      <c r="A16" s="19"/>
      <c r="B16" s="20" t="s">
        <v>121</v>
      </c>
      <c r="C16" s="20"/>
      <c r="D16" s="20"/>
      <c r="E16" s="20"/>
      <c r="F16" s="20"/>
      <c r="G16" s="20"/>
      <c r="H16" s="20"/>
      <c r="I16" s="20"/>
      <c r="J16" s="20"/>
      <c r="K16" s="20"/>
      <c r="L16" s="20"/>
      <c r="M16" s="20"/>
      <c r="N16" s="20"/>
      <c r="O16" s="20"/>
      <c r="P16" s="22"/>
    </row>
    <row r="17" spans="1:16" ht="15" thickBot="1" x14ac:dyDescent="0.25">
      <c r="A17" s="23"/>
      <c r="B17" s="24" t="s">
        <v>102</v>
      </c>
      <c r="C17" s="24"/>
      <c r="D17" s="24"/>
      <c r="E17" s="24"/>
      <c r="F17" s="24"/>
      <c r="G17" s="24"/>
      <c r="H17" s="24"/>
      <c r="I17" s="24"/>
      <c r="J17" s="24"/>
      <c r="K17" s="24"/>
      <c r="L17" s="24"/>
      <c r="M17" s="24"/>
      <c r="N17" s="24"/>
      <c r="O17" s="24"/>
      <c r="P17" s="25"/>
    </row>
    <row r="18" spans="1:16" ht="14.25" x14ac:dyDescent="0.2">
      <c r="A18" s="26"/>
      <c r="B18" s="27"/>
      <c r="C18" s="27"/>
      <c r="D18" s="27"/>
      <c r="E18" s="27"/>
      <c r="F18" s="27"/>
      <c r="G18" s="27"/>
      <c r="H18" s="27"/>
      <c r="I18" s="27"/>
      <c r="J18" s="27"/>
      <c r="K18" s="27"/>
      <c r="L18" s="27"/>
      <c r="M18" s="27"/>
      <c r="N18" s="27"/>
      <c r="O18" s="27"/>
      <c r="P18" s="28"/>
    </row>
    <row r="19" spans="1:16" ht="14.25" x14ac:dyDescent="0.2">
      <c r="A19" s="26"/>
      <c r="B19" s="27" t="s">
        <v>122</v>
      </c>
      <c r="C19" s="27"/>
      <c r="D19" s="27"/>
      <c r="E19" s="27"/>
      <c r="F19" s="27"/>
      <c r="G19" s="27"/>
      <c r="H19" s="27"/>
      <c r="I19" s="27"/>
      <c r="J19" s="27"/>
      <c r="K19" s="27"/>
      <c r="L19" s="27"/>
      <c r="M19" s="27"/>
      <c r="N19" s="27"/>
      <c r="O19" s="27"/>
      <c r="P19" s="28"/>
    </row>
    <row r="20" spans="1:16" ht="14.25" x14ac:dyDescent="0.2">
      <c r="A20" s="26"/>
      <c r="B20" s="29" t="s">
        <v>103</v>
      </c>
      <c r="C20" s="29"/>
      <c r="D20" s="29"/>
      <c r="E20" s="29"/>
      <c r="F20" s="29"/>
      <c r="G20" s="29"/>
      <c r="H20" s="29"/>
      <c r="I20" s="29"/>
      <c r="J20" s="27"/>
      <c r="K20" s="27"/>
      <c r="L20" s="27"/>
      <c r="M20" s="27"/>
      <c r="N20" s="27"/>
      <c r="O20" s="27"/>
      <c r="P20" s="28"/>
    </row>
    <row r="21" spans="1:16" ht="14.25" x14ac:dyDescent="0.2">
      <c r="A21" s="26"/>
      <c r="B21" s="27"/>
      <c r="C21" s="27"/>
      <c r="D21" s="27"/>
      <c r="E21" s="27"/>
      <c r="F21" s="27"/>
      <c r="G21" s="27"/>
      <c r="H21" s="27"/>
      <c r="I21" s="27"/>
      <c r="J21" s="27"/>
      <c r="K21" s="27"/>
      <c r="L21" s="27"/>
      <c r="M21" s="27"/>
      <c r="N21" s="27"/>
      <c r="O21" s="27"/>
      <c r="P21" s="28"/>
    </row>
    <row r="22" spans="1:16" ht="14.25" x14ac:dyDescent="0.2">
      <c r="A22" s="26"/>
      <c r="B22" s="27" t="s">
        <v>104</v>
      </c>
      <c r="C22" s="29"/>
      <c r="D22" s="29"/>
      <c r="E22" s="29"/>
      <c r="F22" s="29"/>
      <c r="G22" s="29"/>
      <c r="H22" s="29"/>
      <c r="I22" s="29"/>
      <c r="J22" s="29"/>
      <c r="K22" s="29"/>
      <c r="L22" s="29"/>
      <c r="M22" s="27"/>
      <c r="N22" s="27"/>
      <c r="O22" s="27"/>
      <c r="P22" s="28"/>
    </row>
    <row r="23" spans="1:16" ht="14.25" x14ac:dyDescent="0.2">
      <c r="A23" s="26"/>
      <c r="B23" s="27" t="s">
        <v>105</v>
      </c>
      <c r="C23" s="27"/>
      <c r="D23" s="27"/>
      <c r="E23" s="27"/>
      <c r="F23" s="27"/>
      <c r="G23" s="27"/>
      <c r="H23" s="27"/>
      <c r="I23" s="27"/>
      <c r="J23" s="27"/>
      <c r="K23" s="27"/>
      <c r="L23" s="27"/>
      <c r="M23" s="27"/>
      <c r="N23" s="27"/>
      <c r="O23" s="27"/>
      <c r="P23" s="28"/>
    </row>
    <row r="24" spans="1:16" ht="14.25" x14ac:dyDescent="0.2">
      <c r="A24" s="26"/>
      <c r="B24" s="27" t="s">
        <v>123</v>
      </c>
      <c r="C24" s="27"/>
      <c r="D24" s="27"/>
      <c r="E24" s="27"/>
      <c r="F24" s="27"/>
      <c r="G24" s="27"/>
      <c r="H24" s="27"/>
      <c r="I24" s="27"/>
      <c r="J24" s="27"/>
      <c r="K24" s="27"/>
      <c r="L24" s="27"/>
      <c r="M24" s="27"/>
      <c r="N24" s="27"/>
      <c r="O24" s="27"/>
      <c r="P24" s="28"/>
    </row>
    <row r="25" spans="1:16" ht="15.75" x14ac:dyDescent="0.25">
      <c r="A25" s="26"/>
      <c r="B25" s="30" t="s">
        <v>106</v>
      </c>
      <c r="C25" s="27"/>
      <c r="D25" s="27"/>
      <c r="E25" s="27"/>
      <c r="F25" s="27"/>
      <c r="G25" s="27"/>
      <c r="H25" s="27"/>
      <c r="I25" s="27"/>
      <c r="J25" s="27"/>
      <c r="K25" s="27"/>
      <c r="L25" s="27"/>
      <c r="M25" s="27"/>
      <c r="N25" s="27"/>
      <c r="O25" s="27"/>
      <c r="P25" s="28"/>
    </row>
    <row r="26" spans="1:16" ht="14.25" x14ac:dyDescent="0.2">
      <c r="A26" s="26"/>
      <c r="B26" s="27"/>
      <c r="C26" s="27"/>
      <c r="D26" s="27"/>
      <c r="E26" s="27"/>
      <c r="F26" s="27"/>
      <c r="G26" s="27"/>
      <c r="H26" s="27"/>
      <c r="I26" s="27"/>
      <c r="J26" s="27"/>
      <c r="K26" s="27"/>
      <c r="L26" s="27"/>
      <c r="M26" s="27"/>
      <c r="N26" s="27"/>
      <c r="O26" s="27"/>
      <c r="P26" s="28"/>
    </row>
    <row r="27" spans="1:16" ht="14.25" x14ac:dyDescent="0.2">
      <c r="A27" s="26"/>
      <c r="B27" s="27"/>
      <c r="C27" s="27"/>
      <c r="D27" s="27"/>
      <c r="E27" s="27"/>
      <c r="F27" s="27"/>
      <c r="G27" s="27"/>
      <c r="H27" s="27"/>
      <c r="I27" s="27"/>
      <c r="J27" s="27"/>
      <c r="K27" s="27"/>
      <c r="L27" s="27"/>
      <c r="M27" s="27"/>
      <c r="N27" s="27"/>
      <c r="O27" s="27"/>
      <c r="P27" s="28"/>
    </row>
    <row r="28" spans="1:16" ht="14.25" x14ac:dyDescent="0.2">
      <c r="A28" s="26"/>
      <c r="B28" s="27"/>
      <c r="C28" s="27" t="s">
        <v>107</v>
      </c>
      <c r="D28" s="27"/>
      <c r="E28" s="27"/>
      <c r="F28" s="27"/>
      <c r="G28" s="27"/>
      <c r="H28" s="27"/>
      <c r="I28" s="27"/>
      <c r="J28" s="27"/>
      <c r="K28" s="27"/>
      <c r="L28" s="27"/>
      <c r="M28" s="27"/>
      <c r="N28" s="27"/>
      <c r="O28" s="27"/>
      <c r="P28" s="28"/>
    </row>
    <row r="29" spans="1:16" ht="14.25" x14ac:dyDescent="0.2">
      <c r="A29" s="26"/>
      <c r="B29" s="27"/>
      <c r="C29" s="27"/>
      <c r="D29" s="27"/>
      <c r="E29" s="27"/>
      <c r="F29" s="27"/>
      <c r="G29" s="27"/>
      <c r="H29" s="27"/>
      <c r="I29" s="27"/>
      <c r="J29" s="27"/>
      <c r="K29" s="27"/>
      <c r="L29" s="27"/>
      <c r="M29" s="27"/>
      <c r="N29" s="27"/>
      <c r="O29" s="27"/>
      <c r="P29" s="28"/>
    </row>
    <row r="30" spans="1:16" ht="15" x14ac:dyDescent="0.25">
      <c r="A30" s="26"/>
      <c r="B30" s="27"/>
      <c r="C30" s="31" t="s">
        <v>108</v>
      </c>
      <c r="D30" s="27"/>
      <c r="E30" s="27"/>
      <c r="F30" s="27"/>
      <c r="G30" s="27"/>
      <c r="H30" s="27"/>
      <c r="I30" s="27"/>
      <c r="J30" s="27"/>
      <c r="K30" s="27"/>
      <c r="L30" s="27"/>
      <c r="M30" s="27"/>
      <c r="N30" s="27"/>
      <c r="O30" s="27"/>
      <c r="P30" s="28"/>
    </row>
    <row r="31" spans="1:16" ht="14.25" x14ac:dyDescent="0.2">
      <c r="A31" s="26"/>
      <c r="B31" s="27"/>
      <c r="C31" s="27" t="s">
        <v>109</v>
      </c>
      <c r="D31" s="27"/>
      <c r="E31" s="27"/>
      <c r="F31" s="27"/>
      <c r="G31" s="27"/>
      <c r="H31" s="27"/>
      <c r="I31" s="27"/>
      <c r="J31" s="27"/>
      <c r="K31" s="27"/>
      <c r="L31" s="27"/>
      <c r="M31" s="27"/>
      <c r="N31" s="27"/>
      <c r="O31" s="27"/>
      <c r="P31" s="28"/>
    </row>
    <row r="32" spans="1:16" ht="14.25" x14ac:dyDescent="0.2">
      <c r="A32" s="26"/>
      <c r="B32" s="27"/>
      <c r="C32" s="27" t="s">
        <v>110</v>
      </c>
      <c r="D32" s="27"/>
      <c r="E32" s="27"/>
      <c r="F32" s="27"/>
      <c r="G32" s="27"/>
      <c r="H32" s="27"/>
      <c r="I32" s="27"/>
      <c r="J32" s="27"/>
      <c r="K32" s="27"/>
      <c r="L32" s="27"/>
      <c r="M32" s="27"/>
      <c r="N32" s="27"/>
      <c r="O32" s="27"/>
      <c r="P32" s="28"/>
    </row>
    <row r="33" spans="1:16" ht="14.25" x14ac:dyDescent="0.2">
      <c r="A33" s="26"/>
      <c r="B33" s="27"/>
      <c r="C33" s="27" t="s">
        <v>111</v>
      </c>
      <c r="D33" s="27"/>
      <c r="E33" s="27"/>
      <c r="F33" s="27"/>
      <c r="G33" s="27"/>
      <c r="H33" s="27"/>
      <c r="I33" s="27"/>
      <c r="J33" s="27"/>
      <c r="K33" s="27"/>
      <c r="L33" s="27"/>
      <c r="M33" s="27"/>
      <c r="N33" s="27"/>
      <c r="O33" s="27"/>
      <c r="P33" s="28"/>
    </row>
    <row r="34" spans="1:16" ht="14.25" x14ac:dyDescent="0.2">
      <c r="A34" s="26"/>
      <c r="B34" s="27"/>
      <c r="C34" s="27" t="s">
        <v>112</v>
      </c>
      <c r="D34" s="27"/>
      <c r="E34" s="27"/>
      <c r="F34" s="27"/>
      <c r="G34" s="27"/>
      <c r="H34" s="27"/>
      <c r="I34" s="27"/>
      <c r="J34" s="27"/>
      <c r="K34" s="27"/>
      <c r="L34" s="27"/>
      <c r="M34" s="27"/>
      <c r="N34" s="27"/>
      <c r="O34" s="27"/>
      <c r="P34" s="28"/>
    </row>
    <row r="35" spans="1:16" ht="14.25" x14ac:dyDescent="0.2">
      <c r="A35" s="26"/>
      <c r="B35" s="27"/>
      <c r="C35" s="27"/>
      <c r="D35" s="27"/>
      <c r="E35" s="27"/>
      <c r="F35" s="27"/>
      <c r="G35" s="27"/>
      <c r="H35" s="27"/>
      <c r="I35" s="27"/>
      <c r="J35" s="27"/>
      <c r="K35" s="27"/>
      <c r="L35" s="27"/>
      <c r="M35" s="27"/>
      <c r="N35" s="27"/>
      <c r="O35" s="27"/>
      <c r="P35" s="28"/>
    </row>
    <row r="36" spans="1:16" ht="14.25" x14ac:dyDescent="0.2">
      <c r="A36" s="26"/>
      <c r="B36" s="27"/>
      <c r="C36" s="27"/>
      <c r="D36" s="27"/>
      <c r="E36" s="27"/>
      <c r="F36" s="27"/>
      <c r="G36" s="27"/>
      <c r="H36" s="27"/>
      <c r="I36" s="27"/>
      <c r="J36" s="27"/>
      <c r="K36" s="27"/>
      <c r="L36" s="27"/>
      <c r="M36" s="27"/>
      <c r="N36" s="27"/>
      <c r="O36" s="27"/>
      <c r="P36" s="28"/>
    </row>
    <row r="37" spans="1:16" x14ac:dyDescent="0.2">
      <c r="A37" s="9"/>
      <c r="B37" s="10"/>
      <c r="C37" s="10"/>
      <c r="D37" s="10"/>
      <c r="E37" s="10"/>
      <c r="F37" s="10"/>
      <c r="G37" s="10"/>
      <c r="H37" s="10"/>
      <c r="I37" s="10"/>
      <c r="J37" s="10"/>
      <c r="K37" s="10"/>
      <c r="L37" s="10"/>
      <c r="M37" s="10"/>
      <c r="N37" s="10"/>
      <c r="O37" s="10"/>
      <c r="P37" s="11"/>
    </row>
    <row r="38" spans="1:16" ht="13.5" thickBot="1" x14ac:dyDescent="0.25">
      <c r="A38" s="32"/>
      <c r="B38" s="33"/>
      <c r="C38" s="33"/>
      <c r="D38" s="33"/>
      <c r="E38" s="33"/>
      <c r="F38" s="33"/>
      <c r="G38" s="33"/>
      <c r="H38" s="33"/>
      <c r="I38" s="33"/>
      <c r="J38" s="33"/>
      <c r="K38" s="33"/>
      <c r="L38" s="33"/>
      <c r="M38" s="33"/>
      <c r="N38" s="33"/>
      <c r="O38" s="33"/>
      <c r="P38" s="34"/>
    </row>
  </sheetData>
  <sheetProtection algorithmName="SHA-512" hashValue="py6fT2z8h57r1+bYnb+J2Bx73Qpxzk4xIq46bqeOlQx5NfLNm7AsqjbOS6R1Im8GLa9nWhJ0QYaF8tpMwniJxA==" saltValue="JpNLgol4PDSvqoybA1S2vw==" spinCount="100000" sheet="1" objects="1" scenarios="1"/>
  <hyperlinks>
    <hyperlink ref="B25" r:id="rId1" xr:uid="{CEB02B72-0855-4353-A0D1-D04CA3FF297F}"/>
  </hyperlinks>
  <pageMargins left="0.75" right="0.75" top="1" bottom="1" header="0.5" footer="0.5"/>
  <pageSetup scale="75" orientation="portrait" r:id="rId2"/>
  <headerFooter alignWithMargins="0">
    <oddHeader>&amp;A</oddHeader>
    <oddFooter>Page &amp;P</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6D2FA-613E-45C5-ACCD-0C7195479611}">
  <sheetPr codeName="Sheet4"/>
  <dimension ref="A1:A11"/>
  <sheetViews>
    <sheetView workbookViewId="0">
      <selection activeCell="A17" sqref="A17"/>
    </sheetView>
  </sheetViews>
  <sheetFormatPr defaultRowHeight="15" x14ac:dyDescent="0.25"/>
  <cols>
    <col min="1" max="1" width="143.28515625" customWidth="1"/>
  </cols>
  <sheetData>
    <row r="1" spans="1:1" ht="31.5" x14ac:dyDescent="0.25">
      <c r="A1" s="48" t="s">
        <v>146</v>
      </c>
    </row>
    <row r="2" spans="1:1" x14ac:dyDescent="0.25">
      <c r="A2" s="49"/>
    </row>
    <row r="3" spans="1:1" ht="60" x14ac:dyDescent="0.25">
      <c r="A3" s="49" t="s">
        <v>147</v>
      </c>
    </row>
    <row r="4" spans="1:1" x14ac:dyDescent="0.25">
      <c r="A4" s="49"/>
    </row>
    <row r="5" spans="1:1" ht="45" x14ac:dyDescent="0.25">
      <c r="A5" s="49" t="s">
        <v>148</v>
      </c>
    </row>
    <row r="6" spans="1:1" x14ac:dyDescent="0.25">
      <c r="A6" s="49"/>
    </row>
    <row r="7" spans="1:1" ht="60" x14ac:dyDescent="0.25">
      <c r="A7" s="49" t="s">
        <v>149</v>
      </c>
    </row>
    <row r="8" spans="1:1" x14ac:dyDescent="0.25">
      <c r="A8" s="49"/>
    </row>
    <row r="9" spans="1:1" ht="30" x14ac:dyDescent="0.25">
      <c r="A9" s="50" t="s">
        <v>151</v>
      </c>
    </row>
    <row r="10" spans="1:1" x14ac:dyDescent="0.25">
      <c r="A10" s="49"/>
    </row>
    <row r="11" spans="1:1" x14ac:dyDescent="0.25">
      <c r="A11" s="49" t="s">
        <v>150</v>
      </c>
    </row>
  </sheetData>
  <sheetProtection algorithmName="SHA-512" hashValue="FzXWOZlVDxRLW9sniZJu3Ny7zpKRd59vPW3ApmrPurgBJ1kRyF1/sDD4pC1Q7OTSgntoSfTd9mtwIjJTsonVHA==" saltValue="N/tY1T1SP8Afs/i47DlmPw==" spinCount="100000" sheet="1" objects="1" scenarios="1"/>
  <hyperlinks>
    <hyperlink ref="A9" r:id="rId1" display="https://www.ti.com/legal/terms-conditions/terms-of-sale.html" xr:uid="{FD36691D-8C94-438E-8C12-09B896BCB34E}"/>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10D97-BDFE-4F60-A059-05EE498FD717}">
  <sheetPr codeName="Sheet1">
    <tabColor rgb="FF00B050"/>
  </sheetPr>
  <dimension ref="A1:M14"/>
  <sheetViews>
    <sheetView tabSelected="1" zoomScaleNormal="100" workbookViewId="0">
      <selection activeCell="E2" sqref="E2:G2"/>
    </sheetView>
  </sheetViews>
  <sheetFormatPr defaultRowHeight="15" x14ac:dyDescent="0.25"/>
  <cols>
    <col min="1" max="1" width="23.28515625" bestFit="1" customWidth="1"/>
    <col min="2" max="2" width="14.140625" customWidth="1"/>
    <col min="3" max="3" width="15" customWidth="1"/>
    <col min="5" max="5" width="10.7109375" bestFit="1" customWidth="1"/>
    <col min="6" max="6" width="20.7109375" customWidth="1"/>
    <col min="7" max="7" width="8.5703125" customWidth="1"/>
    <col min="8" max="8" width="10.7109375" bestFit="1" customWidth="1"/>
    <col min="9" max="9" width="20.7109375" customWidth="1"/>
    <col min="10" max="10" width="8.7109375" customWidth="1"/>
    <col min="11" max="11" width="10.7109375" bestFit="1" customWidth="1"/>
    <col min="12" max="12" width="20.7109375" customWidth="1"/>
  </cols>
  <sheetData>
    <row r="1" spans="1:13" ht="18" customHeight="1" x14ac:dyDescent="0.25">
      <c r="A1" s="60" t="s">
        <v>114</v>
      </c>
      <c r="B1" s="61"/>
      <c r="C1" s="62"/>
      <c r="D1" s="36"/>
      <c r="E1" s="55" t="s">
        <v>145</v>
      </c>
      <c r="F1" s="55"/>
      <c r="G1" s="55"/>
      <c r="H1" s="55" t="s">
        <v>145</v>
      </c>
      <c r="I1" s="55"/>
      <c r="J1" s="55"/>
      <c r="K1" s="55" t="s">
        <v>145</v>
      </c>
      <c r="L1" s="55"/>
      <c r="M1" s="55"/>
    </row>
    <row r="2" spans="1:13" ht="18" customHeight="1" x14ac:dyDescent="0.25">
      <c r="A2" s="37" t="s">
        <v>125</v>
      </c>
      <c r="B2" s="68">
        <v>12</v>
      </c>
      <c r="C2" s="69"/>
      <c r="D2" s="36"/>
      <c r="E2" s="67"/>
      <c r="F2" s="67"/>
      <c r="G2" s="67"/>
      <c r="H2" s="67"/>
      <c r="I2" s="67"/>
      <c r="J2" s="67"/>
      <c r="K2" s="67"/>
      <c r="L2" s="67"/>
      <c r="M2" s="67"/>
    </row>
    <row r="3" spans="1:13" ht="18" customHeight="1" x14ac:dyDescent="0.25">
      <c r="A3" s="37" t="s">
        <v>115</v>
      </c>
      <c r="B3" s="70">
        <v>20</v>
      </c>
      <c r="C3" s="71"/>
      <c r="D3" s="36"/>
      <c r="E3" s="38" t="s">
        <v>139</v>
      </c>
      <c r="F3" s="64" t="str">
        <f>IF(OR(ISBLANK(PN_1),PN_1=""),"",LOOKUP(PN_1,FET_List[Part_Number]))</f>
        <v/>
      </c>
      <c r="G3" s="65"/>
      <c r="H3" s="38" t="s">
        <v>139</v>
      </c>
      <c r="I3" s="64" t="str">
        <f>IF(OR(ISBLANK(PN_2),PN_2=""),"",LOOKUP(PN_2,FET_List[Part_Number]))</f>
        <v/>
      </c>
      <c r="J3" s="65"/>
      <c r="K3" s="38" t="s">
        <v>139</v>
      </c>
      <c r="L3" s="58" t="str">
        <f>IF(OR(ISBLANK(PN_3),PN_3=""),"",LOOKUP(PN_3,FET_List[Part_Number]))</f>
        <v/>
      </c>
      <c r="M3" s="59"/>
    </row>
    <row r="4" spans="1:13" ht="18" customHeight="1" thickBot="1" x14ac:dyDescent="0.3">
      <c r="A4" s="39" t="s">
        <v>124</v>
      </c>
      <c r="B4" s="72">
        <v>50</v>
      </c>
      <c r="C4" s="73"/>
      <c r="D4" s="36"/>
      <c r="E4" s="38" t="s">
        <v>62</v>
      </c>
      <c r="F4" s="58" t="str">
        <f>IF(OR(ISBLANK(PN_1),PN_1=""),"",HYPERLINK(VLOOKUP(TI_PN1,FET_List[],16,TRUE),TI_PN1))</f>
        <v/>
      </c>
      <c r="G4" s="59"/>
      <c r="H4" s="38" t="s">
        <v>62</v>
      </c>
      <c r="I4" s="58" t="str">
        <f>IF(OR(ISBLANK(PN_2),PN_2=""),"",HYPERLINK(VLOOKUP(TI_PN2,FET_List[],16,TRUE),TI_PN2))</f>
        <v/>
      </c>
      <c r="J4" s="59"/>
      <c r="K4" s="38" t="s">
        <v>62</v>
      </c>
      <c r="L4" s="58" t="str">
        <f>IF(OR(ISBLANK(PN_3),PN_3=""),"",HYPERLINK(VLOOKUP(TI_PN3,FET_List[],16,TRUE),TI_PN3))</f>
        <v/>
      </c>
      <c r="M4" s="59"/>
    </row>
    <row r="5" spans="1:13" ht="18" customHeight="1" x14ac:dyDescent="0.25">
      <c r="A5" s="66"/>
      <c r="B5" s="66"/>
      <c r="C5" s="66"/>
      <c r="D5" s="36"/>
      <c r="E5" s="56" t="s">
        <v>15</v>
      </c>
      <c r="F5" s="63"/>
      <c r="G5" s="63"/>
      <c r="H5" s="63"/>
      <c r="I5" s="63"/>
      <c r="J5" s="63"/>
      <c r="K5" s="63"/>
      <c r="L5" s="63"/>
      <c r="M5" s="57"/>
    </row>
    <row r="6" spans="1:13" ht="18" customHeight="1" x14ac:dyDescent="0.35">
      <c r="A6" s="66"/>
      <c r="B6" s="66"/>
      <c r="C6" s="66"/>
      <c r="D6" s="36"/>
      <c r="E6" s="35"/>
      <c r="F6" s="42" t="s">
        <v>0</v>
      </c>
      <c r="G6" s="42" t="s">
        <v>116</v>
      </c>
      <c r="H6" s="42"/>
      <c r="I6" s="42" t="s">
        <v>0</v>
      </c>
      <c r="J6" s="42" t="s">
        <v>116</v>
      </c>
      <c r="K6" s="42"/>
      <c r="L6" s="42" t="s">
        <v>0</v>
      </c>
      <c r="M6" s="42" t="s">
        <v>116</v>
      </c>
    </row>
    <row r="7" spans="1:13" ht="18" customHeight="1" x14ac:dyDescent="0.25">
      <c r="A7" s="36"/>
      <c r="B7" s="36"/>
      <c r="C7" s="36"/>
      <c r="D7" s="36"/>
      <c r="E7" s="35" t="s">
        <v>3</v>
      </c>
      <c r="F7" s="42">
        <f>IF(AND(PW&lt;=100,PW&gt;10),100,IF(AND(PW&lt;=10,PW&gt;1),10,IF(AND(PW&lt;=1,PW&gt;0.1),1,IF(AND(PW&lt;=0.1,PW&gt;0.01),0.1,IF(PW=0.01,0.01)))))</f>
        <v>100</v>
      </c>
      <c r="G7" s="45" t="str">
        <f>IF(ISBLANK(PN_1),"",MIN(IF(PW_T2=100,LOOKUP(PN_1,FET_List[Part_Number],FET_List[100]),IF(PW_T2=10,LOOKUP(PN_1,FET_List[Part_Number],FET_List[10]),IF(PW_T2=1,LOOKUP(PN_1,FET_List[Part_Number],FET_List[1]),IF(PW_T2=0.1,LOOKUP(PN_1,FET_List[Part_Number],FET_List[0.1]),IF(PW_T2=0.01,LOOKUP(PN_1,FET_List[Part_Number],FET_List[0.01])))))),LOOKUP(PN_1,FET_List[Part_Number],FET_List[IDMAX])))</f>
        <v/>
      </c>
      <c r="H7" s="44" t="s">
        <v>3</v>
      </c>
      <c r="I7" s="42">
        <f>PW_T2</f>
        <v>100</v>
      </c>
      <c r="J7" s="45" t="str">
        <f>IF(ISBLANK(PN_2),"",MIN(IF(PW_T2=100,LOOKUP(PN_2,FET_List[Part_Number],FET_List[100]),IF(PW_T2=10,LOOKUP(PN_2,FET_List[Part_Number],FET_List[10]),IF(PW_T2=1,LOOKUP(PN_2,FET_List[Part_Number],FET_List[1]),IF(PW_T2=0.1,LOOKUP(PN_2,FET_List[Part_Number],FET_List[0.1]),IF(PW_T2=0.01,LOOKUP(PN_2,FET_List[Part_Number],FET_List[0.01])))))),LOOKUP(PN_2,FET_List[Part_Number],FET_List[IDMAX])))</f>
        <v/>
      </c>
      <c r="K7" s="44" t="s">
        <v>3</v>
      </c>
      <c r="L7" s="42">
        <f>PW_T2</f>
        <v>100</v>
      </c>
      <c r="M7" s="45" t="str">
        <f>IF(ISBLANK(PN_3),"",MIN(IF(PW_T2=100,LOOKUP(PN_3,FET_List[Part_Number],FET_List[100]),IF(PW_T2=10,LOOKUP(PN_3,FET_List[Part_Number],FET_List[10]),IF(PW_T2=1,LOOKUP(PN_3,FET_List[Part_Number],FET_List[1]),IF(PW_T2=0.1,LOOKUP(PN_3,FET_List[Part_Number],FET_List[0.1]),IF(PW_T2=0.01,LOOKUP(PN_3,FET_List[Part_Number],FET_List[0.01])))))),LOOKUP(PN_3,FET_List[Part_Number],FET_List[IDMAX])))</f>
        <v/>
      </c>
    </row>
    <row r="8" spans="1:13" ht="18" customHeight="1" x14ac:dyDescent="0.25">
      <c r="A8" s="36"/>
      <c r="B8" s="36"/>
      <c r="C8" s="36"/>
      <c r="D8" s="36"/>
      <c r="E8" s="35" t="s">
        <v>4</v>
      </c>
      <c r="F8" s="42">
        <f>IF(AND(PW&lt;100,PW&gt;=10),10,IF(AND(PW&lt;10,PW&gt;=1),1,IF(AND(PW&lt;1,PW&gt;=0.1),0.1,IF(AND(PW&lt;0.1,PW&gt;=0.01),0.01,IF(PW=100,100)))))</f>
        <v>10</v>
      </c>
      <c r="G8" s="45" t="str">
        <f>IF(ISBLANK(PN_1),"",MIN(IF(PW_T1=10,LOOKUP(PN_1,FET_List[Part_Number],FET_List[10]),IF(PW_T1=1,LOOKUP(PN_1,FET_List[Part_Number],FET_List[1]),IF(PW_T1=0.1,LOOKUP(PN_1,FET_List[Part_Number],FET_List[0.1]),IF(PW_T1=0.01,LOOKUP(PN_1,FET_List[Part_Number],FET_List[0.01]),IF(PW_T1=100,LOOKUP(PN_1,FET_List[Part_Number],FET_List[100])))))),LOOKUP(PN_1,FET_List[Part_Number],FET_List[IDMAX])))</f>
        <v/>
      </c>
      <c r="H8" s="44" t="s">
        <v>4</v>
      </c>
      <c r="I8" s="42">
        <f>PW_T1</f>
        <v>10</v>
      </c>
      <c r="J8" s="45" t="str">
        <f>IF(ISBLANK(PN_2),"",MIN(IF(PW_T1=10,LOOKUP(PN_2,FET_List[Part_Number],FET_List[10]),IF(PW_T1=1,LOOKUP(PN_2,FET_List[Part_Number],FET_List[1]),IF(PW_T1=0.1,LOOKUP(PN_2,FET_List[Part_Number],FET_List[0.1]),IF(PW_T1=0.01,LOOKUP(PN_2,FET_List[Part_Number],FET_List[0.01]),IF(PW_T1=100,LOOKUP(PN_2,FET_List[Part_Number],FET_List[100])))))),LOOKUP(PN_2,FET_List[Part_Number],FET_List[IDMAX])))</f>
        <v/>
      </c>
      <c r="K8" s="44" t="s">
        <v>4</v>
      </c>
      <c r="L8" s="42">
        <f>PW_T1</f>
        <v>10</v>
      </c>
      <c r="M8" s="45" t="str">
        <f>IF(ISBLANK(PN_3),"",MIN(IF(PW_T1=10,LOOKUP(PN_3,FET_List[Part_Number],FET_List[10]),IF(PW_T1=1,LOOKUP(PN_3,FET_List[Part_Number],FET_List[1]),IF(PW_T1=0.1,LOOKUP(PN_3,FET_List[Part_Number],FET_List[0.1]),IF(PW_T1=0.01,LOOKUP(PN_3,FET_List[Part_Number],FET_List[0.01]),IF(PW_T1=100,LOOKUP(PN_3,FET_List[Part_Number],FET_List[100])))))),LOOKUP(PN_3,FET_List[Part_Number],FET_List[IDMAX])))</f>
        <v/>
      </c>
    </row>
    <row r="9" spans="1:13" ht="18" customHeight="1" x14ac:dyDescent="0.35">
      <c r="A9" s="36"/>
      <c r="B9" s="36"/>
      <c r="C9" s="36"/>
      <c r="D9" s="36"/>
      <c r="E9" s="35" t="s">
        <v>143</v>
      </c>
      <c r="F9" s="56" t="str">
        <f>IF(ISBLANK(PN_1),"",LOOKUP(PN_1,FET_List[Part_Number],FET_List[TJMAX]))</f>
        <v/>
      </c>
      <c r="G9" s="57"/>
      <c r="H9" s="35" t="s">
        <v>143</v>
      </c>
      <c r="I9" s="56" t="str">
        <f>IF(ISBLANK(PN_2),"",LOOKUP(PN_2,FET_List[Part_Number],FET_List[TJMAX]))</f>
        <v/>
      </c>
      <c r="J9" s="57"/>
      <c r="K9" s="35" t="s">
        <v>143</v>
      </c>
      <c r="L9" s="56" t="str">
        <f>IF(ISBLANK(PN_3),"",LOOKUP(PN_3,FET_List[Part_Number],FET_List[TJMAX]))</f>
        <v/>
      </c>
      <c r="M9" s="57"/>
    </row>
    <row r="10" spans="1:13" ht="18" customHeight="1" x14ac:dyDescent="0.25">
      <c r="A10" s="36"/>
      <c r="B10" s="36"/>
      <c r="C10" s="36"/>
      <c r="D10" s="36"/>
      <c r="E10" s="52" t="s">
        <v>144</v>
      </c>
      <c r="F10" s="53"/>
      <c r="G10" s="53"/>
      <c r="H10" s="53"/>
      <c r="I10" s="53"/>
      <c r="J10" s="53"/>
      <c r="K10" s="53"/>
      <c r="L10" s="53"/>
      <c r="M10" s="54"/>
    </row>
    <row r="11" spans="1:13" ht="18" hidden="1" customHeight="1" x14ac:dyDescent="0.25">
      <c r="A11" s="36"/>
      <c r="B11" s="36"/>
      <c r="C11" s="36"/>
      <c r="D11" s="36"/>
      <c r="E11" s="40" t="s">
        <v>5</v>
      </c>
      <c r="F11" s="43" t="s">
        <v>1</v>
      </c>
      <c r="G11" s="41" t="str">
        <f>IF(ISBLANK(PN_1),"",IF(PW_T2&lt;&gt;PW_T1,LN(FET1_SOA_T2/FET1_SOA_T1)/LN(PW_T2/PW_T1),"na"))</f>
        <v/>
      </c>
      <c r="H11" s="40" t="s">
        <v>5</v>
      </c>
      <c r="I11" s="43" t="s">
        <v>1</v>
      </c>
      <c r="J11" s="41" t="str">
        <f>IF(ISBLANK(PN_2),"",IF(PW_T2&lt;&gt;PW_T1,LN(FET2_SOA_T2/FET2_SOA_T1)/LN(PW_T2/PW_T1),"na"))</f>
        <v/>
      </c>
      <c r="K11" s="40" t="s">
        <v>5</v>
      </c>
      <c r="L11" s="43" t="s">
        <v>1</v>
      </c>
      <c r="M11" s="41" t="str">
        <f>IF(ISBLANK(PN_3),"",IF(PW_T2&lt;&gt;PW_T1,LN(FET3_SOA_T2/FET3_SOA_T1)/LN(PW_T2/PW_T1),"na"))</f>
        <v/>
      </c>
    </row>
    <row r="12" spans="1:13" ht="18" hidden="1" customHeight="1" x14ac:dyDescent="0.25">
      <c r="A12" s="36"/>
      <c r="B12" s="36"/>
      <c r="C12" s="36"/>
      <c r="D12" s="36"/>
      <c r="E12" s="40" t="s">
        <v>6</v>
      </c>
      <c r="F12" s="43" t="s">
        <v>2</v>
      </c>
      <c r="G12" s="41" t="str">
        <f>IF(ISBLANK(PN_1),"",IF(PW_T2&lt;&gt;PW_T1,FET1_SOA_T2/PW_T2^FET1_m,"na"))</f>
        <v/>
      </c>
      <c r="H12" s="40" t="s">
        <v>6</v>
      </c>
      <c r="I12" s="43" t="s">
        <v>2</v>
      </c>
      <c r="J12" s="41" t="str">
        <f>IF(ISBLANK(PN_2),"",IF(PW_T2&lt;&gt;PW_T1,FET2_SOA_T2/PW_T2^FET2_m,"na"))</f>
        <v/>
      </c>
      <c r="K12" s="40" t="s">
        <v>6</v>
      </c>
      <c r="L12" s="43" t="s">
        <v>2</v>
      </c>
      <c r="M12" s="41" t="str">
        <f>IF(ISBLANK(PN_3),"",IF(PW_T2&lt;&gt;PW_T1,FET3_SOA_T2/PW_T2^FET3_m,"na"))</f>
        <v/>
      </c>
    </row>
    <row r="13" spans="1:13" ht="18" customHeight="1" x14ac:dyDescent="0.25">
      <c r="A13" s="36"/>
      <c r="B13" s="36"/>
      <c r="C13" s="36"/>
      <c r="D13" s="36"/>
      <c r="E13" s="51" t="s">
        <v>140</v>
      </c>
      <c r="F13" s="51"/>
      <c r="G13" s="41" t="str">
        <f>IF(ISBLANK(PN_1),"",IF(PW_T2&lt;&gt;PW_T1,FET1_a*PW^FET1_m,FET1_SOA_T2))</f>
        <v/>
      </c>
      <c r="H13" s="51" t="s">
        <v>141</v>
      </c>
      <c r="I13" s="51"/>
      <c r="J13" s="41" t="str">
        <f>IF(ISBLANK(PN_2),"",IF(PW_T2&lt;&gt;PW_T1,FET2_a*PW^FET2_m,FET2_SOA_T2))</f>
        <v/>
      </c>
      <c r="K13" s="51" t="s">
        <v>142</v>
      </c>
      <c r="L13" s="51"/>
      <c r="M13" s="41" t="str">
        <f>IF(ISBLANK(PN_3),"",IF(PW_T2&lt;&gt;PW_T1,FET3_a*PW^FET3_m,FET3_SOA_T2))</f>
        <v/>
      </c>
    </row>
    <row r="14" spans="1:13" x14ac:dyDescent="0.25">
      <c r="E14" s="51" t="str">
        <f>_xlfn.CONCAT("FET1 Derated SOA @ TC = ",TC,"°C (A)")</f>
        <v>FET1 Derated SOA @ TC = 50°C (A)</v>
      </c>
      <c r="F14" s="51"/>
      <c r="G14" s="41" t="str">
        <f>IF(ISBLANK(PN_1),"",FET1_SOA_25*((FET1_TJMAX-TC)/(FET1_TJMAX-25)))</f>
        <v/>
      </c>
      <c r="H14" s="51" t="str">
        <f>_xlfn.CONCAT("FET2 Derated SOA @ TC = ",TC,"°C (A)")</f>
        <v>FET2 Derated SOA @ TC = 50°C (A)</v>
      </c>
      <c r="I14" s="51"/>
      <c r="J14" s="41" t="str">
        <f>IF(ISBLANK(PN_2),"",FET2_SOA_25*((FET2_TJMAX-TC)/(FET2_TJMAX-25)))</f>
        <v/>
      </c>
      <c r="K14" s="51" t="str">
        <f>_xlfn.CONCAT("FET3 Derated SOA @ TC = ",TC,"°C (A)")</f>
        <v>FET3 Derated SOA @ TC = 50°C (A)</v>
      </c>
      <c r="L14" s="51"/>
      <c r="M14" s="41" t="str">
        <f>IF(ISBLANK(PN_3),"",FET3_SOA_25*((FET3_TJMAX-TC)/(FET3_TJMAX-25)))</f>
        <v/>
      </c>
    </row>
  </sheetData>
  <sheetProtection algorithmName="SHA-512" hashValue="pye3sQxIUpE6OTST6ZnFIc0CNDV1maY3BNUUqI9KXDH03ff48Qpscxr7fPcrdMHH4JNuPam8CVSRcazPoSiSHw==" saltValue="bHTAlcuSuPf85K+aE6yFgQ==" spinCount="100000" sheet="1" objects="1" scenarios="1"/>
  <mergeCells count="28">
    <mergeCell ref="A1:C1"/>
    <mergeCell ref="B2:C2"/>
    <mergeCell ref="B3:C3"/>
    <mergeCell ref="B4:C4"/>
    <mergeCell ref="K13:L13"/>
    <mergeCell ref="E5:M5"/>
    <mergeCell ref="F3:G3"/>
    <mergeCell ref="I3:J3"/>
    <mergeCell ref="L3:M3"/>
    <mergeCell ref="A5:C6"/>
    <mergeCell ref="I4:J4"/>
    <mergeCell ref="L4:M4"/>
    <mergeCell ref="K14:L14"/>
    <mergeCell ref="E10:M10"/>
    <mergeCell ref="K1:M1"/>
    <mergeCell ref="K2:M2"/>
    <mergeCell ref="L9:M9"/>
    <mergeCell ref="E13:F13"/>
    <mergeCell ref="E14:F14"/>
    <mergeCell ref="E2:G2"/>
    <mergeCell ref="E1:G1"/>
    <mergeCell ref="H1:J1"/>
    <mergeCell ref="H2:J2"/>
    <mergeCell ref="I9:J9"/>
    <mergeCell ref="H13:I13"/>
    <mergeCell ref="H14:I14"/>
    <mergeCell ref="F9:G9"/>
    <mergeCell ref="F4:G4"/>
  </mergeCell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657B8A7-92DB-4CA8-A67E-C13B21DC774E}">
          <x14:formula1>
            <xm:f>'FET Data'!$AA$1:$AA$38</xm:f>
          </x14:formula1>
          <xm:sqref>E2:M2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3E9C4-3EBD-424C-9F89-DC0856DF18C9}">
  <sheetPr codeName="Sheet2"/>
  <dimension ref="A1:AB38"/>
  <sheetViews>
    <sheetView workbookViewId="0">
      <pane xSplit="1" topLeftCell="B1" activePane="topRight" state="frozen"/>
      <selection pane="topRight" activeCell="AB2" sqref="AB2:AB38"/>
    </sheetView>
  </sheetViews>
  <sheetFormatPr defaultRowHeight="15" x14ac:dyDescent="0.25"/>
  <cols>
    <col min="1" max="1" width="14.42578125" customWidth="1"/>
    <col min="10" max="10" width="11" bestFit="1" customWidth="1"/>
    <col min="11" max="11" width="11" customWidth="1"/>
    <col min="12" max="12" width="14.7109375" bestFit="1" customWidth="1"/>
    <col min="13" max="13" width="13" bestFit="1" customWidth="1"/>
    <col min="14" max="14" width="13" customWidth="1"/>
    <col min="15" max="15" width="14.7109375" bestFit="1" customWidth="1"/>
    <col min="16" max="16" width="48.7109375" bestFit="1" customWidth="1"/>
    <col min="17" max="17" width="10.42578125" bestFit="1" customWidth="1"/>
    <col min="18" max="24" width="10.42578125" customWidth="1"/>
    <col min="25" max="25" width="39.7109375" bestFit="1" customWidth="1"/>
    <col min="27" max="27" width="35.28515625" bestFit="1" customWidth="1"/>
  </cols>
  <sheetData>
    <row r="1" spans="1:28" x14ac:dyDescent="0.25">
      <c r="A1" t="s">
        <v>12</v>
      </c>
      <c r="B1" s="1" t="s">
        <v>7</v>
      </c>
      <c r="C1" s="1" t="s">
        <v>8</v>
      </c>
      <c r="D1" s="1" t="s">
        <v>9</v>
      </c>
      <c r="E1" s="1" t="s">
        <v>10</v>
      </c>
      <c r="F1" s="1" t="s">
        <v>11</v>
      </c>
      <c r="G1" t="s">
        <v>16</v>
      </c>
      <c r="H1" t="s">
        <v>17</v>
      </c>
      <c r="I1" t="s">
        <v>27</v>
      </c>
      <c r="J1" s="2" t="s">
        <v>60</v>
      </c>
      <c r="K1" s="2" t="s">
        <v>59</v>
      </c>
      <c r="L1" s="2" t="s">
        <v>56</v>
      </c>
      <c r="M1" s="2" t="s">
        <v>57</v>
      </c>
      <c r="N1" s="2" t="s">
        <v>58</v>
      </c>
      <c r="O1" t="s">
        <v>55</v>
      </c>
      <c r="P1" t="s">
        <v>61</v>
      </c>
      <c r="Q1" t="s">
        <v>126</v>
      </c>
      <c r="R1" t="s">
        <v>137</v>
      </c>
      <c r="S1" t="s">
        <v>133</v>
      </c>
      <c r="T1" t="s">
        <v>134</v>
      </c>
      <c r="U1" t="s">
        <v>5</v>
      </c>
      <c r="V1" t="s">
        <v>135</v>
      </c>
      <c r="W1" t="s">
        <v>132</v>
      </c>
      <c r="X1" t="s">
        <v>136</v>
      </c>
      <c r="Y1" t="s">
        <v>138</v>
      </c>
    </row>
    <row r="2" spans="1:28" x14ac:dyDescent="0.25">
      <c r="A2" t="s">
        <v>13</v>
      </c>
      <c r="B2">
        <f>448.77*VDS^-1.67</f>
        <v>7.0760539590290294</v>
      </c>
      <c r="C2">
        <f>1376.7*VDS^-1.67</f>
        <v>21.707341144450979</v>
      </c>
      <c r="D2">
        <f>4157*VDS^-1.67</f>
        <v>65.546173558133731</v>
      </c>
      <c r="E2">
        <f>3825.4*VDS^-1</f>
        <v>318.7833333333333</v>
      </c>
      <c r="F2">
        <v>400</v>
      </c>
      <c r="G2">
        <v>150</v>
      </c>
      <c r="H2">
        <v>400</v>
      </c>
      <c r="I2">
        <v>25</v>
      </c>
      <c r="J2" t="b">
        <f>AND(FET_List[[#This Row],[VDSMAX]]&gt;VDS,VDS&lt;=24,FET_List[[#This Row],[VDSMAX]]&lt;=30)</f>
        <v>1</v>
      </c>
      <c r="K2" t="b">
        <f>AND(FET_List[[#This Row],[VDSMAX]]&gt;VDS,VDS&lt;=28,FET_List[[#This Row],[VDSMAX]]=30)</f>
        <v>0</v>
      </c>
      <c r="L2" t="b">
        <f>AND(FET_List[[#This Row],[VDSMAX]]&gt;VDS,VDS&gt;24,VDS&lt;=56,FET_List[[#This Row],[VDSMAX]]=60)</f>
        <v>0</v>
      </c>
      <c r="M2" s="3" t="b">
        <f>AND(FET_List[[#This Row],[VDSMAX]]&gt;VDS,VDS&gt;=48,VDS&lt;=76,FET_List[[#This Row],[VDSMAX]]=80)</f>
        <v>0</v>
      </c>
      <c r="N2" s="3" t="b">
        <f>AND(FET_List[[#This Row],[VDSMAX]]&gt;VDS,VDS&gt;=48,VDS&lt;=96,FET_List[[#This Row],[VDSMAX]]=100)</f>
        <v>0</v>
      </c>
      <c r="O2" s="3" t="str">
        <f>IF(OR(FET_List[[#This Row],[BV=25&amp;30]:[BV=100]]),FET_List[[#This Row],[Part_Number]],"")</f>
        <v>CSD16415Q5</v>
      </c>
      <c r="P2" s="4" t="s">
        <v>63</v>
      </c>
      <c r="Q2" s="46" t="s">
        <v>127</v>
      </c>
      <c r="R2" s="46">
        <v>0.80300000000000005</v>
      </c>
      <c r="S2"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7.0760539590290294</v>
      </c>
      <c r="T2"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21.707341144450979</v>
      </c>
      <c r="U2" s="46">
        <f>IF(FET_List[[#This Row],[In pulldown]]="","",IF(PW_T2&lt;&gt;PW_T1,LN(FET_List[[#This Row],[SOA_T2]]/FET_List[[#This Row],[SOA_T1]])/LN(PW_T2/PW_T1),"na"))</f>
        <v>-0.48681549551633313</v>
      </c>
      <c r="V2" s="46">
        <f>IF(FET_List[[#This Row],[In pulldown]]="","",IF(PW_T2&lt;&gt;PW_T1,FET_List[[#This Row],[SOA_T2]]/PW_T2^FET_List[[#This Row],[Slope]],"na"))</f>
        <v>66.592010503299392</v>
      </c>
      <c r="W2" s="46">
        <f>IF(FET_List[[#This Row],[In pulldown]]="","",IF(PW_T2&lt;&gt;PW_T1,FET_List[[#This Row],[Mag]]*PW^FET_List[[#This Row],[Slope]],FET_List[[#This Row],[SOA_T2]]))</f>
        <v>15.490326258836509</v>
      </c>
      <c r="X2" s="47">
        <f>IF(FET_List[[#This Row],[In pulldown]]="","",FET_List[[#This Row],[SOA_25]]*((FET_List[[#This Row],[TJMAX]]-TC)/(FET_List[[#This Row],[TJMAX]]-25)))</f>
        <v>12.392261007069209</v>
      </c>
      <c r="Y2" s="46" t="str">
        <f>IF(FET_List[[#This Row],[In pulldown]]="","",_xlfn.CONCAT(O2,", ",FET_List[[#This Row],[VDSMAX]],"V, ",TEXT(X2,"0.00"),"A, $",FET_List[[#This Row],[1ku]],", ",FET_List[[#This Row],[Package]]))</f>
        <v>CSD16415Q5, 25V, 12.39A, $0.803, SON5X6</v>
      </c>
      <c r="AA2" t="s">
        <v>54</v>
      </c>
      <c r="AB2" t="s">
        <v>54</v>
      </c>
    </row>
    <row r="3" spans="1:28" x14ac:dyDescent="0.25">
      <c r="A3" t="s">
        <v>20</v>
      </c>
      <c r="B3">
        <f>221.36*VDS^-1.632</f>
        <v>3.8359713298564215</v>
      </c>
      <c r="C3">
        <f>495.56*VDS^-1.632</f>
        <v>8.5876127223692098</v>
      </c>
      <c r="D3">
        <f>1841.2*VDS^-1.632</f>
        <v>31.906353508003448</v>
      </c>
      <c r="E3">
        <f>7854.1*VDS^-1.632</f>
        <v>136.10454653878443</v>
      </c>
      <c r="F3">
        <v>400</v>
      </c>
      <c r="G3">
        <v>150</v>
      </c>
      <c r="H3">
        <v>400</v>
      </c>
      <c r="I3">
        <v>25</v>
      </c>
      <c r="J3" t="b">
        <f>AND(FET_List[[#This Row],[VDSMAX]]&gt;VDS,VDS&lt;=24,FET_List[[#This Row],[VDSMAX]]&lt;=30)</f>
        <v>1</v>
      </c>
      <c r="K3" t="b">
        <f>AND(FET_List[[#This Row],[VDSMAX]]&gt;VDS,VDS&lt;=28,FET_List[[#This Row],[VDSMAX]]=30)</f>
        <v>0</v>
      </c>
      <c r="L3" t="b">
        <f>AND(FET_List[[#This Row],[VDSMAX]]&gt;VDS,VDS&gt;24,VDS&lt;=56,FET_List[[#This Row],[VDSMAX]]=60)</f>
        <v>0</v>
      </c>
      <c r="M3" s="3" t="b">
        <f>AND(FET_List[[#This Row],[VDSMAX]]&gt;VDS,VDS&gt;=48,VDS&lt;=76,FET_List[[#This Row],[VDSMAX]]=80)</f>
        <v>0</v>
      </c>
      <c r="N3" s="3" t="b">
        <f>AND(FET_List[[#This Row],[VDSMAX]]&gt;VDS,VDS&gt;=48,VDS&lt;=96,FET_List[[#This Row],[VDSMAX]]=100)</f>
        <v>0</v>
      </c>
      <c r="O3" s="3" t="str">
        <f>IF(OR(FET_List[[#This Row],[BV=25&amp;30]:[BV=100]]),FET_List[[#This Row],[Part_Number]],"")</f>
        <v>CSD16556Q5B</v>
      </c>
      <c r="P3" s="4" t="s">
        <v>64</v>
      </c>
      <c r="Q3" s="46" t="s">
        <v>127</v>
      </c>
      <c r="R3" s="46">
        <v>0.75</v>
      </c>
      <c r="S3"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3.8359713298564215</v>
      </c>
      <c r="T3"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8.5876127223692098</v>
      </c>
      <c r="U3" s="46">
        <f>IF(FET_List[[#This Row],[In pulldown]]="","",IF(PW_T2&lt;&gt;PW_T1,LN(FET_List[[#This Row],[SOA_T2]]/FET_List[[#This Row],[SOA_T1]])/LN(PW_T2/PW_T1),"na"))</f>
        <v>-0.34999709814023</v>
      </c>
      <c r="V3" s="46">
        <f>IF(FET_List[[#This Row],[In pulldown]]="","",IF(PW_T2&lt;&gt;PW_T1,FET_List[[#This Row],[SOA_T2]]/PW_T2^FET_List[[#This Row],[Slope]],"na"))</f>
        <v>19.225141672828361</v>
      </c>
      <c r="W3" s="46">
        <f>IF(FET_List[[#This Row],[In pulldown]]="","",IF(PW_T2&lt;&gt;PW_T1,FET_List[[#This Row],[Mag]]*PW^FET_List[[#This Row],[Slope]],FET_List[[#This Row],[SOA_T2]]))</f>
        <v>6.737717933206179</v>
      </c>
      <c r="X3" s="47">
        <f>IF(FET_List[[#This Row],[In pulldown]]="","",FET_List[[#This Row],[SOA_25]]*((FET_List[[#This Row],[TJMAX]]-TC)/(FET_List[[#This Row],[TJMAX]]-25)))</f>
        <v>5.3901743465649439</v>
      </c>
      <c r="Y3" s="46" t="str">
        <f>IF(FET_List[[#This Row],[In pulldown]]="","",_xlfn.CONCAT(O3,", ",FET_List[[#This Row],[VDSMAX]],"V, ",TEXT(X3,"0.00"),"A, $",FET_List[[#This Row],[1ku]],", ",FET_List[[#This Row],[Package]]))</f>
        <v>CSD16556Q5B, 25V, 5.39A, $0.75, SON5X6</v>
      </c>
      <c r="AA3" t="s">
        <v>153</v>
      </c>
      <c r="AB3" t="s">
        <v>54</v>
      </c>
    </row>
    <row r="4" spans="1:28" x14ac:dyDescent="0.25">
      <c r="A4" t="s">
        <v>14</v>
      </c>
      <c r="B4">
        <f>136.49*VDS^-1.413</f>
        <v>4.075845687017007</v>
      </c>
      <c r="C4">
        <f>242.72*VDS^-1.413</f>
        <v>7.2480713982912146</v>
      </c>
      <c r="D4">
        <f>473.26*VDS^-1.413</f>
        <v>14.132425304693887</v>
      </c>
      <c r="E4">
        <f>1205.3*VDS^-1.413</f>
        <v>35.992503528182269</v>
      </c>
      <c r="F4">
        <f>4461.7*VDS^-1.413</f>
        <v>133.23467434803854</v>
      </c>
      <c r="G4">
        <v>150</v>
      </c>
      <c r="H4">
        <v>400</v>
      </c>
      <c r="I4">
        <v>25</v>
      </c>
      <c r="J4" t="b">
        <f>AND(FET_List[[#This Row],[VDSMAX]]&gt;VDS,VDS&lt;=24,FET_List[[#This Row],[VDSMAX]]&lt;=30)</f>
        <v>1</v>
      </c>
      <c r="K4" t="b">
        <f>AND(FET_List[[#This Row],[VDSMAX]]&gt;VDS,VDS&lt;=28,FET_List[[#This Row],[VDSMAX]]=30)</f>
        <v>0</v>
      </c>
      <c r="L4" t="b">
        <f>AND(FET_List[[#This Row],[VDSMAX]]&gt;VDS,VDS&gt;24,VDS&lt;=56,FET_List[[#This Row],[VDSMAX]]=60)</f>
        <v>0</v>
      </c>
      <c r="M4" s="3" t="b">
        <f>AND(FET_List[[#This Row],[VDSMAX]]&gt;VDS,VDS&gt;=48,VDS&lt;=76,FET_List[[#This Row],[VDSMAX]]=80)</f>
        <v>0</v>
      </c>
      <c r="N4" s="3" t="b">
        <f>AND(FET_List[[#This Row],[VDSMAX]]&gt;VDS,VDS&gt;=48,VDS&lt;=96,FET_List[[#This Row],[VDSMAX]]=100)</f>
        <v>0</v>
      </c>
      <c r="O4" s="3" t="str">
        <f>IF(OR(FET_List[[#This Row],[BV=25&amp;30]:[BV=100]]),FET_List[[#This Row],[Part_Number]],"")</f>
        <v>CSD16570Q5B</v>
      </c>
      <c r="P4" s="4" t="s">
        <v>65</v>
      </c>
      <c r="Q4" s="46" t="s">
        <v>127</v>
      </c>
      <c r="R4" s="46">
        <v>0.71699999999999997</v>
      </c>
      <c r="S4"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4.075845687017007</v>
      </c>
      <c r="T4"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7.2480713982912146</v>
      </c>
      <c r="U4" s="46">
        <f>IF(FET_List[[#This Row],[In pulldown]]="","",IF(PW_T2&lt;&gt;PW_T1,LN(FET_List[[#This Row],[SOA_T2]]/FET_List[[#This Row],[SOA_T1]])/LN(PW_T2/PW_T1),"na"))</f>
        <v>-0.2500047296769356</v>
      </c>
      <c r="V4" s="46">
        <f>IF(FET_List[[#This Row],[In pulldown]]="","",IF(PW_T2&lt;&gt;PW_T1,FET_List[[#This Row],[SOA_T2]]/PW_T2^FET_List[[#This Row],[Slope]],"na"))</f>
        <v>12.889236499327746</v>
      </c>
      <c r="W4" s="46">
        <f>IF(FET_List[[#This Row],[In pulldown]]="","",IF(PW_T2&lt;&gt;PW_T1,FET_List[[#This Row],[Mag]]*PW^FET_List[[#This Row],[Slope]],FET_List[[#This Row],[SOA_T2]]))</f>
        <v>6.0948572751434034</v>
      </c>
      <c r="X4" s="47">
        <f>IF(FET_List[[#This Row],[In pulldown]]="","",FET_List[[#This Row],[SOA_25]]*((FET_List[[#This Row],[TJMAX]]-TC)/(FET_List[[#This Row],[TJMAX]]-25)))</f>
        <v>4.875885820114723</v>
      </c>
      <c r="Y4" s="46" t="str">
        <f>IF(FET_List[[#This Row],[In pulldown]]="","",_xlfn.CONCAT(O4,", ",FET_List[[#This Row],[VDSMAX]],"V, ",TEXT(X4,"0.00"),"A, $",FET_List[[#This Row],[1ku]],", ",FET_List[[#This Row],[Package]]))</f>
        <v>CSD16570Q5B, 25V, 4.88A, $0.717, SON5X6</v>
      </c>
      <c r="AA4" t="s">
        <v>157</v>
      </c>
      <c r="AB4" t="s">
        <v>54</v>
      </c>
    </row>
    <row r="5" spans="1:28" x14ac:dyDescent="0.25">
      <c r="A5" t="s">
        <v>22</v>
      </c>
      <c r="B5">
        <f>175.83*VDS^-1.53</f>
        <v>3.9259581848934713</v>
      </c>
      <c r="C5">
        <f>623.88*VDS^-1.53</f>
        <v>13.930084697670129</v>
      </c>
      <c r="D5">
        <f>1972.9*VDS^-1.53</f>
        <v>44.051202314601206</v>
      </c>
      <c r="E5">
        <f>7854.1*VDS^-1.53</f>
        <v>175.3675037250288</v>
      </c>
      <c r="F5">
        <v>400</v>
      </c>
      <c r="G5">
        <v>150</v>
      </c>
      <c r="H5">
        <v>400</v>
      </c>
      <c r="I5">
        <v>30</v>
      </c>
      <c r="J5" t="b">
        <f>AND(FET_List[[#This Row],[VDSMAX]]&gt;VDS,VDS&lt;=24,FET_List[[#This Row],[VDSMAX]]&lt;=30)</f>
        <v>1</v>
      </c>
      <c r="K5" t="b">
        <f>AND(FET_List[[#This Row],[VDSMAX]]&gt;VDS,VDS&lt;=28,FET_List[[#This Row],[VDSMAX]]=30)</f>
        <v>1</v>
      </c>
      <c r="L5" t="b">
        <f>AND(FET_List[[#This Row],[VDSMAX]]&gt;VDS,VDS&gt;24,VDS&lt;=56,FET_List[[#This Row],[VDSMAX]]=60)</f>
        <v>0</v>
      </c>
      <c r="M5" s="3" t="b">
        <f>AND(FET_List[[#This Row],[VDSMAX]]&gt;VDS,VDS&gt;=48,VDS&lt;=76,FET_List[[#This Row],[VDSMAX]]=80)</f>
        <v>0</v>
      </c>
      <c r="N5" s="3" t="b">
        <f>AND(FET_List[[#This Row],[VDSMAX]]&gt;VDS,VDS&gt;=48,VDS&lt;=96,FET_List[[#This Row],[VDSMAX]]=100)</f>
        <v>0</v>
      </c>
      <c r="O5" s="3" t="str">
        <f>IF(OR(FET_List[[#This Row],[BV=25&amp;30]:[BV=100]]),FET_List[[#This Row],[Part_Number]],"")</f>
        <v>CSD17556Q5B</v>
      </c>
      <c r="P5" s="4" t="s">
        <v>66</v>
      </c>
      <c r="Q5" s="46" t="s">
        <v>127</v>
      </c>
      <c r="R5" s="46">
        <v>0.76800000000000002</v>
      </c>
      <c r="S5"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3.9259581848934713</v>
      </c>
      <c r="T5"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13.930084697670129</v>
      </c>
      <c r="U5" s="46">
        <f>IF(FET_List[[#This Row],[In pulldown]]="","",IF(PW_T2&lt;&gt;PW_T1,LN(FET_List[[#This Row],[SOA_T2]]/FET_List[[#This Row],[SOA_T1]])/LN(PW_T2/PW_T1),"na"))</f>
        <v>-0.55000808737992291</v>
      </c>
      <c r="V5" s="46">
        <f>IF(FET_List[[#This Row],[In pulldown]]="","",IF(PW_T2&lt;&gt;PW_T1,FET_List[[#This Row],[SOA_T2]]/PW_T2^FET_List[[#This Row],[Slope]],"na"))</f>
        <v>49.426726048924749</v>
      </c>
      <c r="W5" s="46">
        <f>IF(FET_List[[#This Row],[In pulldown]]="","",IF(PW_T2&lt;&gt;PW_T1,FET_List[[#This Row],[Mag]]*PW^FET_List[[#This Row],[Slope]],FET_List[[#This Row],[SOA_T2]]))</f>
        <v>9.5144749026421689</v>
      </c>
      <c r="X5" s="47">
        <f>IF(FET_List[[#This Row],[In pulldown]]="","",FET_List[[#This Row],[SOA_25]]*((FET_List[[#This Row],[TJMAX]]-TC)/(FET_List[[#This Row],[TJMAX]]-25)))</f>
        <v>7.6115799221137355</v>
      </c>
      <c r="Y5" s="46" t="str">
        <f>IF(FET_List[[#This Row],[In pulldown]]="","",_xlfn.CONCAT(O5,", ",FET_List[[#This Row],[VDSMAX]],"V, ",TEXT(X5,"0.00"),"A, $",FET_List[[#This Row],[1ku]],", ",FET_List[[#This Row],[Package]]))</f>
        <v>CSD17556Q5B, 30V, 7.61A, $0.768, SON5X6</v>
      </c>
      <c r="AA5" t="s">
        <v>156</v>
      </c>
      <c r="AB5" t="s">
        <v>54</v>
      </c>
    </row>
    <row r="6" spans="1:28" x14ac:dyDescent="0.25">
      <c r="A6" t="s">
        <v>21</v>
      </c>
      <c r="B6">
        <f>197.29*VDS^-1.551</f>
        <v>4.1811424127677537</v>
      </c>
      <c r="C6">
        <f>785.41*VDS^-1.551</f>
        <v>16.645096367843891</v>
      </c>
      <c r="D6">
        <f>1972.9*VDS^-1.551</f>
        <v>41.811424127677533</v>
      </c>
      <c r="E6">
        <f>5958*VDS^-1.551</f>
        <v>126.26715239125285</v>
      </c>
      <c r="F6">
        <v>400</v>
      </c>
      <c r="G6">
        <v>150</v>
      </c>
      <c r="H6">
        <v>400</v>
      </c>
      <c r="I6">
        <v>30</v>
      </c>
      <c r="J6" t="b">
        <f>AND(FET_List[[#This Row],[VDSMAX]]&gt;VDS,VDS&lt;=24,FET_List[[#This Row],[VDSMAX]]&lt;=30)</f>
        <v>1</v>
      </c>
      <c r="K6" t="b">
        <f>AND(FET_List[[#This Row],[VDSMAX]]&gt;VDS,VDS&lt;=28,FET_List[[#This Row],[VDSMAX]]=30)</f>
        <v>1</v>
      </c>
      <c r="L6" t="b">
        <f>AND(FET_List[[#This Row],[VDSMAX]]&gt;VDS,VDS&gt;24,VDS&lt;=56,FET_List[[#This Row],[VDSMAX]]=60)</f>
        <v>0</v>
      </c>
      <c r="M6" s="3" t="b">
        <f>AND(FET_List[[#This Row],[VDSMAX]]&gt;VDS,VDS&gt;=48,VDS&lt;=76,FET_List[[#This Row],[VDSMAX]]=80)</f>
        <v>0</v>
      </c>
      <c r="N6" s="3" t="b">
        <f>AND(FET_List[[#This Row],[VDSMAX]]&gt;VDS,VDS&gt;=48,VDS&lt;=96,FET_List[[#This Row],[VDSMAX]]=100)</f>
        <v>0</v>
      </c>
      <c r="O6" s="3" t="str">
        <f>IF(OR(FET_List[[#This Row],[BV=25&amp;30]:[BV=100]]),FET_List[[#This Row],[Part_Number]],"")</f>
        <v>CSD17559Q5</v>
      </c>
      <c r="P6" s="4" t="s">
        <v>67</v>
      </c>
      <c r="Q6" s="46" t="s">
        <v>127</v>
      </c>
      <c r="R6" s="46">
        <v>0.90500000000000003</v>
      </c>
      <c r="S6"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4.1811424127677537</v>
      </c>
      <c r="T6"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16.645096367843891</v>
      </c>
      <c r="U6" s="46">
        <f>IF(FET_List[[#This Row],[In pulldown]]="","",IF(PW_T2&lt;&gt;PW_T1,LN(FET_List[[#This Row],[SOA_T2]]/FET_List[[#This Row],[SOA_T1]])/LN(PW_T2/PW_T1),"na"))</f>
        <v>-0.59999135368554268</v>
      </c>
      <c r="V6" s="46">
        <f>IF(FET_List[[#This Row],[In pulldown]]="","",IF(PW_T2&lt;&gt;PW_T1,FET_List[[#This Row],[SOA_T2]]/PW_T2^FET_List[[#This Row],[Slope]],"na"))</f>
        <v>66.264002931057149</v>
      </c>
      <c r="W6" s="46">
        <f>IF(FET_List[[#This Row],[In pulldown]]="","",IF(PW_T2&lt;&gt;PW_T1,FET_List[[#This Row],[Mag]]*PW^FET_List[[#This Row],[Slope]],FET_List[[#This Row],[SOA_T2]]))</f>
        <v>10.981733981658415</v>
      </c>
      <c r="X6" s="47">
        <f>IF(FET_List[[#This Row],[In pulldown]]="","",FET_List[[#This Row],[SOA_25]]*((FET_List[[#This Row],[TJMAX]]-TC)/(FET_List[[#This Row],[TJMAX]]-25)))</f>
        <v>8.7853871853267318</v>
      </c>
      <c r="Y6" s="46" t="str">
        <f>IF(FET_List[[#This Row],[In pulldown]]="","",_xlfn.CONCAT(O6,", ",FET_List[[#This Row],[VDSMAX]],"V, ",TEXT(X6,"0.00"),"A, $",FET_List[[#This Row],[1ku]],", ",FET_List[[#This Row],[Package]]))</f>
        <v>CSD17559Q5, 30V, 8.79A, $0.905, SON5X6</v>
      </c>
      <c r="AA6" t="s">
        <v>154</v>
      </c>
      <c r="AB6" t="s">
        <v>54</v>
      </c>
    </row>
    <row r="7" spans="1:28" x14ac:dyDescent="0.25">
      <c r="A7" t="s">
        <v>18</v>
      </c>
      <c r="B7">
        <f>136.49*VDS^-1.413</f>
        <v>4.075845687017007</v>
      </c>
      <c r="C7">
        <f>242.72*VDS^-1.413</f>
        <v>7.2480713982912146</v>
      </c>
      <c r="D7">
        <f>473.26*VDS^-1.413</f>
        <v>14.132425304693887</v>
      </c>
      <c r="E7">
        <f>1205.3*VDS^-1.413</f>
        <v>35.992503528182269</v>
      </c>
      <c r="F7">
        <f>4461.7*VDS^-1.413</f>
        <v>133.23467434803854</v>
      </c>
      <c r="G7">
        <v>150</v>
      </c>
      <c r="H7">
        <v>400</v>
      </c>
      <c r="I7">
        <v>30</v>
      </c>
      <c r="J7" t="b">
        <f>AND(FET_List[[#This Row],[VDSMAX]]&gt;VDS,VDS&lt;=24,FET_List[[#This Row],[VDSMAX]]&lt;=30)</f>
        <v>1</v>
      </c>
      <c r="K7" t="b">
        <f>AND(FET_List[[#This Row],[VDSMAX]]&gt;VDS,VDS&lt;=28,FET_List[[#This Row],[VDSMAX]]=30)</f>
        <v>1</v>
      </c>
      <c r="L7" t="b">
        <f>AND(FET_List[[#This Row],[VDSMAX]]&gt;VDS,VDS&gt;24,VDS&lt;=56,FET_List[[#This Row],[VDSMAX]]=60)</f>
        <v>0</v>
      </c>
      <c r="M7" s="3" t="b">
        <f>AND(FET_List[[#This Row],[VDSMAX]]&gt;VDS,VDS&gt;=48,VDS&lt;=76,FET_List[[#This Row],[VDSMAX]]=80)</f>
        <v>0</v>
      </c>
      <c r="N7" s="3" t="b">
        <f>AND(FET_List[[#This Row],[VDSMAX]]&gt;VDS,VDS&gt;=48,VDS&lt;=96,FET_List[[#This Row],[VDSMAX]]=100)</f>
        <v>0</v>
      </c>
      <c r="O7" s="3" t="str">
        <f>IF(OR(FET_List[[#This Row],[BV=25&amp;30]:[BV=100]]),FET_List[[#This Row],[Part_Number]],"")</f>
        <v>CSD17570Q5B</v>
      </c>
      <c r="P7" s="4" t="s">
        <v>68</v>
      </c>
      <c r="Q7" s="46" t="s">
        <v>127</v>
      </c>
      <c r="R7" s="46">
        <v>0.72599999999999998</v>
      </c>
      <c r="S7"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4.075845687017007</v>
      </c>
      <c r="T7"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7.2480713982912146</v>
      </c>
      <c r="U7" s="46">
        <f>IF(FET_List[[#This Row],[In pulldown]]="","",IF(PW_T2&lt;&gt;PW_T1,LN(FET_List[[#This Row],[SOA_T2]]/FET_List[[#This Row],[SOA_T1]])/LN(PW_T2/PW_T1),"na"))</f>
        <v>-0.2500047296769356</v>
      </c>
      <c r="V7" s="46">
        <f>IF(FET_List[[#This Row],[In pulldown]]="","",IF(PW_T2&lt;&gt;PW_T1,FET_List[[#This Row],[SOA_T2]]/PW_T2^FET_List[[#This Row],[Slope]],"na"))</f>
        <v>12.889236499327746</v>
      </c>
      <c r="W7" s="46">
        <f>IF(FET_List[[#This Row],[In pulldown]]="","",IF(PW_T2&lt;&gt;PW_T1,FET_List[[#This Row],[Mag]]*PW^FET_List[[#This Row],[Slope]],FET_List[[#This Row],[SOA_T2]]))</f>
        <v>6.0948572751434034</v>
      </c>
      <c r="X7" s="47">
        <f>IF(FET_List[[#This Row],[In pulldown]]="","",FET_List[[#This Row],[SOA_25]]*((FET_List[[#This Row],[TJMAX]]-TC)/(FET_List[[#This Row],[TJMAX]]-25)))</f>
        <v>4.875885820114723</v>
      </c>
      <c r="Y7" s="46" t="str">
        <f>IF(FET_List[[#This Row],[In pulldown]]="","",_xlfn.CONCAT(O7,", ",FET_List[[#This Row],[VDSMAX]],"V, ",TEXT(X7,"0.00"),"A, $",FET_List[[#This Row],[1ku]],", ",FET_List[[#This Row],[Package]]))</f>
        <v>CSD17570Q5B, 30V, 4.88A, $0.726, SON5X6</v>
      </c>
      <c r="AA7" t="s">
        <v>159</v>
      </c>
      <c r="AB7" t="s">
        <v>54</v>
      </c>
    </row>
    <row r="8" spans="1:28" x14ac:dyDescent="0.25">
      <c r="A8" t="s">
        <v>19</v>
      </c>
      <c r="B8">
        <f>86.93035*VDS^-1.2</f>
        <v>4.4071104306913371</v>
      </c>
      <c r="C8">
        <f>516.4445*VDS^-1.706</f>
        <v>7.44629865596385</v>
      </c>
      <c r="D8">
        <f>3441.75*VDS^-2.076</f>
        <v>19.787870262732373</v>
      </c>
      <c r="E8">
        <f>16701.1*VDS^-1.935</f>
        <v>136.31051710340284</v>
      </c>
      <c r="F8">
        <v>400</v>
      </c>
      <c r="G8">
        <v>150</v>
      </c>
      <c r="H8">
        <v>400</v>
      </c>
      <c r="I8">
        <v>30</v>
      </c>
      <c r="J8" t="b">
        <f>AND(FET_List[[#This Row],[VDSMAX]]&gt;VDS,VDS&lt;=24,FET_List[[#This Row],[VDSMAX]]&lt;=30)</f>
        <v>1</v>
      </c>
      <c r="K8" t="b">
        <f>AND(FET_List[[#This Row],[VDSMAX]]&gt;VDS,VDS&lt;=28,FET_List[[#This Row],[VDSMAX]]=30)</f>
        <v>1</v>
      </c>
      <c r="L8" t="b">
        <f>AND(FET_List[[#This Row],[VDSMAX]]&gt;VDS,VDS&gt;24,VDS&lt;=56,FET_List[[#This Row],[VDSMAX]]=60)</f>
        <v>0</v>
      </c>
      <c r="M8" s="3" t="b">
        <f>AND(FET_List[[#This Row],[VDSMAX]]&gt;VDS,VDS&gt;=48,VDS&lt;=76,FET_List[[#This Row],[VDSMAX]]=80)</f>
        <v>0</v>
      </c>
      <c r="N8" s="3" t="b">
        <f>AND(FET_List[[#This Row],[VDSMAX]]&gt;VDS,VDS&gt;=48,VDS&lt;=96,FET_List[[#This Row],[VDSMAX]]=100)</f>
        <v>0</v>
      </c>
      <c r="O8" s="3" t="str">
        <f>IF(OR(FET_List[[#This Row],[BV=25&amp;30]:[BV=100]]),FET_List[[#This Row],[Part_Number]],"")</f>
        <v>CSD17573Q5B</v>
      </c>
      <c r="P8" s="4" t="s">
        <v>69</v>
      </c>
      <c r="Q8" s="46" t="s">
        <v>127</v>
      </c>
      <c r="R8" s="46">
        <v>0.52400000000000002</v>
      </c>
      <c r="S8"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4.4071104306913371</v>
      </c>
      <c r="T8"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7.44629865596385</v>
      </c>
      <c r="U8" s="46">
        <f>IF(FET_List[[#This Row],[In pulldown]]="","",IF(PW_T2&lt;&gt;PW_T1,LN(FET_List[[#This Row],[SOA_T2]]/FET_List[[#This Row],[SOA_T1]])/LN(PW_T2/PW_T1),"na"))</f>
        <v>-0.22778651797101362</v>
      </c>
      <c r="V8" s="46">
        <f>IF(FET_List[[#This Row],[In pulldown]]="","",IF(PW_T2&lt;&gt;PW_T1,FET_List[[#This Row],[SOA_T2]]/PW_T2^FET_List[[#This Row],[Slope]],"na"))</f>
        <v>12.581342025757017</v>
      </c>
      <c r="W8" s="46">
        <f>IF(FET_List[[#This Row],[In pulldown]]="","",IF(PW_T2&lt;&gt;PW_T1,FET_List[[#This Row],[Mag]]*PW^FET_List[[#This Row],[Slope]],FET_List[[#This Row],[SOA_T2]]))</f>
        <v>6.3587225580744873</v>
      </c>
      <c r="X8" s="47">
        <f>IF(FET_List[[#This Row],[In pulldown]]="","",FET_List[[#This Row],[SOA_25]]*((FET_List[[#This Row],[TJMAX]]-TC)/(FET_List[[#This Row],[TJMAX]]-25)))</f>
        <v>5.0869780464595902</v>
      </c>
      <c r="Y8" s="46" t="str">
        <f>IF(FET_List[[#This Row],[In pulldown]]="","",_xlfn.CONCAT(O8,", ",FET_List[[#This Row],[VDSMAX]],"V, ",TEXT(X8,"0.00"),"A, $",FET_List[[#This Row],[1ku]],", ",FET_List[[#This Row],[Package]]))</f>
        <v>CSD17573Q5B, 30V, 5.09A, $0.524, SON5X6</v>
      </c>
      <c r="AA8" t="s">
        <v>155</v>
      </c>
      <c r="AB8" t="s">
        <v>54</v>
      </c>
    </row>
    <row r="9" spans="1:28" x14ac:dyDescent="0.25">
      <c r="A9" t="s">
        <v>24</v>
      </c>
      <c r="B9">
        <f>62.388*VDS^-1.636</f>
        <v>1.0704356018226533</v>
      </c>
      <c r="C9">
        <f>139.67*VDS^-1.636</f>
        <v>2.3964182295725136</v>
      </c>
      <c r="D9">
        <f>350.83*VDS^-1.636</f>
        <v>6.0194415943361141</v>
      </c>
      <c r="E9">
        <f>1059.5*VDS^-1.636</f>
        <v>18.178600373967772</v>
      </c>
      <c r="F9">
        <f>3991.1*VDS^-1.636</f>
        <v>68.478161352093224</v>
      </c>
      <c r="G9">
        <v>150</v>
      </c>
      <c r="H9">
        <v>240</v>
      </c>
      <c r="I9">
        <v>30</v>
      </c>
      <c r="J9" t="b">
        <f>AND(FET_List[[#This Row],[VDSMAX]]&gt;VDS,VDS&lt;=24,FET_List[[#This Row],[VDSMAX]]&lt;=30)</f>
        <v>1</v>
      </c>
      <c r="K9" t="b">
        <f>AND(FET_List[[#This Row],[VDSMAX]]&gt;VDS,VDS&lt;=28,FET_List[[#This Row],[VDSMAX]]=30)</f>
        <v>1</v>
      </c>
      <c r="L9" t="b">
        <f>AND(FET_List[[#This Row],[VDSMAX]]&gt;VDS,VDS&gt;24,VDS&lt;=56,FET_List[[#This Row],[VDSMAX]]=60)</f>
        <v>0</v>
      </c>
      <c r="M9" s="3" t="b">
        <f>AND(FET_List[[#This Row],[VDSMAX]]&gt;VDS,VDS&gt;=48,VDS&lt;=76,FET_List[[#This Row],[VDSMAX]]=80)</f>
        <v>0</v>
      </c>
      <c r="N9" s="3" t="b">
        <f>AND(FET_List[[#This Row],[VDSMAX]]&gt;VDS,VDS&gt;=48,VDS&lt;=96,FET_List[[#This Row],[VDSMAX]]=100)</f>
        <v>0</v>
      </c>
      <c r="O9" s="3" t="str">
        <f>IF(OR(FET_List[[#This Row],[BV=25&amp;30]:[BV=100]]),FET_List[[#This Row],[Part_Number]],"")</f>
        <v>CSD17575Q3</v>
      </c>
      <c r="P9" s="4" t="s">
        <v>70</v>
      </c>
      <c r="Q9" s="46" t="s">
        <v>128</v>
      </c>
      <c r="R9" s="46">
        <v>0.309</v>
      </c>
      <c r="S9"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1.0704356018226533</v>
      </c>
      <c r="T9"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2.3964182295725136</v>
      </c>
      <c r="U9" s="46">
        <f>IF(FET_List[[#This Row],[In pulldown]]="","",IF(PW_T2&lt;&gt;PW_T1,LN(FET_List[[#This Row],[SOA_T2]]/FET_List[[#This Row],[SOA_T1]])/LN(PW_T2/PW_T1),"na"))</f>
        <v>-0.35000206966517727</v>
      </c>
      <c r="V9" s="46">
        <f>IF(FET_List[[#This Row],[In pulldown]]="","",IF(PW_T2&lt;&gt;PW_T1,FET_List[[#This Row],[SOA_T2]]/PW_T2^FET_List[[#This Row],[Slope]],"na"))</f>
        <v>5.3649377143744452</v>
      </c>
      <c r="W9" s="46">
        <f>IF(FET_List[[#This Row],[In pulldown]]="","",IF(PW_T2&lt;&gt;PW_T1,FET_List[[#This Row],[Mag]]*PW^FET_List[[#This Row],[Slope]],FET_List[[#This Row],[SOA_T2]]))</f>
        <v>1.8801889375442431</v>
      </c>
      <c r="X9" s="47">
        <f>IF(FET_List[[#This Row],[In pulldown]]="","",FET_List[[#This Row],[SOA_25]]*((FET_List[[#This Row],[TJMAX]]-TC)/(FET_List[[#This Row],[TJMAX]]-25)))</f>
        <v>1.5041511500353946</v>
      </c>
      <c r="Y9" s="46" t="str">
        <f>IF(FET_List[[#This Row],[In pulldown]]="","",_xlfn.CONCAT(O9,", ",FET_List[[#This Row],[VDSMAX]],"V, ",TEXT(X9,"0.00"),"A, $",FET_List[[#This Row],[1ku]],", ",FET_List[[#This Row],[Package]]))</f>
        <v>CSD17575Q3, 30V, 1.50A, $0.309, SON3X3</v>
      </c>
      <c r="AA9" t="s">
        <v>158</v>
      </c>
      <c r="AB9" t="s">
        <v>54</v>
      </c>
    </row>
    <row r="10" spans="1:28" x14ac:dyDescent="0.25">
      <c r="A10" t="s">
        <v>23</v>
      </c>
      <c r="B10">
        <f>119.82*VDS^-1.473</f>
        <v>3.0824450255258884</v>
      </c>
      <c r="C10">
        <f>254.37*VDS^-1.473</f>
        <v>6.5438285857371081</v>
      </c>
      <c r="D10">
        <f>389.03*VDS^-1.473</f>
        <v>10.008041965284063</v>
      </c>
      <c r="E10">
        <f>647.77*VDS^-1.473</f>
        <v>16.664291555540853</v>
      </c>
      <c r="F10">
        <f>1194.4*VDS^-1.473</f>
        <v>30.726692860024386</v>
      </c>
      <c r="G10">
        <v>150</v>
      </c>
      <c r="H10">
        <v>159</v>
      </c>
      <c r="I10">
        <v>30</v>
      </c>
      <c r="J10" t="b">
        <f>AND(FET_List[[#This Row],[VDSMAX]]&gt;VDS,VDS&lt;=24,FET_List[[#This Row],[VDSMAX]]&lt;=30)</f>
        <v>1</v>
      </c>
      <c r="K10" t="b">
        <f>AND(FET_List[[#This Row],[VDSMAX]]&gt;VDS,VDS&lt;=28,FET_List[[#This Row],[VDSMAX]]=30)</f>
        <v>1</v>
      </c>
      <c r="L10" t="b">
        <f>AND(FET_List[[#This Row],[VDSMAX]]&gt;VDS,VDS&gt;24,VDS&lt;=56,FET_List[[#This Row],[VDSMAX]]=60)</f>
        <v>0</v>
      </c>
      <c r="M10" s="3" t="b">
        <f>AND(FET_List[[#This Row],[VDSMAX]]&gt;VDS,VDS&gt;=48,VDS&lt;=76,FET_List[[#This Row],[VDSMAX]]=80)</f>
        <v>0</v>
      </c>
      <c r="N10" s="3" t="b">
        <f>AND(FET_List[[#This Row],[VDSMAX]]&gt;VDS,VDS&gt;=48,VDS&lt;=96,FET_List[[#This Row],[VDSMAX]]=100)</f>
        <v>0</v>
      </c>
      <c r="O10" s="3" t="str">
        <f>IF(OR(FET_List[[#This Row],[BV=25&amp;30]:[BV=100]]),FET_List[[#This Row],[Part_Number]],"")</f>
        <v>CSD17576Q5B</v>
      </c>
      <c r="P10" s="4" t="s">
        <v>71</v>
      </c>
      <c r="Q10" s="46" t="s">
        <v>127</v>
      </c>
      <c r="R10" s="46">
        <v>0.378</v>
      </c>
      <c r="S10"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3.0824450255258884</v>
      </c>
      <c r="T10"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6.5438285857371081</v>
      </c>
      <c r="U10" s="46">
        <f>IF(FET_List[[#This Row],[In pulldown]]="","",IF(PW_T2&lt;&gt;PW_T1,LN(FET_List[[#This Row],[SOA_T2]]/FET_List[[#This Row],[SOA_T1]])/LN(PW_T2/PW_T1),"na"))</f>
        <v>-0.3269365747301784</v>
      </c>
      <c r="V10" s="46">
        <f>IF(FET_List[[#This Row],[In pulldown]]="","",IF(PW_T2&lt;&gt;PW_T1,FET_List[[#This Row],[SOA_T2]]/PW_T2^FET_List[[#This Row],[Slope]],"na"))</f>
        <v>13.892118822850515</v>
      </c>
      <c r="W10" s="46">
        <f>IF(FET_List[[#This Row],[In pulldown]]="","",IF(PW_T2&lt;&gt;PW_T1,FET_List[[#This Row],[Mag]]*PW^FET_List[[#This Row],[Slope]],FET_List[[#This Row],[SOA_T2]]))</f>
        <v>5.2169202629895661</v>
      </c>
      <c r="X10" s="47">
        <f>IF(FET_List[[#This Row],[In pulldown]]="","",FET_List[[#This Row],[SOA_25]]*((FET_List[[#This Row],[TJMAX]]-TC)/(FET_List[[#This Row],[TJMAX]]-25)))</f>
        <v>4.1735362103916529</v>
      </c>
      <c r="Y10" s="46" t="str">
        <f>IF(FET_List[[#This Row],[In pulldown]]="","",_xlfn.CONCAT(O10,", ",FET_List[[#This Row],[VDSMAX]],"V, ",TEXT(X10,"0.00"),"A, $",FET_List[[#This Row],[1ku]],", ",FET_List[[#This Row],[Package]]))</f>
        <v>CSD17576Q5B, 30V, 4.17A, $0.378, SON5X6</v>
      </c>
      <c r="AA10" t="s">
        <v>161</v>
      </c>
      <c r="AB10" t="s">
        <v>54</v>
      </c>
    </row>
    <row r="11" spans="1:28" x14ac:dyDescent="0.25">
      <c r="A11" t="s">
        <v>25</v>
      </c>
      <c r="B11">
        <f>56.31795*VDS^-1.362</f>
        <v>1.9089826478124083</v>
      </c>
      <c r="C11">
        <f>157.482*VDS^-1.575</f>
        <v>3.144274539895024</v>
      </c>
      <c r="D11">
        <f>1188.915*VDS^-1.929</f>
        <v>9.8494092429302373</v>
      </c>
      <c r="E11">
        <f>0.65*767.783*VDS^-0.89</f>
        <v>54.661373417274831</v>
      </c>
      <c r="F11">
        <f>2305.78*VDS^-1</f>
        <v>192.14833333333334</v>
      </c>
      <c r="G11">
        <v>150</v>
      </c>
      <c r="H11">
        <v>256</v>
      </c>
      <c r="I11">
        <v>30</v>
      </c>
      <c r="J11" t="b">
        <f>AND(FET_List[[#This Row],[VDSMAX]]&gt;VDS,VDS&lt;=24,FET_List[[#This Row],[VDSMAX]]&lt;=30)</f>
        <v>1</v>
      </c>
      <c r="K11" t="b">
        <f>AND(FET_List[[#This Row],[VDSMAX]]&gt;VDS,VDS&lt;=28,FET_List[[#This Row],[VDSMAX]]=30)</f>
        <v>1</v>
      </c>
      <c r="L11" t="b">
        <f>AND(FET_List[[#This Row],[VDSMAX]]&gt;VDS,VDS&gt;24,VDS&lt;=56,FET_List[[#This Row],[VDSMAX]]=60)</f>
        <v>0</v>
      </c>
      <c r="M11" s="3" t="b">
        <f>AND(FET_List[[#This Row],[VDSMAX]]&gt;VDS,VDS&gt;=48,VDS&lt;=76,FET_List[[#This Row],[VDSMAX]]=80)</f>
        <v>0</v>
      </c>
      <c r="N11" s="3" t="b">
        <f>AND(FET_List[[#This Row],[VDSMAX]]&gt;VDS,VDS&gt;=48,VDS&lt;=96,FET_List[[#This Row],[VDSMAX]]=100)</f>
        <v>0</v>
      </c>
      <c r="O11" s="3" t="str">
        <f>IF(OR(FET_List[[#This Row],[BV=25&amp;30]:[BV=100]]),FET_List[[#This Row],[Part_Number]],"")</f>
        <v>CSD17581Q5A</v>
      </c>
      <c r="P11" s="4" t="s">
        <v>72</v>
      </c>
      <c r="Q11" s="46" t="s">
        <v>127</v>
      </c>
      <c r="R11" s="46">
        <v>0.219</v>
      </c>
      <c r="S11" s="46">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1.9089826478124083</v>
      </c>
      <c r="T11" s="46">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3.144274539895024</v>
      </c>
      <c r="U11" s="46">
        <f>IF(FET_List[[#This Row],[In pulldown]]="","",IF(PW_T2&lt;&gt;PW_T1,LN(FET_List[[#This Row],[SOA_T2]]/FET_List[[#This Row],[SOA_T1]])/LN(PW_T2/PW_T1),"na"))</f>
        <v>-0.2167184783286287</v>
      </c>
      <c r="V11" s="46">
        <f>IF(FET_List[[#This Row],[In pulldown]]="","",IF(PW_T2&lt;&gt;PW_T1,FET_List[[#This Row],[SOA_T2]]/PW_T2^FET_List[[#This Row],[Slope]],"na"))</f>
        <v>5.1789168401092702</v>
      </c>
      <c r="W11" s="46">
        <f>IF(FET_List[[#This Row],[In pulldown]]="","",IF(PW_T2&lt;&gt;PW_T1,FET_List[[#This Row],[Mag]]*PW^FET_List[[#This Row],[Slope]],FET_List[[#This Row],[SOA_T2]]))</f>
        <v>2.7057128020980685</v>
      </c>
      <c r="X11" s="47">
        <f>IF(FET_List[[#This Row],[In pulldown]]="","",FET_List[[#This Row],[SOA_25]]*((FET_List[[#This Row],[TJMAX]]-TC)/(FET_List[[#This Row],[TJMAX]]-25)))</f>
        <v>2.1645702416784549</v>
      </c>
      <c r="Y11" s="46" t="str">
        <f>IF(FET_List[[#This Row],[In pulldown]]="","",_xlfn.CONCAT(O11,", ",FET_List[[#This Row],[VDSMAX]],"V, ",TEXT(X11,"0.00"),"A, $",FET_List[[#This Row],[1ku]],", ",FET_List[[#This Row],[Package]]))</f>
        <v>CSD17581Q5A, 30V, 2.16A, $0.219, SON5X6</v>
      </c>
      <c r="AA11" t="s">
        <v>162</v>
      </c>
      <c r="AB11" t="s">
        <v>54</v>
      </c>
    </row>
    <row r="12" spans="1:28" x14ac:dyDescent="0.25">
      <c r="A12" t="s">
        <v>38</v>
      </c>
      <c r="B12">
        <f>180.1*VDS^-1.526</f>
        <v>4.0614688934827603</v>
      </c>
      <c r="C12">
        <f>679.18*VDS^-1.526</f>
        <v>15.316315619520383</v>
      </c>
      <c r="D12">
        <f>1653.3*VDS^-1.526</f>
        <v>37.283878520794268</v>
      </c>
      <c r="E12">
        <f>5027.2*VDS^-1.526</f>
        <v>113.36933049037496</v>
      </c>
      <c r="F12">
        <f>20185*VDS^-1.526</f>
        <v>455.19572245946426</v>
      </c>
      <c r="G12">
        <v>150</v>
      </c>
      <c r="H12">
        <v>365</v>
      </c>
      <c r="I12">
        <v>60</v>
      </c>
      <c r="J12" t="b">
        <f>AND(FET_List[[#This Row],[VDSMAX]]&gt;VDS,VDS&lt;=24,FET_List[[#This Row],[VDSMAX]]&lt;=30)</f>
        <v>0</v>
      </c>
      <c r="K12" t="b">
        <f>AND(FET_List[[#This Row],[VDSMAX]]&gt;VDS,VDS&lt;=28,FET_List[[#This Row],[VDSMAX]]=30)</f>
        <v>0</v>
      </c>
      <c r="L12" t="b">
        <f>AND(FET_List[[#This Row],[VDSMAX]]&gt;VDS,VDS&gt;24,VDS&lt;=56,FET_List[[#This Row],[VDSMAX]]=60)</f>
        <v>0</v>
      </c>
      <c r="M12" s="3" t="b">
        <f>AND(FET_List[[#This Row],[VDSMAX]]&gt;VDS,VDS&gt;=48,VDS&lt;=76,FET_List[[#This Row],[VDSMAX]]=80)</f>
        <v>0</v>
      </c>
      <c r="N12" s="3" t="b">
        <f>AND(FET_List[[#This Row],[VDSMAX]]&gt;VDS,VDS&gt;=48,VDS&lt;=96,FET_List[[#This Row],[VDSMAX]]=100)</f>
        <v>0</v>
      </c>
      <c r="O12" s="3" t="str">
        <f>IF(OR(FET_List[[#This Row],[BV=25&amp;30]:[BV=100]]),FET_List[[#This Row],[Part_Number]],"")</f>
        <v/>
      </c>
      <c r="P12" s="4" t="s">
        <v>73</v>
      </c>
      <c r="Q12" s="46" t="s">
        <v>127</v>
      </c>
      <c r="R12" s="46">
        <v>0.49</v>
      </c>
      <c r="S12"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12"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12" s="46" t="str">
        <f>IF(FET_List[[#This Row],[In pulldown]]="","",IF(PW_T2&lt;&gt;PW_T1,LN(FET_List[[#This Row],[SOA_T2]]/FET_List[[#This Row],[SOA_T1]])/LN(PW_T2/PW_T1),"na"))</f>
        <v/>
      </c>
      <c r="V12" s="46" t="str">
        <f>IF(FET_List[[#This Row],[In pulldown]]="","",IF(PW_T2&lt;&gt;PW_T1,FET_List[[#This Row],[SOA_T2]]/PW_T2^FET_List[[#This Row],[Slope]],"na"))</f>
        <v/>
      </c>
      <c r="W12" s="46" t="str">
        <f>IF(FET_List[[#This Row],[In pulldown]]="","",IF(PW_T2&lt;&gt;PW_T1,FET_List[[#This Row],[Mag]]*PW^FET_List[[#This Row],[Slope]],FET_List[[#This Row],[SOA_T2]]))</f>
        <v/>
      </c>
      <c r="X12" s="47" t="str">
        <f>IF(FET_List[[#This Row],[In pulldown]]="","",FET_List[[#This Row],[SOA_25]]*((FET_List[[#This Row],[TJMAX]]-TC)/(FET_List[[#This Row],[TJMAX]]-25)))</f>
        <v/>
      </c>
      <c r="Y12" s="46" t="str">
        <f>IF(FET_List[[#This Row],[In pulldown]]="","",_xlfn.CONCAT(O12,", ",FET_List[[#This Row],[VDSMAX]],"V, ",TEXT(X12,"0.00"),"A, $",FET_List[[#This Row],[1ku]],", ",FET_List[[#This Row],[Package]]))</f>
        <v/>
      </c>
      <c r="AA12" t="s">
        <v>160</v>
      </c>
      <c r="AB12" t="s">
        <v>54</v>
      </c>
    </row>
    <row r="13" spans="1:28" x14ac:dyDescent="0.25">
      <c r="A13" t="s">
        <v>37</v>
      </c>
      <c r="B13">
        <f>1037.9*VDS^-1.733</f>
        <v>13.99375971899455</v>
      </c>
      <c r="C13">
        <f>1760.7*VDS^-1.733</f>
        <v>23.73910081629608</v>
      </c>
      <c r="D13">
        <f>5126.7*VDS^-1.733</f>
        <v>69.122081078494404</v>
      </c>
      <c r="E13">
        <f>25472*VDS^-1.733</f>
        <v>343.43293916777066</v>
      </c>
      <c r="F13">
        <v>400</v>
      </c>
      <c r="G13">
        <v>175</v>
      </c>
      <c r="H13">
        <v>400</v>
      </c>
      <c r="I13">
        <v>60</v>
      </c>
      <c r="J13" t="b">
        <f>AND(FET_List[[#This Row],[VDSMAX]]&gt;VDS,VDS&lt;=24,FET_List[[#This Row],[VDSMAX]]&lt;=30)</f>
        <v>0</v>
      </c>
      <c r="K13" t="b">
        <f>AND(FET_List[[#This Row],[VDSMAX]]&gt;VDS,VDS&lt;=28,FET_List[[#This Row],[VDSMAX]]=30)</f>
        <v>0</v>
      </c>
      <c r="L13" t="b">
        <f>AND(FET_List[[#This Row],[VDSMAX]]&gt;VDS,VDS&gt;24,VDS&lt;=56,FET_List[[#This Row],[VDSMAX]]=60)</f>
        <v>0</v>
      </c>
      <c r="M13" s="3" t="b">
        <f>AND(FET_List[[#This Row],[VDSMAX]]&gt;VDS,VDS&gt;=48,VDS&lt;=76,FET_List[[#This Row],[VDSMAX]]=80)</f>
        <v>0</v>
      </c>
      <c r="N13" s="3" t="b">
        <f>AND(FET_List[[#This Row],[VDSMAX]]&gt;VDS,VDS&gt;=48,VDS&lt;=96,FET_List[[#This Row],[VDSMAX]]=100)</f>
        <v>0</v>
      </c>
      <c r="O13" s="3" t="str">
        <f>IF(OR(FET_List[[#This Row],[BV=25&amp;30]:[BV=100]]),FET_List[[#This Row],[Part_Number]],"")</f>
        <v/>
      </c>
      <c r="P13" s="4" t="s">
        <v>74</v>
      </c>
      <c r="Q13" s="46" t="s">
        <v>129</v>
      </c>
      <c r="R13" s="46">
        <v>0.77</v>
      </c>
      <c r="S13"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13"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13" s="46" t="str">
        <f>IF(FET_List[[#This Row],[In pulldown]]="","",IF(PW_T2&lt;&gt;PW_T1,LN(FET_List[[#This Row],[SOA_T2]]/FET_List[[#This Row],[SOA_T1]])/LN(PW_T2/PW_T1),"na"))</f>
        <v/>
      </c>
      <c r="V13" s="46" t="str">
        <f>IF(FET_List[[#This Row],[In pulldown]]="","",IF(PW_T2&lt;&gt;PW_T1,FET_List[[#This Row],[SOA_T2]]/PW_T2^FET_List[[#This Row],[Slope]],"na"))</f>
        <v/>
      </c>
      <c r="W13" s="46" t="str">
        <f>IF(FET_List[[#This Row],[In pulldown]]="","",IF(PW_T2&lt;&gt;PW_T1,FET_List[[#This Row],[Mag]]*PW^FET_List[[#This Row],[Slope]],FET_List[[#This Row],[SOA_T2]]))</f>
        <v/>
      </c>
      <c r="X13" s="47" t="str">
        <f>IF(FET_List[[#This Row],[In pulldown]]="","",FET_List[[#This Row],[SOA_25]]*((FET_List[[#This Row],[TJMAX]]-TC)/(FET_List[[#This Row],[TJMAX]]-25)))</f>
        <v/>
      </c>
      <c r="Y13" s="46" t="str">
        <f>IF(FET_List[[#This Row],[In pulldown]]="","",_xlfn.CONCAT(O13,", ",FET_List[[#This Row],[VDSMAX]],"V, ",TEXT(X13,"0.00"),"A, $",FET_List[[#This Row],[1ku]],", ",FET_List[[#This Row],[Package]]))</f>
        <v/>
      </c>
      <c r="AB13" t="s">
        <v>54</v>
      </c>
    </row>
    <row r="14" spans="1:28" x14ac:dyDescent="0.25">
      <c r="A14" t="s">
        <v>34</v>
      </c>
      <c r="B14">
        <f>144.5275*VDS^-1.28</f>
        <v>6.006182102124896</v>
      </c>
      <c r="C14">
        <f>1388.79*VDS^-1.801</f>
        <v>15.813614831037807</v>
      </c>
      <c r="D14">
        <f>3649.035*VDS^-1.776</f>
        <v>44.213219056031477</v>
      </c>
      <c r="E14">
        <f>254877.35*VDS^-2.292</f>
        <v>856.73759946575649</v>
      </c>
      <c r="F14">
        <v>400</v>
      </c>
      <c r="G14">
        <v>150</v>
      </c>
      <c r="H14">
        <v>400</v>
      </c>
      <c r="I14">
        <v>60</v>
      </c>
      <c r="J14" t="b">
        <f>AND(FET_List[[#This Row],[VDSMAX]]&gt;VDS,VDS&lt;=24,FET_List[[#This Row],[VDSMAX]]&lt;=30)</f>
        <v>0</v>
      </c>
      <c r="K14" t="b">
        <f>AND(FET_List[[#This Row],[VDSMAX]]&gt;VDS,VDS&lt;=28,FET_List[[#This Row],[VDSMAX]]=30)</f>
        <v>0</v>
      </c>
      <c r="L14" t="b">
        <f>AND(FET_List[[#This Row],[VDSMAX]]&gt;VDS,VDS&gt;24,VDS&lt;=56,FET_List[[#This Row],[VDSMAX]]=60)</f>
        <v>0</v>
      </c>
      <c r="M14" s="3" t="b">
        <f>AND(FET_List[[#This Row],[VDSMAX]]&gt;VDS,VDS&gt;=48,VDS&lt;=76,FET_List[[#This Row],[VDSMAX]]=80)</f>
        <v>0</v>
      </c>
      <c r="N14" s="3" t="b">
        <f>AND(FET_List[[#This Row],[VDSMAX]]&gt;VDS,VDS&gt;=48,VDS&lt;=96,FET_List[[#This Row],[VDSMAX]]=100)</f>
        <v>0</v>
      </c>
      <c r="O14" s="3" t="str">
        <f>IF(OR(FET_List[[#This Row],[BV=25&amp;30]:[BV=100]]),FET_List[[#This Row],[Part_Number]],"")</f>
        <v/>
      </c>
      <c r="P14" s="4" t="s">
        <v>75</v>
      </c>
      <c r="Q14" s="46" t="s">
        <v>127</v>
      </c>
      <c r="R14" s="46">
        <v>0.8</v>
      </c>
      <c r="S14"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14"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14" s="46" t="str">
        <f>IF(FET_List[[#This Row],[In pulldown]]="","",IF(PW_T2&lt;&gt;PW_T1,LN(FET_List[[#This Row],[SOA_T2]]/FET_List[[#This Row],[SOA_T1]])/LN(PW_T2/PW_T1),"na"))</f>
        <v/>
      </c>
      <c r="V14" s="46" t="str">
        <f>IF(FET_List[[#This Row],[In pulldown]]="","",IF(PW_T2&lt;&gt;PW_T1,FET_List[[#This Row],[SOA_T2]]/PW_T2^FET_List[[#This Row],[Slope]],"na"))</f>
        <v/>
      </c>
      <c r="W14" s="46" t="str">
        <f>IF(FET_List[[#This Row],[In pulldown]]="","",IF(PW_T2&lt;&gt;PW_T1,FET_List[[#This Row],[Mag]]*PW^FET_List[[#This Row],[Slope]],FET_List[[#This Row],[SOA_T2]]))</f>
        <v/>
      </c>
      <c r="X14" s="47" t="str">
        <f>IF(FET_List[[#This Row],[In pulldown]]="","",FET_List[[#This Row],[SOA_25]]*((FET_List[[#This Row],[TJMAX]]-TC)/(FET_List[[#This Row],[TJMAX]]-25)))</f>
        <v/>
      </c>
      <c r="Y14" s="46" t="str">
        <f>IF(FET_List[[#This Row],[In pulldown]]="","",_xlfn.CONCAT(O14,", ",FET_List[[#This Row],[VDSMAX]],"V, ",TEXT(X14,"0.00"),"A, $",FET_List[[#This Row],[1ku]],", ",FET_List[[#This Row],[Package]]))</f>
        <v/>
      </c>
      <c r="AB14" t="s">
        <v>54</v>
      </c>
    </row>
    <row r="15" spans="1:28" x14ac:dyDescent="0.25">
      <c r="A15" t="s">
        <v>33</v>
      </c>
      <c r="B15">
        <f>314.18*VDS^-1.677</f>
        <v>4.8684597714617261</v>
      </c>
      <c r="C15">
        <f>1085.4*VDS^-1.677</f>
        <v>16.819104449502063</v>
      </c>
      <c r="D15">
        <f>2847.4*VDS^-1.677</f>
        <v>44.122644195238777</v>
      </c>
      <c r="E15">
        <f>9058.8*VDS^-1.677</f>
        <v>140.37304531707136</v>
      </c>
      <c r="F15">
        <f>36326*VDS^-1.677</f>
        <v>562.89919682385471</v>
      </c>
      <c r="G15">
        <v>150</v>
      </c>
      <c r="H15">
        <v>400</v>
      </c>
      <c r="I15">
        <v>60</v>
      </c>
      <c r="J15" t="b">
        <f>AND(FET_List[[#This Row],[VDSMAX]]&gt;VDS,VDS&lt;=24,FET_List[[#This Row],[VDSMAX]]&lt;=30)</f>
        <v>0</v>
      </c>
      <c r="K15" t="b">
        <f>AND(FET_List[[#This Row],[VDSMAX]]&gt;VDS,VDS&lt;=28,FET_List[[#This Row],[VDSMAX]]=30)</f>
        <v>0</v>
      </c>
      <c r="L15" t="b">
        <f>AND(FET_List[[#This Row],[VDSMAX]]&gt;VDS,VDS&gt;24,VDS&lt;=56,FET_List[[#This Row],[VDSMAX]]=60)</f>
        <v>0</v>
      </c>
      <c r="M15" s="3" t="b">
        <f>AND(FET_List[[#This Row],[VDSMAX]]&gt;VDS,VDS&gt;=48,VDS&lt;=76,FET_List[[#This Row],[VDSMAX]]=80)</f>
        <v>0</v>
      </c>
      <c r="N15" s="3" t="b">
        <f>AND(FET_List[[#This Row],[VDSMAX]]&gt;VDS,VDS&gt;=48,VDS&lt;=96,FET_List[[#This Row],[VDSMAX]]=100)</f>
        <v>0</v>
      </c>
      <c r="O15" s="3" t="str">
        <f>IF(OR(FET_List[[#This Row],[BV=25&amp;30]:[BV=100]]),FET_List[[#This Row],[Part_Number]],"")</f>
        <v/>
      </c>
      <c r="P15" s="4" t="s">
        <v>76</v>
      </c>
      <c r="Q15" s="46" t="s">
        <v>127</v>
      </c>
      <c r="R15" s="46">
        <v>0.8</v>
      </c>
      <c r="S15"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15"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15" s="46" t="str">
        <f>IF(FET_List[[#This Row],[In pulldown]]="","",IF(PW_T2&lt;&gt;PW_T1,LN(FET_List[[#This Row],[SOA_T2]]/FET_List[[#This Row],[SOA_T1]])/LN(PW_T2/PW_T1),"na"))</f>
        <v/>
      </c>
      <c r="V15" s="46" t="str">
        <f>IF(FET_List[[#This Row],[In pulldown]]="","",IF(PW_T2&lt;&gt;PW_T1,FET_List[[#This Row],[SOA_T2]]/PW_T2^FET_List[[#This Row],[Slope]],"na"))</f>
        <v/>
      </c>
      <c r="W15" s="46" t="str">
        <f>IF(FET_List[[#This Row],[In pulldown]]="","",IF(PW_T2&lt;&gt;PW_T1,FET_List[[#This Row],[Mag]]*PW^FET_List[[#This Row],[Slope]],FET_List[[#This Row],[SOA_T2]]))</f>
        <v/>
      </c>
      <c r="X15" s="47" t="str">
        <f>IF(FET_List[[#This Row],[In pulldown]]="","",FET_List[[#This Row],[SOA_25]]*((FET_List[[#This Row],[TJMAX]]-TC)/(FET_List[[#This Row],[TJMAX]]-25)))</f>
        <v/>
      </c>
      <c r="Y15" s="46" t="str">
        <f>IF(FET_List[[#This Row],[In pulldown]]="","",_xlfn.CONCAT(O15,", ",FET_List[[#This Row],[VDSMAX]],"V, ",TEXT(X15,"0.00"),"A, $",FET_List[[#This Row],[1ku]],", ",FET_List[[#This Row],[Package]]))</f>
        <v/>
      </c>
      <c r="AB15" t="s">
        <v>54</v>
      </c>
    </row>
    <row r="16" spans="1:28" x14ac:dyDescent="0.25">
      <c r="A16" t="s">
        <v>39</v>
      </c>
      <c r="B16">
        <f>157.27*VDS^-1.564</f>
        <v>3.227055376325576</v>
      </c>
      <c r="C16">
        <f>418.17*VDS^-1.564</f>
        <v>8.5805159707386416</v>
      </c>
      <c r="D16">
        <f>1139.3*VDS^-1.564</f>
        <v>23.377530299788443</v>
      </c>
      <c r="E16">
        <f>3987.9*VDS^-1.564</f>
        <v>81.828537771022852</v>
      </c>
      <c r="F16">
        <f>19093*VDS^-1.564</f>
        <v>391.77318179045096</v>
      </c>
      <c r="G16">
        <v>150</v>
      </c>
      <c r="H16">
        <v>267</v>
      </c>
      <c r="I16">
        <v>60</v>
      </c>
      <c r="J16" t="b">
        <f>AND(FET_List[[#This Row],[VDSMAX]]&gt;VDS,VDS&lt;=24,FET_List[[#This Row],[VDSMAX]]&lt;=30)</f>
        <v>0</v>
      </c>
      <c r="K16" t="b">
        <f>AND(FET_List[[#This Row],[VDSMAX]]&gt;VDS,VDS&lt;=28,FET_List[[#This Row],[VDSMAX]]=30)</f>
        <v>0</v>
      </c>
      <c r="L16" t="b">
        <f>AND(FET_List[[#This Row],[VDSMAX]]&gt;VDS,VDS&gt;24,VDS&lt;=56,FET_List[[#This Row],[VDSMAX]]=60)</f>
        <v>0</v>
      </c>
      <c r="M16" s="3" t="b">
        <f>AND(FET_List[[#This Row],[VDSMAX]]&gt;VDS,VDS&gt;=48,VDS&lt;=76,FET_List[[#This Row],[VDSMAX]]=80)</f>
        <v>0</v>
      </c>
      <c r="N16" s="3" t="b">
        <f>AND(FET_List[[#This Row],[VDSMAX]]&gt;VDS,VDS&gt;=48,VDS&lt;=96,FET_List[[#This Row],[VDSMAX]]=100)</f>
        <v>0</v>
      </c>
      <c r="O16" s="3" t="str">
        <f>IF(OR(FET_List[[#This Row],[BV=25&amp;30]:[BV=100]]),FET_List[[#This Row],[Part_Number]],"")</f>
        <v/>
      </c>
      <c r="P16" s="4" t="s">
        <v>77</v>
      </c>
      <c r="Q16" s="46" t="s">
        <v>127</v>
      </c>
      <c r="R16" s="46">
        <v>0.36</v>
      </c>
      <c r="S16"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16"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16" s="46" t="str">
        <f>IF(FET_List[[#This Row],[In pulldown]]="","",IF(PW_T2&lt;&gt;PW_T1,LN(FET_List[[#This Row],[SOA_T2]]/FET_List[[#This Row],[SOA_T1]])/LN(PW_T2/PW_T1),"na"))</f>
        <v/>
      </c>
      <c r="V16" s="46" t="str">
        <f>IF(FET_List[[#This Row],[In pulldown]]="","",IF(PW_T2&lt;&gt;PW_T1,FET_List[[#This Row],[SOA_T2]]/PW_T2^FET_List[[#This Row],[Slope]],"na"))</f>
        <v/>
      </c>
      <c r="W16" s="46" t="str">
        <f>IF(FET_List[[#This Row],[In pulldown]]="","",IF(PW_T2&lt;&gt;PW_T1,FET_List[[#This Row],[Mag]]*PW^FET_List[[#This Row],[Slope]],FET_List[[#This Row],[SOA_T2]]))</f>
        <v/>
      </c>
      <c r="X16" s="47" t="str">
        <f>IF(FET_List[[#This Row],[In pulldown]]="","",FET_List[[#This Row],[SOA_25]]*((FET_List[[#This Row],[TJMAX]]-TC)/(FET_List[[#This Row],[TJMAX]]-25)))</f>
        <v/>
      </c>
      <c r="Y16" s="46" t="str">
        <f>IF(FET_List[[#This Row],[In pulldown]]="","",_xlfn.CONCAT(O16,", ",FET_List[[#This Row],[VDSMAX]],"V, ",TEXT(X16,"0.00"),"A, $",FET_List[[#This Row],[1ku]],", ",FET_List[[#This Row],[Package]]))</f>
        <v/>
      </c>
      <c r="AB16" t="s">
        <v>54</v>
      </c>
    </row>
    <row r="17" spans="1:28" x14ac:dyDescent="0.25">
      <c r="A17" t="s">
        <v>43</v>
      </c>
      <c r="B17">
        <f>116.17*VDS^-1.399</f>
        <v>3.5918602093792096</v>
      </c>
      <c r="C17">
        <f>197.29*VDS^-1.399</f>
        <v>6.1000094749799798</v>
      </c>
      <c r="D17">
        <f>556.03*VDS^-1.399</f>
        <v>17.19189147130173</v>
      </c>
      <c r="E17">
        <f>3055.1*VDS^-1.399</f>
        <v>94.460636357703564</v>
      </c>
      <c r="F17">
        <f>5949.5*VDS^-1</f>
        <v>495.79166666666663</v>
      </c>
      <c r="G17">
        <v>150</v>
      </c>
      <c r="H17">
        <v>229</v>
      </c>
      <c r="I17">
        <v>60</v>
      </c>
      <c r="J17" t="b">
        <f>AND(FET_List[[#This Row],[VDSMAX]]&gt;VDS,VDS&lt;=24,FET_List[[#This Row],[VDSMAX]]&lt;=30)</f>
        <v>0</v>
      </c>
      <c r="K17" t="b">
        <f>AND(FET_List[[#This Row],[VDSMAX]]&gt;VDS,VDS&lt;=28,FET_List[[#This Row],[VDSMAX]]=30)</f>
        <v>0</v>
      </c>
      <c r="L17" t="b">
        <f>AND(FET_List[[#This Row],[VDSMAX]]&gt;VDS,VDS&gt;24,VDS&lt;=56,FET_List[[#This Row],[VDSMAX]]=60)</f>
        <v>0</v>
      </c>
      <c r="M17" s="3" t="b">
        <f>AND(FET_List[[#This Row],[VDSMAX]]&gt;VDS,VDS&gt;=48,VDS&lt;=76,FET_List[[#This Row],[VDSMAX]]=80)</f>
        <v>0</v>
      </c>
      <c r="N17" s="3" t="b">
        <f>AND(FET_List[[#This Row],[VDSMAX]]&gt;VDS,VDS&gt;=48,VDS&lt;=96,FET_List[[#This Row],[VDSMAX]]=100)</f>
        <v>0</v>
      </c>
      <c r="O17" s="3" t="str">
        <f>IF(OR(FET_List[[#This Row],[BV=25&amp;30]:[BV=100]]),FET_List[[#This Row],[Part_Number]],"")</f>
        <v/>
      </c>
      <c r="P17" s="4" t="s">
        <v>78</v>
      </c>
      <c r="Q17" s="46" t="s">
        <v>127</v>
      </c>
      <c r="R17" s="46">
        <v>0.31</v>
      </c>
      <c r="S17"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17"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17" s="46" t="str">
        <f>IF(FET_List[[#This Row],[In pulldown]]="","",IF(PW_T2&lt;&gt;PW_T1,LN(FET_List[[#This Row],[SOA_T2]]/FET_List[[#This Row],[SOA_T1]])/LN(PW_T2/PW_T1),"na"))</f>
        <v/>
      </c>
      <c r="V17" s="46" t="str">
        <f>IF(FET_List[[#This Row],[In pulldown]]="","",IF(PW_T2&lt;&gt;PW_T1,FET_List[[#This Row],[SOA_T2]]/PW_T2^FET_List[[#This Row],[Slope]],"na"))</f>
        <v/>
      </c>
      <c r="W17" s="46" t="str">
        <f>IF(FET_List[[#This Row],[In pulldown]]="","",IF(PW_T2&lt;&gt;PW_T1,FET_List[[#This Row],[Mag]]*PW^FET_List[[#This Row],[Slope]],FET_List[[#This Row],[SOA_T2]]))</f>
        <v/>
      </c>
      <c r="X17" s="47" t="str">
        <f>IF(FET_List[[#This Row],[In pulldown]]="","",FET_List[[#This Row],[SOA_25]]*((FET_List[[#This Row],[TJMAX]]-TC)/(FET_List[[#This Row],[TJMAX]]-25)))</f>
        <v/>
      </c>
      <c r="Y17" s="46" t="str">
        <f>IF(FET_List[[#This Row],[In pulldown]]="","",_xlfn.CONCAT(O17,", ",FET_List[[#This Row],[VDSMAX]],"V, ",TEXT(X17,"0.00"),"A, $",FET_List[[#This Row],[1ku]],", ",FET_List[[#This Row],[Package]]))</f>
        <v/>
      </c>
      <c r="AB17" t="s">
        <v>54</v>
      </c>
    </row>
    <row r="18" spans="1:28" x14ac:dyDescent="0.25">
      <c r="A18" t="s">
        <v>29</v>
      </c>
      <c r="B18">
        <f>1006.005*VDS^-1.605</f>
        <v>18.64293302333807</v>
      </c>
      <c r="C18">
        <f>2539.81*VDS^-1.762</f>
        <v>31.862795285060241</v>
      </c>
      <c r="D18">
        <f>10892.05*VDS^-1.811</f>
        <v>120.97966837775263</v>
      </c>
      <c r="E18">
        <f>7200*VDS^-1</f>
        <v>600</v>
      </c>
      <c r="F18">
        <v>400</v>
      </c>
      <c r="G18">
        <v>175</v>
      </c>
      <c r="H18">
        <v>400</v>
      </c>
      <c r="I18">
        <v>60</v>
      </c>
      <c r="J18" t="b">
        <f>AND(FET_List[[#This Row],[VDSMAX]]&gt;VDS,VDS&lt;=24,FET_List[[#This Row],[VDSMAX]]&lt;=30)</f>
        <v>0</v>
      </c>
      <c r="K18" t="b">
        <f>AND(FET_List[[#This Row],[VDSMAX]]&gt;VDS,VDS&lt;=28,FET_List[[#This Row],[VDSMAX]]=30)</f>
        <v>0</v>
      </c>
      <c r="L18" t="b">
        <f>AND(FET_List[[#This Row],[VDSMAX]]&gt;VDS,VDS&gt;24,VDS&lt;=56,FET_List[[#This Row],[VDSMAX]]=60)</f>
        <v>0</v>
      </c>
      <c r="M18" s="3" t="b">
        <f>AND(FET_List[[#This Row],[VDSMAX]]&gt;VDS,VDS&gt;=48,VDS&lt;=76,FET_List[[#This Row],[VDSMAX]]=80)</f>
        <v>0</v>
      </c>
      <c r="N18" s="3" t="b">
        <f>AND(FET_List[[#This Row],[VDSMAX]]&gt;VDS,VDS&gt;=48,VDS&lt;=96,FET_List[[#This Row],[VDSMAX]]=100)</f>
        <v>0</v>
      </c>
      <c r="O18" s="3" t="str">
        <f>IF(OR(FET_List[[#This Row],[BV=25&amp;30]:[BV=100]]),FET_List[[#This Row],[Part_Number]],"")</f>
        <v/>
      </c>
      <c r="P18" s="4" t="s">
        <v>79</v>
      </c>
      <c r="Q18" s="46" t="s">
        <v>130</v>
      </c>
      <c r="R18" s="46">
        <v>1.18</v>
      </c>
      <c r="S18"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18"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18" s="46" t="str">
        <f>IF(FET_List[[#This Row],[In pulldown]]="","",IF(PW_T2&lt;&gt;PW_T1,LN(FET_List[[#This Row],[SOA_T2]]/FET_List[[#This Row],[SOA_T1]])/LN(PW_T2/PW_T1),"na"))</f>
        <v/>
      </c>
      <c r="V18" s="46" t="str">
        <f>IF(FET_List[[#This Row],[In pulldown]]="","",IF(PW_T2&lt;&gt;PW_T1,FET_List[[#This Row],[SOA_T2]]/PW_T2^FET_List[[#This Row],[Slope]],"na"))</f>
        <v/>
      </c>
      <c r="W18" s="46" t="str">
        <f>IF(FET_List[[#This Row],[In pulldown]]="","",IF(PW_T2&lt;&gt;PW_T1,FET_List[[#This Row],[Mag]]*PW^FET_List[[#This Row],[Slope]],FET_List[[#This Row],[SOA_T2]]))</f>
        <v/>
      </c>
      <c r="X18" s="47" t="str">
        <f>IF(FET_List[[#This Row],[In pulldown]]="","",FET_List[[#This Row],[SOA_25]]*((FET_List[[#This Row],[TJMAX]]-TC)/(FET_List[[#This Row],[TJMAX]]-25)))</f>
        <v/>
      </c>
      <c r="Y18" s="46" t="str">
        <f>IF(FET_List[[#This Row],[In pulldown]]="","",_xlfn.CONCAT(O18,", ",FET_List[[#This Row],[VDSMAX]],"V, ",TEXT(X18,"0.00"),"A, $",FET_List[[#This Row],[1ku]],", ",FET_List[[#This Row],[Package]]))</f>
        <v/>
      </c>
      <c r="AB18" t="s">
        <v>54</v>
      </c>
    </row>
    <row r="19" spans="1:28" x14ac:dyDescent="0.25">
      <c r="A19" t="s">
        <v>26</v>
      </c>
      <c r="B19">
        <f>1345.2*VDS^-1.758</f>
        <v>17.044577015658163</v>
      </c>
      <c r="C19">
        <f>2587.9*VDS^-1.758</f>
        <v>32.790410986337911</v>
      </c>
      <c r="D19">
        <f>10319*VDS^-1.758</f>
        <v>130.74858030372923</v>
      </c>
      <c r="E19">
        <f>102386*VDS^-1.758</f>
        <v>1297.2985892991203</v>
      </c>
      <c r="F19">
        <v>400</v>
      </c>
      <c r="G19">
        <v>175</v>
      </c>
      <c r="H19">
        <v>400</v>
      </c>
      <c r="I19">
        <v>60</v>
      </c>
      <c r="J19" t="b">
        <f>AND(FET_List[[#This Row],[VDSMAX]]&gt;VDS,VDS&lt;=24,FET_List[[#This Row],[VDSMAX]]&lt;=30)</f>
        <v>0</v>
      </c>
      <c r="K19" t="b">
        <f>AND(FET_List[[#This Row],[VDSMAX]]&gt;VDS,VDS&lt;=28,FET_List[[#This Row],[VDSMAX]]=30)</f>
        <v>0</v>
      </c>
      <c r="L19" t="b">
        <f>AND(FET_List[[#This Row],[VDSMAX]]&gt;VDS,VDS&gt;24,VDS&lt;=56,FET_List[[#This Row],[VDSMAX]]=60)</f>
        <v>0</v>
      </c>
      <c r="M19" s="3" t="b">
        <f>AND(FET_List[[#This Row],[VDSMAX]]&gt;VDS,VDS&gt;=48,VDS&lt;=76,FET_List[[#This Row],[VDSMAX]]=80)</f>
        <v>0</v>
      </c>
      <c r="N19" s="3" t="b">
        <f>AND(FET_List[[#This Row],[VDSMAX]]&gt;VDS,VDS&gt;=48,VDS&lt;=96,FET_List[[#This Row],[VDSMAX]]=100)</f>
        <v>0</v>
      </c>
      <c r="O19" s="3" t="str">
        <f>IF(OR(FET_List[[#This Row],[BV=25&amp;30]:[BV=100]]),FET_List[[#This Row],[Part_Number]],"")</f>
        <v/>
      </c>
      <c r="P19" s="4" t="s">
        <v>80</v>
      </c>
      <c r="Q19" s="46" t="s">
        <v>129</v>
      </c>
      <c r="R19" s="46">
        <v>1.71</v>
      </c>
      <c r="S19"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19"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19" s="46" t="str">
        <f>IF(FET_List[[#This Row],[In pulldown]]="","",IF(PW_T2&lt;&gt;PW_T1,LN(FET_List[[#This Row],[SOA_T2]]/FET_List[[#This Row],[SOA_T1]])/LN(PW_T2/PW_T1),"na"))</f>
        <v/>
      </c>
      <c r="V19" s="46" t="str">
        <f>IF(FET_List[[#This Row],[In pulldown]]="","",IF(PW_T2&lt;&gt;PW_T1,FET_List[[#This Row],[SOA_T2]]/PW_T2^FET_List[[#This Row],[Slope]],"na"))</f>
        <v/>
      </c>
      <c r="W19" s="46" t="str">
        <f>IF(FET_List[[#This Row],[In pulldown]]="","",IF(PW_T2&lt;&gt;PW_T1,FET_List[[#This Row],[Mag]]*PW^FET_List[[#This Row],[Slope]],FET_List[[#This Row],[SOA_T2]]))</f>
        <v/>
      </c>
      <c r="X19" s="47" t="str">
        <f>IF(FET_List[[#This Row],[In pulldown]]="","",FET_List[[#This Row],[SOA_25]]*((FET_List[[#This Row],[TJMAX]]-TC)/(FET_List[[#This Row],[TJMAX]]-25)))</f>
        <v/>
      </c>
      <c r="Y19" s="46" t="str">
        <f>IF(FET_List[[#This Row],[In pulldown]]="","",_xlfn.CONCAT(O19,", ",FET_List[[#This Row],[VDSMAX]],"V, ",TEXT(X19,"0.00"),"A, $",FET_List[[#This Row],[1ku]],", ",FET_List[[#This Row],[Package]]))</f>
        <v/>
      </c>
      <c r="AB19" t="s">
        <v>54</v>
      </c>
    </row>
    <row r="20" spans="1:28" x14ac:dyDescent="0.25">
      <c r="A20" t="s">
        <v>28</v>
      </c>
      <c r="B20">
        <f>795.6*VDS^-1.492</f>
        <v>19.523440596042295</v>
      </c>
      <c r="C20">
        <f>4210.83*VDS^-1.786</f>
        <v>49.767978756763064</v>
      </c>
      <c r="D20">
        <f>18540.6*VDS^-1.868</f>
        <v>178.73648659570659</v>
      </c>
      <c r="E20">
        <f>7200*VDS^-1</f>
        <v>600</v>
      </c>
      <c r="F20">
        <v>400</v>
      </c>
      <c r="G20">
        <v>175</v>
      </c>
      <c r="H20">
        <v>400</v>
      </c>
      <c r="I20">
        <v>60</v>
      </c>
      <c r="J20" t="b">
        <f>AND(FET_List[[#This Row],[VDSMAX]]&gt;VDS,VDS&lt;=24,FET_List[[#This Row],[VDSMAX]]&lt;=30)</f>
        <v>0</v>
      </c>
      <c r="K20" t="b">
        <f>AND(FET_List[[#This Row],[VDSMAX]]&gt;VDS,VDS&lt;=28,FET_List[[#This Row],[VDSMAX]]=30)</f>
        <v>0</v>
      </c>
      <c r="L20" t="b">
        <f>AND(FET_List[[#This Row],[VDSMAX]]&gt;VDS,VDS&gt;24,VDS&lt;=56,FET_List[[#This Row],[VDSMAX]]=60)</f>
        <v>0</v>
      </c>
      <c r="M20" s="3" t="b">
        <f>AND(FET_List[[#This Row],[VDSMAX]]&gt;VDS,VDS&gt;=48,VDS&lt;=76,FET_List[[#This Row],[VDSMAX]]=80)</f>
        <v>0</v>
      </c>
      <c r="N20" s="3" t="b">
        <f>AND(FET_List[[#This Row],[VDSMAX]]&gt;VDS,VDS&gt;=48,VDS&lt;=96,FET_List[[#This Row],[VDSMAX]]=100)</f>
        <v>0</v>
      </c>
      <c r="O20" s="3" t="str">
        <f>IF(OR(FET_List[[#This Row],[BV=25&amp;30]:[BV=100]]),FET_List[[#This Row],[Part_Number]],"")</f>
        <v/>
      </c>
      <c r="P20" s="4" t="s">
        <v>81</v>
      </c>
      <c r="Q20" s="46" t="s">
        <v>130</v>
      </c>
      <c r="R20" s="46">
        <v>1.75</v>
      </c>
      <c r="S20"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0"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0" s="46" t="str">
        <f>IF(FET_List[[#This Row],[In pulldown]]="","",IF(PW_T2&lt;&gt;PW_T1,LN(FET_List[[#This Row],[SOA_T2]]/FET_List[[#This Row],[SOA_T1]])/LN(PW_T2/PW_T1),"na"))</f>
        <v/>
      </c>
      <c r="V20" s="46" t="str">
        <f>IF(FET_List[[#This Row],[In pulldown]]="","",IF(PW_T2&lt;&gt;PW_T1,FET_List[[#This Row],[SOA_T2]]/PW_T2^FET_List[[#This Row],[Slope]],"na"))</f>
        <v/>
      </c>
      <c r="W20" s="46" t="str">
        <f>IF(FET_List[[#This Row],[In pulldown]]="","",IF(PW_T2&lt;&gt;PW_T1,FET_List[[#This Row],[Mag]]*PW^FET_List[[#This Row],[Slope]],FET_List[[#This Row],[SOA_T2]]))</f>
        <v/>
      </c>
      <c r="X20" s="47" t="str">
        <f>IF(FET_List[[#This Row],[In pulldown]]="","",FET_List[[#This Row],[SOA_25]]*((FET_List[[#This Row],[TJMAX]]-TC)/(FET_List[[#This Row],[TJMAX]]-25)))</f>
        <v/>
      </c>
      <c r="Y20" s="46" t="str">
        <f>IF(FET_List[[#This Row],[In pulldown]]="","",_xlfn.CONCAT(O20,", ",FET_List[[#This Row],[VDSMAX]],"V, ",TEXT(X20,"0.00"),"A, $",FET_List[[#This Row],[1ku]],", ",FET_List[[#This Row],[Package]]))</f>
        <v/>
      </c>
      <c r="AB20" t="s">
        <v>54</v>
      </c>
    </row>
    <row r="21" spans="1:28" x14ac:dyDescent="0.25">
      <c r="A21" t="s">
        <v>44</v>
      </c>
      <c r="B21">
        <f>84.159*VDS^-1.437</f>
        <v>2.3676478904261229</v>
      </c>
      <c r="C21">
        <f>167.92*VDS^-1.437</f>
        <v>4.7240988338781893</v>
      </c>
      <c r="D21">
        <f>412.19*VDS^-1.437</f>
        <v>11.596154706623695</v>
      </c>
      <c r="E21">
        <f>1328.6*VDS^-1.437</f>
        <v>37.377547109877092</v>
      </c>
      <c r="F21">
        <f>6156.5*VDS^-1.437</f>
        <v>173.20101519039466</v>
      </c>
      <c r="G21">
        <v>150</v>
      </c>
      <c r="H21">
        <v>151</v>
      </c>
      <c r="I21">
        <v>60</v>
      </c>
      <c r="J21" t="b">
        <f>AND(FET_List[[#This Row],[VDSMAX]]&gt;VDS,VDS&lt;=24,FET_List[[#This Row],[VDSMAX]]&lt;=30)</f>
        <v>0</v>
      </c>
      <c r="K21" t="b">
        <f>AND(FET_List[[#This Row],[VDSMAX]]&gt;VDS,VDS&lt;=28,FET_List[[#This Row],[VDSMAX]]=30)</f>
        <v>0</v>
      </c>
      <c r="L21" t="b">
        <f>AND(FET_List[[#This Row],[VDSMAX]]&gt;VDS,VDS&gt;24,VDS&lt;=56,FET_List[[#This Row],[VDSMAX]]=60)</f>
        <v>0</v>
      </c>
      <c r="M21" s="3" t="b">
        <f>AND(FET_List[[#This Row],[VDSMAX]]&gt;VDS,VDS&gt;=48,VDS&lt;=76,FET_List[[#This Row],[VDSMAX]]=80)</f>
        <v>0</v>
      </c>
      <c r="N21" s="3" t="b">
        <f>AND(FET_List[[#This Row],[VDSMAX]]&gt;VDS,VDS&gt;=48,VDS&lt;=96,FET_List[[#This Row],[VDSMAX]]=100)</f>
        <v>0</v>
      </c>
      <c r="O21" s="3" t="str">
        <f>IF(OR(FET_List[[#This Row],[BV=25&amp;30]:[BV=100]]),FET_List[[#This Row],[Part_Number]],"")</f>
        <v/>
      </c>
      <c r="P21" s="4" t="s">
        <v>82</v>
      </c>
      <c r="Q21" s="46" t="s">
        <v>127</v>
      </c>
      <c r="R21" s="46">
        <v>0.26400000000000001</v>
      </c>
      <c r="S21"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1"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1" s="46" t="str">
        <f>IF(FET_List[[#This Row],[In pulldown]]="","",IF(PW_T2&lt;&gt;PW_T1,LN(FET_List[[#This Row],[SOA_T2]]/FET_List[[#This Row],[SOA_T1]])/LN(PW_T2/PW_T1),"na"))</f>
        <v/>
      </c>
      <c r="V21" s="46" t="str">
        <f>IF(FET_List[[#This Row],[In pulldown]]="","",IF(PW_T2&lt;&gt;PW_T1,FET_List[[#This Row],[SOA_T2]]/PW_T2^FET_List[[#This Row],[Slope]],"na"))</f>
        <v/>
      </c>
      <c r="W21" s="46" t="str">
        <f>IF(FET_List[[#This Row],[In pulldown]]="","",IF(PW_T2&lt;&gt;PW_T1,FET_List[[#This Row],[Mag]]*PW^FET_List[[#This Row],[Slope]],FET_List[[#This Row],[SOA_T2]]))</f>
        <v/>
      </c>
      <c r="X21" s="47" t="str">
        <f>IF(FET_List[[#This Row],[In pulldown]]="","",FET_List[[#This Row],[SOA_25]]*((FET_List[[#This Row],[TJMAX]]-TC)/(FET_List[[#This Row],[TJMAX]]-25)))</f>
        <v/>
      </c>
      <c r="Y21" s="46" t="str">
        <f>IF(FET_List[[#This Row],[In pulldown]]="","",_xlfn.CONCAT(O21,", ",FET_List[[#This Row],[VDSMAX]],"V, ",TEXT(X21,"0.00"),"A, $",FET_List[[#This Row],[1ku]],", ",FET_List[[#This Row],[Package]]))</f>
        <v/>
      </c>
      <c r="AB21" t="s">
        <v>54</v>
      </c>
    </row>
    <row r="22" spans="1:28" x14ac:dyDescent="0.25">
      <c r="A22" t="s">
        <v>30</v>
      </c>
      <c r="B22">
        <f>108.017*VDS^-1.122</f>
        <v>6.6473837824224766</v>
      </c>
      <c r="C22">
        <f>1366.82*VDS^-1.659</f>
        <v>22.148771248732537</v>
      </c>
      <c r="D22">
        <f>5035.355*VDS^-1.742</f>
        <v>66.38903618753217</v>
      </c>
      <c r="E22">
        <f>210787.85*VDS^-2.205</f>
        <v>879.53054508776927</v>
      </c>
      <c r="F22">
        <v>400</v>
      </c>
      <c r="G22">
        <v>175</v>
      </c>
      <c r="H22">
        <v>400</v>
      </c>
      <c r="I22">
        <v>60</v>
      </c>
      <c r="J22" t="b">
        <f>AND(FET_List[[#This Row],[VDSMAX]]&gt;VDS,VDS&lt;=24,FET_List[[#This Row],[VDSMAX]]&lt;=30)</f>
        <v>0</v>
      </c>
      <c r="K22" t="b">
        <f>AND(FET_List[[#This Row],[VDSMAX]]&gt;VDS,VDS&lt;=28,FET_List[[#This Row],[VDSMAX]]=30)</f>
        <v>0</v>
      </c>
      <c r="L22" t="b">
        <f>AND(FET_List[[#This Row],[VDSMAX]]&gt;VDS,VDS&gt;24,VDS&lt;=56,FET_List[[#This Row],[VDSMAX]]=60)</f>
        <v>0</v>
      </c>
      <c r="M22" s="3" t="b">
        <f>AND(FET_List[[#This Row],[VDSMAX]]&gt;VDS,VDS&gt;=48,VDS&lt;=76,FET_List[[#This Row],[VDSMAX]]=80)</f>
        <v>0</v>
      </c>
      <c r="N22" s="3" t="b">
        <f>AND(FET_List[[#This Row],[VDSMAX]]&gt;VDS,VDS&gt;=48,VDS&lt;=96,FET_List[[#This Row],[VDSMAX]]=100)</f>
        <v>0</v>
      </c>
      <c r="O22" s="3" t="str">
        <f>IF(OR(FET_List[[#This Row],[BV=25&amp;30]:[BV=100]]),FET_List[[#This Row],[Part_Number]],"")</f>
        <v/>
      </c>
      <c r="P22" s="4" t="s">
        <v>83</v>
      </c>
      <c r="Q22" s="46" t="s">
        <v>127</v>
      </c>
      <c r="R22" s="46">
        <v>0.82299999999999995</v>
      </c>
      <c r="S22"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2"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2" s="46" t="str">
        <f>IF(FET_List[[#This Row],[In pulldown]]="","",IF(PW_T2&lt;&gt;PW_T1,LN(FET_List[[#This Row],[SOA_T2]]/FET_List[[#This Row],[SOA_T1]])/LN(PW_T2/PW_T1),"na"))</f>
        <v/>
      </c>
      <c r="V22" s="46" t="str">
        <f>IF(FET_List[[#This Row],[In pulldown]]="","",IF(PW_T2&lt;&gt;PW_T1,FET_List[[#This Row],[SOA_T2]]/PW_T2^FET_List[[#This Row],[Slope]],"na"))</f>
        <v/>
      </c>
      <c r="W22" s="46" t="str">
        <f>IF(FET_List[[#This Row],[In pulldown]]="","",IF(PW_T2&lt;&gt;PW_T1,FET_List[[#This Row],[Mag]]*PW^FET_List[[#This Row],[Slope]],FET_List[[#This Row],[SOA_T2]]))</f>
        <v/>
      </c>
      <c r="X22" s="47" t="str">
        <f>IF(FET_List[[#This Row],[In pulldown]]="","",FET_List[[#This Row],[SOA_25]]*((FET_List[[#This Row],[TJMAX]]-TC)/(FET_List[[#This Row],[TJMAX]]-25)))</f>
        <v/>
      </c>
      <c r="Y22" s="46" t="str">
        <f>IF(FET_List[[#This Row],[In pulldown]]="","",_xlfn.CONCAT(O22,", ",FET_List[[#This Row],[VDSMAX]],"V, ",TEXT(X22,"0.00"),"A, $",FET_List[[#This Row],[1ku]],", ",FET_List[[#This Row],[Package]]))</f>
        <v/>
      </c>
      <c r="AB22" t="s">
        <v>54</v>
      </c>
    </row>
    <row r="23" spans="1:28" x14ac:dyDescent="0.25">
      <c r="A23" t="s">
        <v>35</v>
      </c>
      <c r="B23">
        <f>695.825*VDS^-1.644</f>
        <v>11.703777578922784</v>
      </c>
      <c r="C23">
        <f>1390.155*VDS^-1.765</f>
        <v>17.310448761254001</v>
      </c>
      <c r="D23">
        <f>4614.61*VDS^-1.711</f>
        <v>65.713695478364102</v>
      </c>
      <c r="E23">
        <f>23236.2*VDS^-1.559</f>
        <v>482.7491783991631</v>
      </c>
      <c r="F23">
        <v>400</v>
      </c>
      <c r="G23">
        <v>175</v>
      </c>
      <c r="H23">
        <v>400</v>
      </c>
      <c r="I23">
        <v>60</v>
      </c>
      <c r="J23" t="b">
        <f>AND(FET_List[[#This Row],[VDSMAX]]&gt;VDS,VDS&lt;=24,FET_List[[#This Row],[VDSMAX]]&lt;=30)</f>
        <v>0</v>
      </c>
      <c r="K23" t="b">
        <f>AND(FET_List[[#This Row],[VDSMAX]]&gt;VDS,VDS&lt;=28,FET_List[[#This Row],[VDSMAX]]=30)</f>
        <v>0</v>
      </c>
      <c r="L23" t="b">
        <f>AND(FET_List[[#This Row],[VDSMAX]]&gt;VDS,VDS&gt;24,VDS&lt;=56,FET_List[[#This Row],[VDSMAX]]=60)</f>
        <v>0</v>
      </c>
      <c r="M23" s="3" t="b">
        <f>AND(FET_List[[#This Row],[VDSMAX]]&gt;VDS,VDS&gt;=48,VDS&lt;=76,FET_List[[#This Row],[VDSMAX]]=80)</f>
        <v>0</v>
      </c>
      <c r="N23" s="3" t="b">
        <f>AND(FET_List[[#This Row],[VDSMAX]]&gt;VDS,VDS&gt;=48,VDS&lt;=96,FET_List[[#This Row],[VDSMAX]]=100)</f>
        <v>0</v>
      </c>
      <c r="O23" s="3" t="str">
        <f>IF(OR(FET_List[[#This Row],[BV=25&amp;30]:[BV=100]]),FET_List[[#This Row],[Part_Number]],"")</f>
        <v/>
      </c>
      <c r="P23" s="4" t="s">
        <v>84</v>
      </c>
      <c r="Q23" s="46" t="s">
        <v>130</v>
      </c>
      <c r="R23" s="46">
        <v>0.82</v>
      </c>
      <c r="S23"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3"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3" s="46" t="str">
        <f>IF(FET_List[[#This Row],[In pulldown]]="","",IF(PW_T2&lt;&gt;PW_T1,LN(FET_List[[#This Row],[SOA_T2]]/FET_List[[#This Row],[SOA_T1]])/LN(PW_T2/PW_T1),"na"))</f>
        <v/>
      </c>
      <c r="V23" s="46" t="str">
        <f>IF(FET_List[[#This Row],[In pulldown]]="","",IF(PW_T2&lt;&gt;PW_T1,FET_List[[#This Row],[SOA_T2]]/PW_T2^FET_List[[#This Row],[Slope]],"na"))</f>
        <v/>
      </c>
      <c r="W23" s="46" t="str">
        <f>IF(FET_List[[#This Row],[In pulldown]]="","",IF(PW_T2&lt;&gt;PW_T1,FET_List[[#This Row],[Mag]]*PW^FET_List[[#This Row],[Slope]],FET_List[[#This Row],[SOA_T2]]))</f>
        <v/>
      </c>
      <c r="X23" s="47" t="str">
        <f>IF(FET_List[[#This Row],[In pulldown]]="","",FET_List[[#This Row],[SOA_25]]*((FET_List[[#This Row],[TJMAX]]-TC)/(FET_List[[#This Row],[TJMAX]]-25)))</f>
        <v/>
      </c>
      <c r="Y23" s="46" t="str">
        <f>IF(FET_List[[#This Row],[In pulldown]]="","",_xlfn.CONCAT(O23,", ",FET_List[[#This Row],[VDSMAX]],"V, ",TEXT(X23,"0.00"),"A, $",FET_List[[#This Row],[1ku]],", ",FET_List[[#This Row],[Package]]))</f>
        <v/>
      </c>
      <c r="AB23" t="s">
        <v>54</v>
      </c>
    </row>
    <row r="24" spans="1:28" x14ac:dyDescent="0.25">
      <c r="A24" t="s">
        <v>41</v>
      </c>
      <c r="B24">
        <f>124.48*VDS^-1.334</f>
        <v>4.5234708648148985</v>
      </c>
      <c r="C24">
        <f>278.68*VDS^-1.334</f>
        <v>10.126934934179113</v>
      </c>
      <c r="D24">
        <f>700*VDS^-1.334</f>
        <v>25.437255827204602</v>
      </c>
      <c r="E24">
        <f>2213.6*VDS^-1.334</f>
        <v>80.439870713000161</v>
      </c>
      <c r="F24">
        <f>2759.3*VDS^-1</f>
        <v>229.94166666666666</v>
      </c>
      <c r="G24">
        <v>150</v>
      </c>
      <c r="H24">
        <v>250</v>
      </c>
      <c r="I24">
        <v>60</v>
      </c>
      <c r="J24" t="b">
        <f>AND(FET_List[[#This Row],[VDSMAX]]&gt;VDS,VDS&lt;=24,FET_List[[#This Row],[VDSMAX]]&lt;=30)</f>
        <v>0</v>
      </c>
      <c r="K24" t="b">
        <f>AND(FET_List[[#This Row],[VDSMAX]]&gt;VDS,VDS&lt;=28,FET_List[[#This Row],[VDSMAX]]=30)</f>
        <v>0</v>
      </c>
      <c r="L24" t="b">
        <f>AND(FET_List[[#This Row],[VDSMAX]]&gt;VDS,VDS&gt;24,VDS&lt;=56,FET_List[[#This Row],[VDSMAX]]=60)</f>
        <v>0</v>
      </c>
      <c r="M24" s="3" t="b">
        <f>AND(FET_List[[#This Row],[VDSMAX]]&gt;VDS,VDS&gt;=48,VDS&lt;=76,FET_List[[#This Row],[VDSMAX]]=80)</f>
        <v>0</v>
      </c>
      <c r="N24" s="3" t="b">
        <f>AND(FET_List[[#This Row],[VDSMAX]]&gt;VDS,VDS&gt;=48,VDS&lt;=96,FET_List[[#This Row],[VDSMAX]]=100)</f>
        <v>0</v>
      </c>
      <c r="O24" s="3" t="str">
        <f>IF(OR(FET_List[[#This Row],[BV=25&amp;30]:[BV=100]]),FET_List[[#This Row],[Part_Number]],"")</f>
        <v/>
      </c>
      <c r="P24" s="4" t="s">
        <v>85</v>
      </c>
      <c r="Q24" s="46" t="s">
        <v>127</v>
      </c>
      <c r="R24" s="46">
        <v>0.37</v>
      </c>
      <c r="S24"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4"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4" s="46" t="str">
        <f>IF(FET_List[[#This Row],[In pulldown]]="","",IF(PW_T2&lt;&gt;PW_T1,LN(FET_List[[#This Row],[SOA_T2]]/FET_List[[#This Row],[SOA_T1]])/LN(PW_T2/PW_T1),"na"))</f>
        <v/>
      </c>
      <c r="V24" s="46" t="str">
        <f>IF(FET_List[[#This Row],[In pulldown]]="","",IF(PW_T2&lt;&gt;PW_T1,FET_List[[#This Row],[SOA_T2]]/PW_T2^FET_List[[#This Row],[Slope]],"na"))</f>
        <v/>
      </c>
      <c r="W24" s="46" t="str">
        <f>IF(FET_List[[#This Row],[In pulldown]]="","",IF(PW_T2&lt;&gt;PW_T1,FET_List[[#This Row],[Mag]]*PW^FET_List[[#This Row],[Slope]],FET_List[[#This Row],[SOA_T2]]))</f>
        <v/>
      </c>
      <c r="X24" s="47" t="str">
        <f>IF(FET_List[[#This Row],[In pulldown]]="","",FET_List[[#This Row],[SOA_25]]*((FET_List[[#This Row],[TJMAX]]-TC)/(FET_List[[#This Row],[TJMAX]]-25)))</f>
        <v/>
      </c>
      <c r="Y24" s="46" t="str">
        <f>IF(FET_List[[#This Row],[In pulldown]]="","",_xlfn.CONCAT(O24,", ",FET_List[[#This Row],[VDSMAX]],"V, ",TEXT(X24,"0.00"),"A, $",FET_List[[#This Row],[1ku]],", ",FET_List[[#This Row],[Package]]))</f>
        <v/>
      </c>
      <c r="AB24" t="s">
        <v>54</v>
      </c>
    </row>
    <row r="25" spans="1:28" x14ac:dyDescent="0.25">
      <c r="A25" t="s">
        <v>40</v>
      </c>
      <c r="B25">
        <f>35.72*VDS^-1</f>
        <v>2.9766666666666666</v>
      </c>
      <c r="C25">
        <f>57.587*VDS^-1</f>
        <v>4.7989166666666669</v>
      </c>
      <c r="D25">
        <f>104.78*VDS^-1</f>
        <v>8.7316666666666656</v>
      </c>
      <c r="E25">
        <f>228.84*VDS^-1</f>
        <v>19.07</v>
      </c>
      <c r="F25">
        <f>1686.1*VDS^-1</f>
        <v>140.50833333333333</v>
      </c>
      <c r="G25">
        <v>175</v>
      </c>
      <c r="H25">
        <v>300</v>
      </c>
      <c r="I25">
        <v>80</v>
      </c>
      <c r="J25" t="b">
        <f>AND(FET_List[[#This Row],[VDSMAX]]&gt;VDS,VDS&lt;=24,FET_List[[#This Row],[VDSMAX]]&lt;=30)</f>
        <v>0</v>
      </c>
      <c r="K25" t="b">
        <f>AND(FET_List[[#This Row],[VDSMAX]]&gt;VDS,VDS&lt;=28,FET_List[[#This Row],[VDSMAX]]=30)</f>
        <v>0</v>
      </c>
      <c r="L25" t="b">
        <f>AND(FET_List[[#This Row],[VDSMAX]]&gt;VDS,VDS&gt;24,VDS&lt;=56,FET_List[[#This Row],[VDSMAX]]=60)</f>
        <v>0</v>
      </c>
      <c r="M25" s="3" t="b">
        <f>AND(FET_List[[#This Row],[VDSMAX]]&gt;VDS,VDS&gt;=48,VDS&lt;=76,FET_List[[#This Row],[VDSMAX]]=80)</f>
        <v>0</v>
      </c>
      <c r="N25" s="3" t="b">
        <f>AND(FET_List[[#This Row],[VDSMAX]]&gt;VDS,VDS&gt;=48,VDS&lt;=96,FET_List[[#This Row],[VDSMAX]]=100)</f>
        <v>0</v>
      </c>
      <c r="O25" s="3" t="str">
        <f>IF(OR(FET_List[[#This Row],[BV=25&amp;30]:[BV=100]]),FET_List[[#This Row],[Part_Number]],"")</f>
        <v/>
      </c>
      <c r="P25" s="4" t="s">
        <v>86</v>
      </c>
      <c r="Q25" s="46" t="s">
        <v>129</v>
      </c>
      <c r="R25" s="46">
        <v>0.68</v>
      </c>
      <c r="S25"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5"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5" s="46" t="str">
        <f>IF(FET_List[[#This Row],[In pulldown]]="","",IF(PW_T2&lt;&gt;PW_T1,LN(FET_List[[#This Row],[SOA_T2]]/FET_List[[#This Row],[SOA_T1]])/LN(PW_T2/PW_T1),"na"))</f>
        <v/>
      </c>
      <c r="V25" s="46" t="str">
        <f>IF(FET_List[[#This Row],[In pulldown]]="","",IF(PW_T2&lt;&gt;PW_T1,FET_List[[#This Row],[SOA_T2]]/PW_T2^FET_List[[#This Row],[Slope]],"na"))</f>
        <v/>
      </c>
      <c r="W25" s="46" t="str">
        <f>IF(FET_List[[#This Row],[In pulldown]]="","",IF(PW_T2&lt;&gt;PW_T1,FET_List[[#This Row],[Mag]]*PW^FET_List[[#This Row],[Slope]],FET_List[[#This Row],[SOA_T2]]))</f>
        <v/>
      </c>
      <c r="X25" s="47" t="str">
        <f>IF(FET_List[[#This Row],[In pulldown]]="","",FET_List[[#This Row],[SOA_25]]*((FET_List[[#This Row],[TJMAX]]-TC)/(FET_List[[#This Row],[TJMAX]]-25)))</f>
        <v/>
      </c>
      <c r="Y25" s="46" t="str">
        <f>IF(FET_List[[#This Row],[In pulldown]]="","",_xlfn.CONCAT(O25,", ",FET_List[[#This Row],[VDSMAX]],"V, ",TEXT(X25,"0.00"),"A, $",FET_List[[#This Row],[1ku]],", ",FET_List[[#This Row],[Package]]))</f>
        <v/>
      </c>
      <c r="AB25" t="s">
        <v>54</v>
      </c>
    </row>
    <row r="26" spans="1:28" x14ac:dyDescent="0.25">
      <c r="A26" t="s">
        <v>36</v>
      </c>
      <c r="B26">
        <f>266.13*VDS^-1.615</f>
        <v>4.8107869210818057</v>
      </c>
      <c r="C26">
        <f>822.43*VDS^-1.615</f>
        <v>14.866927770282604</v>
      </c>
      <c r="D26">
        <f>2213.6*VDS^-1.615</f>
        <v>40.014872162126345</v>
      </c>
      <c r="E26">
        <f>7262.7*VDS^-1.615</f>
        <v>131.28659742133857</v>
      </c>
      <c r="F26">
        <f>30220*VDS^-1.615</f>
        <v>546.28181999433423</v>
      </c>
      <c r="G26">
        <v>150</v>
      </c>
      <c r="H26">
        <v>400</v>
      </c>
      <c r="I26">
        <v>80</v>
      </c>
      <c r="J26" t="b">
        <f>AND(FET_List[[#This Row],[VDSMAX]]&gt;VDS,VDS&lt;=24,FET_List[[#This Row],[VDSMAX]]&lt;=30)</f>
        <v>0</v>
      </c>
      <c r="K26" t="b">
        <f>AND(FET_List[[#This Row],[VDSMAX]]&gt;VDS,VDS&lt;=28,FET_List[[#This Row],[VDSMAX]]=30)</f>
        <v>0</v>
      </c>
      <c r="L26" t="b">
        <f>AND(FET_List[[#This Row],[VDSMAX]]&gt;VDS,VDS&gt;24,VDS&lt;=56,FET_List[[#This Row],[VDSMAX]]=60)</f>
        <v>0</v>
      </c>
      <c r="M26" s="3" t="b">
        <f>AND(FET_List[[#This Row],[VDSMAX]]&gt;VDS,VDS&gt;=48,VDS&lt;=76,FET_List[[#This Row],[VDSMAX]]=80)</f>
        <v>0</v>
      </c>
      <c r="N26" s="3" t="b">
        <f>AND(FET_List[[#This Row],[VDSMAX]]&gt;VDS,VDS&gt;=48,VDS&lt;=96,FET_List[[#This Row],[VDSMAX]]=100)</f>
        <v>0</v>
      </c>
      <c r="O26" s="3" t="str">
        <f>IF(OR(FET_List[[#This Row],[BV=25&amp;30]:[BV=100]]),FET_List[[#This Row],[Part_Number]],"")</f>
        <v/>
      </c>
      <c r="P26" s="4" t="s">
        <v>87</v>
      </c>
      <c r="Q26" s="46" t="s">
        <v>127</v>
      </c>
      <c r="R26" s="46">
        <v>0.81</v>
      </c>
      <c r="S26"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6"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6" s="46" t="str">
        <f>IF(FET_List[[#This Row],[In pulldown]]="","",IF(PW_T2&lt;&gt;PW_T1,LN(FET_List[[#This Row],[SOA_T2]]/FET_List[[#This Row],[SOA_T1]])/LN(PW_T2/PW_T1),"na"))</f>
        <v/>
      </c>
      <c r="V26" s="46" t="str">
        <f>IF(FET_List[[#This Row],[In pulldown]]="","",IF(PW_T2&lt;&gt;PW_T1,FET_List[[#This Row],[SOA_T2]]/PW_T2^FET_List[[#This Row],[Slope]],"na"))</f>
        <v/>
      </c>
      <c r="W26" s="46" t="str">
        <f>IF(FET_List[[#This Row],[In pulldown]]="","",IF(PW_T2&lt;&gt;PW_T1,FET_List[[#This Row],[Mag]]*PW^FET_List[[#This Row],[Slope]],FET_List[[#This Row],[SOA_T2]]))</f>
        <v/>
      </c>
      <c r="X26" s="47" t="str">
        <f>IF(FET_List[[#This Row],[In pulldown]]="","",FET_List[[#This Row],[SOA_25]]*((FET_List[[#This Row],[TJMAX]]-TC)/(FET_List[[#This Row],[TJMAX]]-25)))</f>
        <v/>
      </c>
      <c r="Y26" s="46" t="str">
        <f>IF(FET_List[[#This Row],[In pulldown]]="","",_xlfn.CONCAT(O26,", ",FET_List[[#This Row],[VDSMAX]],"V, ",TEXT(X26,"0.00"),"A, $",FET_List[[#This Row],[1ku]],", ",FET_List[[#This Row],[Package]]))</f>
        <v/>
      </c>
      <c r="AB26" t="s">
        <v>54</v>
      </c>
    </row>
    <row r="27" spans="1:28" x14ac:dyDescent="0.25">
      <c r="A27" t="s">
        <v>42</v>
      </c>
      <c r="B27">
        <f>238.27*VDS^-1.436</f>
        <v>6.7199353593939506</v>
      </c>
      <c r="C27">
        <f>317.7*VDS^-1.436</f>
        <v>8.9601018327085153</v>
      </c>
      <c r="D27">
        <f>740*VDS^-1.436</f>
        <v>20.870240340586406</v>
      </c>
      <c r="E27">
        <f>2946*VDS^-1.436</f>
        <v>83.086118977523725</v>
      </c>
      <c r="F27">
        <f>3930.6*VDS^-1</f>
        <v>327.54999999999995</v>
      </c>
      <c r="G27">
        <v>175</v>
      </c>
      <c r="H27">
        <v>213</v>
      </c>
      <c r="I27">
        <v>80</v>
      </c>
      <c r="J27" t="b">
        <f>AND(FET_List[[#This Row],[VDSMAX]]&gt;VDS,VDS&lt;=24,FET_List[[#This Row],[VDSMAX]]&lt;=30)</f>
        <v>0</v>
      </c>
      <c r="K27" t="b">
        <f>AND(FET_List[[#This Row],[VDSMAX]]&gt;VDS,VDS&lt;=28,FET_List[[#This Row],[VDSMAX]]=30)</f>
        <v>0</v>
      </c>
      <c r="L27" t="b">
        <f>AND(FET_List[[#This Row],[VDSMAX]]&gt;VDS,VDS&gt;24,VDS&lt;=56,FET_List[[#This Row],[VDSMAX]]=60)</f>
        <v>0</v>
      </c>
      <c r="M27" s="3" t="b">
        <f>AND(FET_List[[#This Row],[VDSMAX]]&gt;VDS,VDS&gt;=48,VDS&lt;=76,FET_List[[#This Row],[VDSMAX]]=80)</f>
        <v>0</v>
      </c>
      <c r="N27" s="3" t="b">
        <f>AND(FET_List[[#This Row],[VDSMAX]]&gt;VDS,VDS&gt;=48,VDS&lt;=96,FET_List[[#This Row],[VDSMAX]]=100)</f>
        <v>0</v>
      </c>
      <c r="O27" s="3" t="str">
        <f>IF(OR(FET_List[[#This Row],[BV=25&amp;30]:[BV=100]]),FET_List[[#This Row],[Part_Number]],"")</f>
        <v/>
      </c>
      <c r="P27" s="4" t="s">
        <v>88</v>
      </c>
      <c r="Q27" s="46" t="s">
        <v>129</v>
      </c>
      <c r="R27" s="46">
        <v>0.56000000000000005</v>
      </c>
      <c r="S27"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7"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7" s="46" t="str">
        <f>IF(FET_List[[#This Row],[In pulldown]]="","",IF(PW_T2&lt;&gt;PW_T1,LN(FET_List[[#This Row],[SOA_T2]]/FET_List[[#This Row],[SOA_T1]])/LN(PW_T2/PW_T1),"na"))</f>
        <v/>
      </c>
      <c r="V27" s="46" t="str">
        <f>IF(FET_List[[#This Row],[In pulldown]]="","",IF(PW_T2&lt;&gt;PW_T1,FET_List[[#This Row],[SOA_T2]]/PW_T2^FET_List[[#This Row],[Slope]],"na"))</f>
        <v/>
      </c>
      <c r="W27" s="46" t="str">
        <f>IF(FET_List[[#This Row],[In pulldown]]="","",IF(PW_T2&lt;&gt;PW_T1,FET_List[[#This Row],[Mag]]*PW^FET_List[[#This Row],[Slope]],FET_List[[#This Row],[SOA_T2]]))</f>
        <v/>
      </c>
      <c r="X27" s="47" t="str">
        <f>IF(FET_List[[#This Row],[In pulldown]]="","",FET_List[[#This Row],[SOA_25]]*((FET_List[[#This Row],[TJMAX]]-TC)/(FET_List[[#This Row],[TJMAX]]-25)))</f>
        <v/>
      </c>
      <c r="Y27" s="46" t="str">
        <f>IF(FET_List[[#This Row],[In pulldown]]="","",_xlfn.CONCAT(O27,", ",FET_List[[#This Row],[VDSMAX]],"V, ",TEXT(X27,"0.00"),"A, $",FET_List[[#This Row],[1ku]],", ",FET_List[[#This Row],[Package]]))</f>
        <v/>
      </c>
      <c r="AB27" t="s">
        <v>54</v>
      </c>
    </row>
    <row r="28" spans="1:28" x14ac:dyDescent="0.25">
      <c r="A28" t="s">
        <v>32</v>
      </c>
      <c r="B28">
        <f>351.234*VDS^-1.35</f>
        <v>12.26596913377136</v>
      </c>
      <c r="C28">
        <f>1494.22*VDS^-1.647</f>
        <v>24.946121478254842</v>
      </c>
      <c r="D28">
        <f>4926.09*VDS^-1.645</f>
        <v>82.651205520800801</v>
      </c>
      <c r="E28">
        <f>6024*VDS^-1</f>
        <v>502</v>
      </c>
      <c r="F28">
        <v>400</v>
      </c>
      <c r="G28">
        <v>175</v>
      </c>
      <c r="H28">
        <v>400</v>
      </c>
      <c r="I28">
        <v>80</v>
      </c>
      <c r="J28" t="b">
        <f>AND(FET_List[[#This Row],[VDSMAX]]&gt;VDS,VDS&lt;=24,FET_List[[#This Row],[VDSMAX]]&lt;=30)</f>
        <v>0</v>
      </c>
      <c r="K28" t="b">
        <f>AND(FET_List[[#This Row],[VDSMAX]]&gt;VDS,VDS&lt;=28,FET_List[[#This Row],[VDSMAX]]=30)</f>
        <v>0</v>
      </c>
      <c r="L28" t="b">
        <f>AND(FET_List[[#This Row],[VDSMAX]]&gt;VDS,VDS&gt;24,VDS&lt;=56,FET_List[[#This Row],[VDSMAX]]=60)</f>
        <v>0</v>
      </c>
      <c r="M28" s="3" t="b">
        <f>AND(FET_List[[#This Row],[VDSMAX]]&gt;VDS,VDS&gt;=48,VDS&lt;=76,FET_List[[#This Row],[VDSMAX]]=80)</f>
        <v>0</v>
      </c>
      <c r="N28" s="3" t="b">
        <f>AND(FET_List[[#This Row],[VDSMAX]]&gt;VDS,VDS&gt;=48,VDS&lt;=96,FET_List[[#This Row],[VDSMAX]]=100)</f>
        <v>0</v>
      </c>
      <c r="O28" s="3" t="str">
        <f>IF(OR(FET_List[[#This Row],[BV=25&amp;30]:[BV=100]]),FET_List[[#This Row],[Part_Number]],"")</f>
        <v/>
      </c>
      <c r="P28" s="4" t="s">
        <v>89</v>
      </c>
      <c r="Q28" s="46" t="s">
        <v>130</v>
      </c>
      <c r="R28" s="46">
        <v>1.23</v>
      </c>
      <c r="S28"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8"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8" s="46" t="str">
        <f>IF(FET_List[[#This Row],[In pulldown]]="","",IF(PW_T2&lt;&gt;PW_T1,LN(FET_List[[#This Row],[SOA_T2]]/FET_List[[#This Row],[SOA_T1]])/LN(PW_T2/PW_T1),"na"))</f>
        <v/>
      </c>
      <c r="V28" s="46" t="str">
        <f>IF(FET_List[[#This Row],[In pulldown]]="","",IF(PW_T2&lt;&gt;PW_T1,FET_List[[#This Row],[SOA_T2]]/PW_T2^FET_List[[#This Row],[Slope]],"na"))</f>
        <v/>
      </c>
      <c r="W28" s="46" t="str">
        <f>IF(FET_List[[#This Row],[In pulldown]]="","",IF(PW_T2&lt;&gt;PW_T1,FET_List[[#This Row],[Mag]]*PW^FET_List[[#This Row],[Slope]],FET_List[[#This Row],[SOA_T2]]))</f>
        <v/>
      </c>
      <c r="X28" s="47" t="str">
        <f>IF(FET_List[[#This Row],[In pulldown]]="","",FET_List[[#This Row],[SOA_25]]*((FET_List[[#This Row],[TJMAX]]-TC)/(FET_List[[#This Row],[TJMAX]]-25)))</f>
        <v/>
      </c>
      <c r="Y28" s="46" t="str">
        <f>IF(FET_List[[#This Row],[In pulldown]]="","",_xlfn.CONCAT(O28,", ",FET_List[[#This Row],[VDSMAX]],"V, ",TEXT(X28,"0.00"),"A, $",FET_List[[#This Row],[1ku]],", ",FET_List[[#This Row],[Package]]))</f>
        <v/>
      </c>
      <c r="AB28" t="s">
        <v>54</v>
      </c>
    </row>
    <row r="29" spans="1:28" x14ac:dyDescent="0.25">
      <c r="A29" t="s">
        <v>31</v>
      </c>
      <c r="B29">
        <f>334.6265*VDS^-1.214</f>
        <v>16.384541709223999</v>
      </c>
      <c r="C29">
        <f>1565.525*VDS^-1.487</f>
        <v>38.897124272816981</v>
      </c>
      <c r="D29">
        <f>8530.6*VDS^-1.677</f>
        <v>132.18818169976257</v>
      </c>
      <c r="E29">
        <f>9600*VDS^-1</f>
        <v>800</v>
      </c>
      <c r="F29">
        <v>400</v>
      </c>
      <c r="G29">
        <v>175</v>
      </c>
      <c r="H29">
        <v>400</v>
      </c>
      <c r="I29">
        <v>80</v>
      </c>
      <c r="J29" t="b">
        <f>AND(FET_List[[#This Row],[VDSMAX]]&gt;VDS,VDS&lt;=24,FET_List[[#This Row],[VDSMAX]]&lt;=30)</f>
        <v>0</v>
      </c>
      <c r="K29" t="b">
        <f>AND(FET_List[[#This Row],[VDSMAX]]&gt;VDS,VDS&lt;=28,FET_List[[#This Row],[VDSMAX]]=30)</f>
        <v>0</v>
      </c>
      <c r="L29" t="b">
        <f>AND(FET_List[[#This Row],[VDSMAX]]&gt;VDS,VDS&gt;24,VDS&lt;=56,FET_List[[#This Row],[VDSMAX]]=60)</f>
        <v>0</v>
      </c>
      <c r="M29" s="3" t="b">
        <f>AND(FET_List[[#This Row],[VDSMAX]]&gt;VDS,VDS&gt;=48,VDS&lt;=76,FET_List[[#This Row],[VDSMAX]]=80)</f>
        <v>0</v>
      </c>
      <c r="N29" s="3" t="b">
        <f>AND(FET_List[[#This Row],[VDSMAX]]&gt;VDS,VDS&gt;=48,VDS&lt;=96,FET_List[[#This Row],[VDSMAX]]=100)</f>
        <v>0</v>
      </c>
      <c r="O29" s="3" t="str">
        <f>IF(OR(FET_List[[#This Row],[BV=25&amp;30]:[BV=100]]),FET_List[[#This Row],[Part_Number]],"")</f>
        <v/>
      </c>
      <c r="P29" s="4" t="s">
        <v>90</v>
      </c>
      <c r="Q29" s="46" t="s">
        <v>130</v>
      </c>
      <c r="R29" s="46">
        <v>1.82</v>
      </c>
      <c r="S29"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29"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29" s="46" t="str">
        <f>IF(FET_List[[#This Row],[In pulldown]]="","",IF(PW_T2&lt;&gt;PW_T1,LN(FET_List[[#This Row],[SOA_T2]]/FET_List[[#This Row],[SOA_T1]])/LN(PW_T2/PW_T1),"na"))</f>
        <v/>
      </c>
      <c r="V29" s="46" t="str">
        <f>IF(FET_List[[#This Row],[In pulldown]]="","",IF(PW_T2&lt;&gt;PW_T1,FET_List[[#This Row],[SOA_T2]]/PW_T2^FET_List[[#This Row],[Slope]],"na"))</f>
        <v/>
      </c>
      <c r="W29" s="46" t="str">
        <f>IF(FET_List[[#This Row],[In pulldown]]="","",IF(PW_T2&lt;&gt;PW_T1,FET_List[[#This Row],[Mag]]*PW^FET_List[[#This Row],[Slope]],FET_List[[#This Row],[SOA_T2]]))</f>
        <v/>
      </c>
      <c r="X29" s="47" t="str">
        <f>IF(FET_List[[#This Row],[In pulldown]]="","",FET_List[[#This Row],[SOA_25]]*((FET_List[[#This Row],[TJMAX]]-TC)/(FET_List[[#This Row],[TJMAX]]-25)))</f>
        <v/>
      </c>
      <c r="Y29" s="46" t="str">
        <f>IF(FET_List[[#This Row],[In pulldown]]="","",_xlfn.CONCAT(O29,", ",FET_List[[#This Row],[VDSMAX]],"V, ",TEXT(X29,"0.00"),"A, $",FET_List[[#This Row],[1ku]],", ",FET_List[[#This Row],[Package]]))</f>
        <v/>
      </c>
      <c r="AB29">
        <v>12.392261007069209</v>
      </c>
    </row>
    <row r="30" spans="1:28" x14ac:dyDescent="0.25">
      <c r="A30" t="s">
        <v>49</v>
      </c>
      <c r="B30">
        <f>241.6*VDS^-1.635</f>
        <v>4.1556177504466048</v>
      </c>
      <c r="C30">
        <f>800*VDS^-1.635</f>
        <v>13.760323676975514</v>
      </c>
      <c r="D30">
        <f>2529.8*VDS^-1.635</f>
        <v>43.513583547515822</v>
      </c>
      <c r="E30">
        <f>10071*VDS^-1.635</f>
        <v>173.2252746885255</v>
      </c>
      <c r="F30">
        <f>52855*VDS^-1.635</f>
        <v>909.12738493317602</v>
      </c>
      <c r="G30">
        <v>150</v>
      </c>
      <c r="H30">
        <v>337</v>
      </c>
      <c r="I30">
        <v>100</v>
      </c>
      <c r="J30" t="b">
        <f>AND(FET_List[[#This Row],[VDSMAX]]&gt;VDS,VDS&lt;=24,FET_List[[#This Row],[VDSMAX]]&lt;=30)</f>
        <v>0</v>
      </c>
      <c r="K30" t="b">
        <f>AND(FET_List[[#This Row],[VDSMAX]]&gt;VDS,VDS&lt;=28,FET_List[[#This Row],[VDSMAX]]=30)</f>
        <v>0</v>
      </c>
      <c r="L30" t="b">
        <f>AND(FET_List[[#This Row],[VDSMAX]]&gt;VDS,VDS&gt;24,VDS&lt;=56,FET_List[[#This Row],[VDSMAX]]=60)</f>
        <v>0</v>
      </c>
      <c r="M30" s="3" t="b">
        <f>AND(FET_List[[#This Row],[VDSMAX]]&gt;VDS,VDS&gt;=48,VDS&lt;=76,FET_List[[#This Row],[VDSMAX]]=80)</f>
        <v>0</v>
      </c>
      <c r="N30" s="3" t="b">
        <f>AND(FET_List[[#This Row],[VDSMAX]]&gt;VDS,VDS&gt;=48,VDS&lt;=96,FET_List[[#This Row],[VDSMAX]]=100)</f>
        <v>0</v>
      </c>
      <c r="O30" s="3" t="str">
        <f>IF(OR(FET_List[[#This Row],[BV=25&amp;30]:[BV=100]]),FET_List[[#This Row],[Part_Number]],"")</f>
        <v/>
      </c>
      <c r="P30" s="4" t="s">
        <v>91</v>
      </c>
      <c r="Q30" s="46" t="s">
        <v>127</v>
      </c>
      <c r="R30" s="46">
        <v>0.56999999999999995</v>
      </c>
      <c r="S30"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0"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0" s="46" t="str">
        <f>IF(FET_List[[#This Row],[In pulldown]]="","",IF(PW_T2&lt;&gt;PW_T1,LN(FET_List[[#This Row],[SOA_T2]]/FET_List[[#This Row],[SOA_T1]])/LN(PW_T2/PW_T1),"na"))</f>
        <v/>
      </c>
      <c r="V30" s="46" t="str">
        <f>IF(FET_List[[#This Row],[In pulldown]]="","",IF(PW_T2&lt;&gt;PW_T1,FET_List[[#This Row],[SOA_T2]]/PW_T2^FET_List[[#This Row],[Slope]],"na"))</f>
        <v/>
      </c>
      <c r="W30" s="46" t="str">
        <f>IF(FET_List[[#This Row],[In pulldown]]="","",IF(PW_T2&lt;&gt;PW_T1,FET_List[[#This Row],[Mag]]*PW^FET_List[[#This Row],[Slope]],FET_List[[#This Row],[SOA_T2]]))</f>
        <v/>
      </c>
      <c r="X30" s="47" t="str">
        <f>IF(FET_List[[#This Row],[In pulldown]]="","",FET_List[[#This Row],[SOA_25]]*((FET_List[[#This Row],[TJMAX]]-TC)/(FET_List[[#This Row],[TJMAX]]-25)))</f>
        <v/>
      </c>
      <c r="Y30" s="46" t="str">
        <f>IF(FET_List[[#This Row],[In pulldown]]="","",_xlfn.CONCAT(O30,", ",FET_List[[#This Row],[VDSMAX]],"V, ",TEXT(X30,"0.00"),"A, $",FET_List[[#This Row],[1ku]],", ",FET_List[[#This Row],[Package]]))</f>
        <v/>
      </c>
      <c r="AB30">
        <v>8.7853871853267318</v>
      </c>
    </row>
    <row r="31" spans="1:28" x14ac:dyDescent="0.25">
      <c r="A31" t="s">
        <v>48</v>
      </c>
      <c r="B31">
        <f>284.0915*VDS^-1.545</f>
        <v>6.1111538129624234</v>
      </c>
      <c r="C31">
        <f>700.975*VDS^-1.653</f>
        <v>11.52964484319063</v>
      </c>
      <c r="D31">
        <f>4961.45*VDS^-1.771</f>
        <v>60.866542464629468</v>
      </c>
      <c r="E31">
        <f>89244.35*VDS^-1.866</f>
        <v>864.62646717539451</v>
      </c>
      <c r="F31">
        <f>17178*VDS^-1</f>
        <v>1431.5</v>
      </c>
      <c r="G31">
        <v>175</v>
      </c>
      <c r="H31">
        <v>400</v>
      </c>
      <c r="I31">
        <v>100</v>
      </c>
      <c r="J31" t="b">
        <f>AND(FET_List[[#This Row],[VDSMAX]]&gt;VDS,VDS&lt;=24,FET_List[[#This Row],[VDSMAX]]&lt;=30)</f>
        <v>0</v>
      </c>
      <c r="K31" t="b">
        <f>AND(FET_List[[#This Row],[VDSMAX]]&gt;VDS,VDS&lt;=28,FET_List[[#This Row],[VDSMAX]]=30)</f>
        <v>0</v>
      </c>
      <c r="L31" t="b">
        <f>AND(FET_List[[#This Row],[VDSMAX]]&gt;VDS,VDS&gt;24,VDS&lt;=56,FET_List[[#This Row],[VDSMAX]]=60)</f>
        <v>0</v>
      </c>
      <c r="M31" s="3" t="b">
        <f>AND(FET_List[[#This Row],[VDSMAX]]&gt;VDS,VDS&gt;=48,VDS&lt;=76,FET_List[[#This Row],[VDSMAX]]=80)</f>
        <v>0</v>
      </c>
      <c r="N31" s="3" t="b">
        <f>AND(FET_List[[#This Row],[VDSMAX]]&gt;VDS,VDS&gt;=48,VDS&lt;=96,FET_List[[#This Row],[VDSMAX]]=100)</f>
        <v>0</v>
      </c>
      <c r="O31" s="3" t="str">
        <f>IF(OR(FET_List[[#This Row],[BV=25&amp;30]:[BV=100]]),FET_List[[#This Row],[Part_Number]],"")</f>
        <v/>
      </c>
      <c r="P31" s="4" t="s">
        <v>92</v>
      </c>
      <c r="Q31" s="46" t="s">
        <v>130</v>
      </c>
      <c r="R31" s="46">
        <v>0.86</v>
      </c>
      <c r="S31"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1"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1" s="46" t="str">
        <f>IF(FET_List[[#This Row],[In pulldown]]="","",IF(PW_T2&lt;&gt;PW_T1,LN(FET_List[[#This Row],[SOA_T2]]/FET_List[[#This Row],[SOA_T1]])/LN(PW_T2/PW_T1),"na"))</f>
        <v/>
      </c>
      <c r="V31" s="46" t="str">
        <f>IF(FET_List[[#This Row],[In pulldown]]="","",IF(PW_T2&lt;&gt;PW_T1,FET_List[[#This Row],[SOA_T2]]/PW_T2^FET_List[[#This Row],[Slope]],"na"))</f>
        <v/>
      </c>
      <c r="W31" s="46" t="str">
        <f>IF(FET_List[[#This Row],[In pulldown]]="","",IF(PW_T2&lt;&gt;PW_T1,FET_List[[#This Row],[Mag]]*PW^FET_List[[#This Row],[Slope]],FET_List[[#This Row],[SOA_T2]]))</f>
        <v/>
      </c>
      <c r="X31" s="47" t="str">
        <f>IF(FET_List[[#This Row],[In pulldown]]="","",FET_List[[#This Row],[SOA_25]]*((FET_List[[#This Row],[TJMAX]]-TC)/(FET_List[[#This Row],[TJMAX]]-25)))</f>
        <v/>
      </c>
      <c r="Y31" s="46" t="str">
        <f>IF(FET_List[[#This Row],[In pulldown]]="","",_xlfn.CONCAT(O31,", ",FET_List[[#This Row],[VDSMAX]],"V, ",TEXT(X31,"0.00"),"A, $",FET_List[[#This Row],[1ku]],", ",FET_List[[#This Row],[Package]]))</f>
        <v/>
      </c>
      <c r="AB31">
        <v>7.6115799221137355</v>
      </c>
    </row>
    <row r="32" spans="1:28" x14ac:dyDescent="0.25">
      <c r="A32" t="s">
        <v>47</v>
      </c>
      <c r="B32">
        <f>266.13*VDS^-1.615</f>
        <v>4.8107869210818057</v>
      </c>
      <c r="C32">
        <f>822.43*VDS^-1.615</f>
        <v>14.866927770282604</v>
      </c>
      <c r="D32">
        <f>2213.6*VDS^-1.615</f>
        <v>40.014872162126345</v>
      </c>
      <c r="E32">
        <f>7262.7*VDS^-1.615</f>
        <v>131.28659742133857</v>
      </c>
      <c r="F32">
        <f>30220*VDS^-1.615</f>
        <v>546.28181999433423</v>
      </c>
      <c r="G32">
        <v>150</v>
      </c>
      <c r="H32">
        <v>400</v>
      </c>
      <c r="I32">
        <v>100</v>
      </c>
      <c r="J32" t="b">
        <f>AND(FET_List[[#This Row],[VDSMAX]]&gt;VDS,VDS&lt;=24,FET_List[[#This Row],[VDSMAX]]&lt;=30)</f>
        <v>0</v>
      </c>
      <c r="K32" t="b">
        <f>AND(FET_List[[#This Row],[VDSMAX]]&gt;VDS,VDS&lt;=28,FET_List[[#This Row],[VDSMAX]]=30)</f>
        <v>0</v>
      </c>
      <c r="L32" t="b">
        <f>AND(FET_List[[#This Row],[VDSMAX]]&gt;VDS,VDS&gt;24,VDS&lt;=56,FET_List[[#This Row],[VDSMAX]]=60)</f>
        <v>0</v>
      </c>
      <c r="M32" s="3" t="b">
        <f>AND(FET_List[[#This Row],[VDSMAX]]&gt;VDS,VDS&gt;=48,VDS&lt;=76,FET_List[[#This Row],[VDSMAX]]=80)</f>
        <v>0</v>
      </c>
      <c r="N32" s="3" t="b">
        <f>AND(FET_List[[#This Row],[VDSMAX]]&gt;VDS,VDS&gt;=48,VDS&lt;=96,FET_List[[#This Row],[VDSMAX]]=100)</f>
        <v>0</v>
      </c>
      <c r="O32" s="3" t="str">
        <f>IF(OR(FET_List[[#This Row],[BV=25&amp;30]:[BV=100]]),FET_List[[#This Row],[Part_Number]],"")</f>
        <v/>
      </c>
      <c r="P32" s="4" t="s">
        <v>93</v>
      </c>
      <c r="Q32" s="46" t="s">
        <v>127</v>
      </c>
      <c r="R32" s="46">
        <v>0.84499999999999997</v>
      </c>
      <c r="S32"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2"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2" s="46" t="str">
        <f>IF(FET_List[[#This Row],[In pulldown]]="","",IF(PW_T2&lt;&gt;PW_T1,LN(FET_List[[#This Row],[SOA_T2]]/FET_List[[#This Row],[SOA_T1]])/LN(PW_T2/PW_T1),"na"))</f>
        <v/>
      </c>
      <c r="V32" s="46" t="str">
        <f>IF(FET_List[[#This Row],[In pulldown]]="","",IF(PW_T2&lt;&gt;PW_T1,FET_List[[#This Row],[SOA_T2]]/PW_T2^FET_List[[#This Row],[Slope]],"na"))</f>
        <v/>
      </c>
      <c r="W32" s="46" t="str">
        <f>IF(FET_List[[#This Row],[In pulldown]]="","",IF(PW_T2&lt;&gt;PW_T1,FET_List[[#This Row],[Mag]]*PW^FET_List[[#This Row],[Slope]],FET_List[[#This Row],[SOA_T2]]))</f>
        <v/>
      </c>
      <c r="X32" s="47" t="str">
        <f>IF(FET_List[[#This Row],[In pulldown]]="","",FET_List[[#This Row],[SOA_25]]*((FET_List[[#This Row],[TJMAX]]-TC)/(FET_List[[#This Row],[TJMAX]]-25)))</f>
        <v/>
      </c>
      <c r="Y32" s="46" t="str">
        <f>IF(FET_List[[#This Row],[In pulldown]]="","",_xlfn.CONCAT(O32,", ",FET_List[[#This Row],[VDSMAX]],"V, ",TEXT(X32,"0.00"),"A, $",FET_List[[#This Row],[1ku]],", ",FET_List[[#This Row],[Package]]))</f>
        <v/>
      </c>
      <c r="AB32">
        <v>5.3901743465649439</v>
      </c>
    </row>
    <row r="33" spans="1:28" x14ac:dyDescent="0.25">
      <c r="A33" t="s">
        <v>50</v>
      </c>
      <c r="B33">
        <f>75.006*VDS^-1.324</f>
        <v>2.7942163902187023</v>
      </c>
      <c r="C33">
        <f>124.48*VDS^-1.324</f>
        <v>4.6372831007442619</v>
      </c>
      <c r="D33">
        <f>462.49*VDS^-1.324</f>
        <v>17.229250170816304</v>
      </c>
      <c r="E33">
        <f>2234.1*VDS^-1.324</f>
        <v>83.227459635063894</v>
      </c>
      <c r="F33">
        <f>14788*VDS^-1.324</f>
        <v>550.90088764304414</v>
      </c>
      <c r="G33">
        <v>150</v>
      </c>
      <c r="H33">
        <v>230</v>
      </c>
      <c r="I33">
        <v>100</v>
      </c>
      <c r="J33" t="b">
        <f>AND(FET_List[[#This Row],[VDSMAX]]&gt;VDS,VDS&lt;=24,FET_List[[#This Row],[VDSMAX]]&lt;=30)</f>
        <v>0</v>
      </c>
      <c r="K33" t="b">
        <f>AND(FET_List[[#This Row],[VDSMAX]]&gt;VDS,VDS&lt;=28,FET_List[[#This Row],[VDSMAX]]=30)</f>
        <v>0</v>
      </c>
      <c r="L33" t="b">
        <f>AND(FET_List[[#This Row],[VDSMAX]]&gt;VDS,VDS&gt;24,VDS&lt;=56,FET_List[[#This Row],[VDSMAX]]=60)</f>
        <v>0</v>
      </c>
      <c r="M33" s="3" t="b">
        <f>AND(FET_List[[#This Row],[VDSMAX]]&gt;VDS,VDS&gt;=48,VDS&lt;=76,FET_List[[#This Row],[VDSMAX]]=80)</f>
        <v>0</v>
      </c>
      <c r="N33" s="3" t="b">
        <f>AND(FET_List[[#This Row],[VDSMAX]]&gt;VDS,VDS&gt;=48,VDS&lt;=96,FET_List[[#This Row],[VDSMAX]]=100)</f>
        <v>0</v>
      </c>
      <c r="O33" s="3" t="str">
        <f>IF(OR(FET_List[[#This Row],[BV=25&amp;30]:[BV=100]]),FET_List[[#This Row],[Part_Number]],"")</f>
        <v/>
      </c>
      <c r="P33" s="4" t="s">
        <v>94</v>
      </c>
      <c r="Q33" s="46" t="s">
        <v>127</v>
      </c>
      <c r="R33" s="46">
        <v>0.45</v>
      </c>
      <c r="S33"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3"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3" s="46" t="str">
        <f>IF(FET_List[[#This Row],[In pulldown]]="","",IF(PW_T2&lt;&gt;PW_T1,LN(FET_List[[#This Row],[SOA_T2]]/FET_List[[#This Row],[SOA_T1]])/LN(PW_T2/PW_T1),"na"))</f>
        <v/>
      </c>
      <c r="V33" s="46" t="str">
        <f>IF(FET_List[[#This Row],[In pulldown]]="","",IF(PW_T2&lt;&gt;PW_T1,FET_List[[#This Row],[SOA_T2]]/PW_T2^FET_List[[#This Row],[Slope]],"na"))</f>
        <v/>
      </c>
      <c r="W33" s="46" t="str">
        <f>IF(FET_List[[#This Row],[In pulldown]]="","",IF(PW_T2&lt;&gt;PW_T1,FET_List[[#This Row],[Mag]]*PW^FET_List[[#This Row],[Slope]],FET_List[[#This Row],[SOA_T2]]))</f>
        <v/>
      </c>
      <c r="X33" s="47" t="str">
        <f>IF(FET_List[[#This Row],[In pulldown]]="","",FET_List[[#This Row],[SOA_25]]*((FET_List[[#This Row],[TJMAX]]-TC)/(FET_List[[#This Row],[TJMAX]]-25)))</f>
        <v/>
      </c>
      <c r="Y33" s="46" t="str">
        <f>IF(FET_List[[#This Row],[In pulldown]]="","",_xlfn.CONCAT(O33,", ",FET_List[[#This Row],[VDSMAX]],"V, ",TEXT(X33,"0.00"),"A, $",FET_List[[#This Row],[1ku]],", ",FET_List[[#This Row],[Package]]))</f>
        <v/>
      </c>
      <c r="AB33">
        <v>5.0869780464595902</v>
      </c>
    </row>
    <row r="34" spans="1:28" x14ac:dyDescent="0.25">
      <c r="A34" t="s">
        <v>46</v>
      </c>
      <c r="B34">
        <f>509.52*VDS^-1.499</f>
        <v>12.287641952871622</v>
      </c>
      <c r="C34">
        <f>868.34*VDS^-1.499</f>
        <v>20.940985659751423</v>
      </c>
      <c r="D34">
        <f>2910.8*VDS^-1.499</f>
        <v>70.197182046668871</v>
      </c>
      <c r="E34">
        <f>21797*VDS^-1.499</f>
        <v>525.65891750420542</v>
      </c>
      <c r="F34">
        <v>400</v>
      </c>
      <c r="G34">
        <v>175</v>
      </c>
      <c r="H34">
        <v>400</v>
      </c>
      <c r="I34">
        <v>100</v>
      </c>
      <c r="J34" t="b">
        <f>AND(FET_List[[#This Row],[VDSMAX]]&gt;VDS,VDS&lt;=24,FET_List[[#This Row],[VDSMAX]]&lt;=30)</f>
        <v>0</v>
      </c>
      <c r="K34" t="b">
        <f>AND(FET_List[[#This Row],[VDSMAX]]&gt;VDS,VDS&lt;=28,FET_List[[#This Row],[VDSMAX]]=30)</f>
        <v>0</v>
      </c>
      <c r="L34" t="b">
        <f>AND(FET_List[[#This Row],[VDSMAX]]&gt;VDS,VDS&gt;24,VDS&lt;=56,FET_List[[#This Row],[VDSMAX]]=60)</f>
        <v>0</v>
      </c>
      <c r="M34" s="3" t="b">
        <f>AND(FET_List[[#This Row],[VDSMAX]]&gt;VDS,VDS&gt;=48,VDS&lt;=76,FET_List[[#This Row],[VDSMAX]]=80)</f>
        <v>0</v>
      </c>
      <c r="N34" s="3" t="b">
        <f>AND(FET_List[[#This Row],[VDSMAX]]&gt;VDS,VDS&gt;=48,VDS&lt;=96,FET_List[[#This Row],[VDSMAX]]=100)</f>
        <v>0</v>
      </c>
      <c r="O34" s="3" t="str">
        <f>IF(OR(FET_List[[#This Row],[BV=25&amp;30]:[BV=100]]),FET_List[[#This Row],[Part_Number]],"")</f>
        <v/>
      </c>
      <c r="P34" s="4" t="s">
        <v>95</v>
      </c>
      <c r="Q34" s="46" t="s">
        <v>130</v>
      </c>
      <c r="R34" s="46">
        <v>1.23</v>
      </c>
      <c r="S34"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4"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4" s="46" t="str">
        <f>IF(FET_List[[#This Row],[In pulldown]]="","",IF(PW_T2&lt;&gt;PW_T1,LN(FET_List[[#This Row],[SOA_T2]]/FET_List[[#This Row],[SOA_T1]])/LN(PW_T2/PW_T1),"na"))</f>
        <v/>
      </c>
      <c r="V34" s="46" t="str">
        <f>IF(FET_List[[#This Row],[In pulldown]]="","",IF(PW_T2&lt;&gt;PW_T1,FET_List[[#This Row],[SOA_T2]]/PW_T2^FET_List[[#This Row],[Slope]],"na"))</f>
        <v/>
      </c>
      <c r="W34" s="46" t="str">
        <f>IF(FET_List[[#This Row],[In pulldown]]="","",IF(PW_T2&lt;&gt;PW_T1,FET_List[[#This Row],[Mag]]*PW^FET_List[[#This Row],[Slope]],FET_List[[#This Row],[SOA_T2]]))</f>
        <v/>
      </c>
      <c r="X34" s="47" t="str">
        <f>IF(FET_List[[#This Row],[In pulldown]]="","",FET_List[[#This Row],[SOA_25]]*((FET_List[[#This Row],[TJMAX]]-TC)/(FET_List[[#This Row],[TJMAX]]-25)))</f>
        <v/>
      </c>
      <c r="Y34" s="46" t="str">
        <f>IF(FET_List[[#This Row],[In pulldown]]="","",_xlfn.CONCAT(O34,", ",FET_List[[#This Row],[VDSMAX]],"V, ",TEXT(X34,"0.00"),"A, $",FET_List[[#This Row],[1ku]],", ",FET_List[[#This Row],[Package]]))</f>
        <v/>
      </c>
      <c r="AB34">
        <v>4.875885820114723</v>
      </c>
    </row>
    <row r="35" spans="1:28" x14ac:dyDescent="0.25">
      <c r="A35" t="s">
        <v>45</v>
      </c>
      <c r="B35">
        <f>1175.8*VDS^-1.57</f>
        <v>23.769437238336618</v>
      </c>
      <c r="C35">
        <f>2304.5*VDS^-1.57</f>
        <v>46.586722330112892</v>
      </c>
      <c r="D35">
        <f>7406.1*VDS^-1.57</f>
        <v>149.71834421742204</v>
      </c>
      <c r="E35">
        <f>81187*VDS^-1.57</f>
        <v>1641.2394123735626</v>
      </c>
      <c r="F35">
        <v>400</v>
      </c>
      <c r="G35">
        <v>175</v>
      </c>
      <c r="H35">
        <v>400</v>
      </c>
      <c r="I35">
        <v>100</v>
      </c>
      <c r="J35" t="b">
        <f>AND(FET_List[[#This Row],[VDSMAX]]&gt;VDS,VDS&lt;=24,FET_List[[#This Row],[VDSMAX]]&lt;=30)</f>
        <v>0</v>
      </c>
      <c r="K35" t="b">
        <f>AND(FET_List[[#This Row],[VDSMAX]]&gt;VDS,VDS&lt;=28,FET_List[[#This Row],[VDSMAX]]=30)</f>
        <v>0</v>
      </c>
      <c r="L35" t="b">
        <f>AND(FET_List[[#This Row],[VDSMAX]]&gt;VDS,VDS&gt;24,VDS&lt;=56,FET_List[[#This Row],[VDSMAX]]=60)</f>
        <v>0</v>
      </c>
      <c r="M35" s="3" t="b">
        <f>AND(FET_List[[#This Row],[VDSMAX]]&gt;VDS,VDS&gt;=48,VDS&lt;=76,FET_List[[#This Row],[VDSMAX]]=80)</f>
        <v>0</v>
      </c>
      <c r="N35" s="3" t="b">
        <f>AND(FET_List[[#This Row],[VDSMAX]]&gt;VDS,VDS&gt;=48,VDS&lt;=96,FET_List[[#This Row],[VDSMAX]]=100)</f>
        <v>0</v>
      </c>
      <c r="O35" s="3" t="str">
        <f>IF(OR(FET_List[[#This Row],[BV=25&amp;30]:[BV=100]]),FET_List[[#This Row],[Part_Number]],"")</f>
        <v/>
      </c>
      <c r="P35" s="4" t="s">
        <v>96</v>
      </c>
      <c r="Q35" s="46" t="s">
        <v>130</v>
      </c>
      <c r="R35" s="46">
        <v>1.82</v>
      </c>
      <c r="S35"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5"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5" s="46" t="str">
        <f>IF(FET_List[[#This Row],[In pulldown]]="","",IF(PW_T2&lt;&gt;PW_T1,LN(FET_List[[#This Row],[SOA_T2]]/FET_List[[#This Row],[SOA_T1]])/LN(PW_T2/PW_T1),"na"))</f>
        <v/>
      </c>
      <c r="V35" s="46" t="str">
        <f>IF(FET_List[[#This Row],[In pulldown]]="","",IF(PW_T2&lt;&gt;PW_T1,FET_List[[#This Row],[SOA_T2]]/PW_T2^FET_List[[#This Row],[Slope]],"na"))</f>
        <v/>
      </c>
      <c r="W35" s="46" t="str">
        <f>IF(FET_List[[#This Row],[In pulldown]]="","",IF(PW_T2&lt;&gt;PW_T1,FET_List[[#This Row],[Mag]]*PW^FET_List[[#This Row],[Slope]],FET_List[[#This Row],[SOA_T2]]))</f>
        <v/>
      </c>
      <c r="X35" s="47" t="str">
        <f>IF(FET_List[[#This Row],[In pulldown]]="","",FET_List[[#This Row],[SOA_25]]*((FET_List[[#This Row],[TJMAX]]-TC)/(FET_List[[#This Row],[TJMAX]]-25)))</f>
        <v/>
      </c>
      <c r="Y35" s="46" t="str">
        <f>IF(FET_List[[#This Row],[In pulldown]]="","",_xlfn.CONCAT(O35,", ",FET_List[[#This Row],[VDSMAX]],"V, ",TEXT(X35,"0.00"),"A, $",FET_List[[#This Row],[1ku]],", ",FET_List[[#This Row],[Package]]))</f>
        <v/>
      </c>
      <c r="AB35">
        <v>4.875885820114723</v>
      </c>
    </row>
    <row r="36" spans="1:28" x14ac:dyDescent="0.25">
      <c r="A36" t="s">
        <v>51</v>
      </c>
      <c r="B36">
        <f>75.64*VDS^-1.312</f>
        <v>2.9031249310459457</v>
      </c>
      <c r="C36">
        <f>294.05*VDS^-1.544</f>
        <v>6.3411107713600625</v>
      </c>
      <c r="D36">
        <f>780.45*VDS^-1.544</f>
        <v>16.830198610807553</v>
      </c>
      <c r="E36">
        <f>6792.3*VDS^-1.544</f>
        <v>146.47415981060689</v>
      </c>
      <c r="F36">
        <f>8327.2*VDS^-1</f>
        <v>693.93333333333339</v>
      </c>
      <c r="G36">
        <v>150</v>
      </c>
      <c r="H36">
        <v>220</v>
      </c>
      <c r="I36">
        <v>100</v>
      </c>
      <c r="J36" t="b">
        <f>AND(FET_List[[#This Row],[VDSMAX]]&gt;VDS,VDS&lt;=24,FET_List[[#This Row],[VDSMAX]]&lt;=30)</f>
        <v>0</v>
      </c>
      <c r="K36" t="b">
        <f>AND(FET_List[[#This Row],[VDSMAX]]&gt;VDS,VDS&lt;=28,FET_List[[#This Row],[VDSMAX]]=30)</f>
        <v>0</v>
      </c>
      <c r="L36" t="b">
        <f>AND(FET_List[[#This Row],[VDSMAX]]&gt;VDS,VDS&gt;24,VDS&lt;=56,FET_List[[#This Row],[VDSMAX]]=60)</f>
        <v>0</v>
      </c>
      <c r="M36" s="3" t="b">
        <f>AND(FET_List[[#This Row],[VDSMAX]]&gt;VDS,VDS&gt;=48,VDS&lt;=76,FET_List[[#This Row],[VDSMAX]]=80)</f>
        <v>0</v>
      </c>
      <c r="N36" s="3" t="b">
        <f>AND(FET_List[[#This Row],[VDSMAX]]&gt;VDS,VDS&gt;=48,VDS&lt;=96,FET_List[[#This Row],[VDSMAX]]=100)</f>
        <v>0</v>
      </c>
      <c r="O36" s="3" t="str">
        <f>IF(OR(FET_List[[#This Row],[BV=25&amp;30]:[BV=100]]),FET_List[[#This Row],[Part_Number]],"")</f>
        <v/>
      </c>
      <c r="P36" s="4" t="s">
        <v>97</v>
      </c>
      <c r="Q36" s="46" t="s">
        <v>128</v>
      </c>
      <c r="R36" s="46">
        <v>0.38500000000000001</v>
      </c>
      <c r="S36"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6"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6" s="46" t="str">
        <f>IF(FET_List[[#This Row],[In pulldown]]="","",IF(PW_T2&lt;&gt;PW_T1,LN(FET_List[[#This Row],[SOA_T2]]/FET_List[[#This Row],[SOA_T1]])/LN(PW_T2/PW_T1),"na"))</f>
        <v/>
      </c>
      <c r="V36" s="46" t="str">
        <f>IF(FET_List[[#This Row],[In pulldown]]="","",IF(PW_T2&lt;&gt;PW_T1,FET_List[[#This Row],[SOA_T2]]/PW_T2^FET_List[[#This Row],[Slope]],"na"))</f>
        <v/>
      </c>
      <c r="W36" s="46" t="str">
        <f>IF(FET_List[[#This Row],[In pulldown]]="","",IF(PW_T2&lt;&gt;PW_T1,FET_List[[#This Row],[Mag]]*PW^FET_List[[#This Row],[Slope]],FET_List[[#This Row],[SOA_T2]]))</f>
        <v/>
      </c>
      <c r="X36" s="47" t="str">
        <f>IF(FET_List[[#This Row],[In pulldown]]="","",FET_List[[#This Row],[SOA_25]]*((FET_List[[#This Row],[TJMAX]]-TC)/(FET_List[[#This Row],[TJMAX]]-25)))</f>
        <v/>
      </c>
      <c r="Y36" s="46" t="str">
        <f>IF(FET_List[[#This Row],[In pulldown]]="","",_xlfn.CONCAT(O36,", ",FET_List[[#This Row],[VDSMAX]],"V, ",TEXT(X36,"0.00"),"A, $",FET_List[[#This Row],[1ku]],", ",FET_List[[#This Row],[Package]]))</f>
        <v/>
      </c>
      <c r="AB36">
        <v>4.1735362103916529</v>
      </c>
    </row>
    <row r="37" spans="1:28" x14ac:dyDescent="0.25">
      <c r="A37" t="s">
        <v>52</v>
      </c>
      <c r="B37">
        <f>15.90615*VDS^-1.222</f>
        <v>0.76349393415143962</v>
      </c>
      <c r="C37">
        <f>58.33815*VDS^-1.39</f>
        <v>1.8445512261934149</v>
      </c>
      <c r="D37">
        <f>297.466*VDS^-1.587</f>
        <v>5.7646998000863201</v>
      </c>
      <c r="E37">
        <f>6382.61*VDS^-1.811</f>
        <v>70.892627300143474</v>
      </c>
      <c r="F37">
        <v>34.4</v>
      </c>
      <c r="G37">
        <v>150</v>
      </c>
      <c r="H37">
        <v>34.4</v>
      </c>
      <c r="I37">
        <v>100</v>
      </c>
      <c r="J37" t="b">
        <f>AND(FET_List[[#This Row],[VDSMAX]]&gt;VDS,VDS&lt;=24,FET_List[[#This Row],[VDSMAX]]&lt;=30)</f>
        <v>0</v>
      </c>
      <c r="K37" t="b">
        <f>AND(FET_List[[#This Row],[VDSMAX]]&gt;VDS,VDS&lt;=28,FET_List[[#This Row],[VDSMAX]]=30)</f>
        <v>0</v>
      </c>
      <c r="L37" t="b">
        <f>AND(FET_List[[#This Row],[VDSMAX]]&gt;VDS,VDS&gt;24,VDS&lt;=56,FET_List[[#This Row],[VDSMAX]]=60)</f>
        <v>0</v>
      </c>
      <c r="M37" s="3" t="b">
        <f>AND(FET_List[[#This Row],[VDSMAX]]&gt;VDS,VDS&gt;=48,VDS&lt;=76,FET_List[[#This Row],[VDSMAX]]=80)</f>
        <v>0</v>
      </c>
      <c r="N37" s="3" t="b">
        <f>AND(FET_List[[#This Row],[VDSMAX]]&gt;VDS,VDS&gt;=48,VDS&lt;=96,FET_List[[#This Row],[VDSMAX]]=100)</f>
        <v>0</v>
      </c>
      <c r="O37" s="3" t="str">
        <f>IF(OR(FET_List[[#This Row],[BV=25&amp;30]:[BV=100]]),FET_List[[#This Row],[Part_Number]],"")</f>
        <v/>
      </c>
      <c r="P37" s="4" t="s">
        <v>98</v>
      </c>
      <c r="Q37" s="46" t="s">
        <v>131</v>
      </c>
      <c r="R37" s="46">
        <v>0.12</v>
      </c>
      <c r="S37"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7"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7" s="46" t="str">
        <f>IF(FET_List[[#This Row],[In pulldown]]="","",IF(PW_T2&lt;&gt;PW_T1,LN(FET_List[[#This Row],[SOA_T2]]/FET_List[[#This Row],[SOA_T1]])/LN(PW_T2/PW_T1),"na"))</f>
        <v/>
      </c>
      <c r="V37" s="46" t="str">
        <f>IF(FET_List[[#This Row],[In pulldown]]="","",IF(PW_T2&lt;&gt;PW_T1,FET_List[[#This Row],[SOA_T2]]/PW_T2^FET_List[[#This Row],[Slope]],"na"))</f>
        <v/>
      </c>
      <c r="W37" s="46" t="str">
        <f>IF(FET_List[[#This Row],[In pulldown]]="","",IF(PW_T2&lt;&gt;PW_T1,FET_List[[#This Row],[Mag]]*PW^FET_List[[#This Row],[Slope]],FET_List[[#This Row],[SOA_T2]]))</f>
        <v/>
      </c>
      <c r="X37" s="47" t="str">
        <f>IF(FET_List[[#This Row],[In pulldown]]="","",FET_List[[#This Row],[SOA_25]]*((FET_List[[#This Row],[TJMAX]]-TC)/(FET_List[[#This Row],[TJMAX]]-25)))</f>
        <v/>
      </c>
      <c r="Y37" s="46" t="str">
        <f>IF(FET_List[[#This Row],[In pulldown]]="","",_xlfn.CONCAT(O37,", ",FET_List[[#This Row],[VDSMAX]],"V, ",TEXT(X37,"0.00"),"A, $",FET_List[[#This Row],[1ku]],", ",FET_List[[#This Row],[Package]]))</f>
        <v/>
      </c>
      <c r="AB37">
        <v>2.1645702416784549</v>
      </c>
    </row>
    <row r="38" spans="1:28" x14ac:dyDescent="0.25">
      <c r="A38" t="s">
        <v>53</v>
      </c>
      <c r="B38">
        <f>31.212*VDS^-1.191</f>
        <v>1.6181423865768583</v>
      </c>
      <c r="C38">
        <f>154*VDS^-1.471</f>
        <v>3.9814852201424928</v>
      </c>
      <c r="D38">
        <f>642.88*VDS^-1.615</f>
        <v>11.621232840435393</v>
      </c>
      <c r="E38">
        <f>12178*VDS^-1.854</f>
        <v>121.55531120675116</v>
      </c>
      <c r="F38">
        <v>37</v>
      </c>
      <c r="G38">
        <v>150</v>
      </c>
      <c r="H38">
        <v>37</v>
      </c>
      <c r="I38">
        <v>100</v>
      </c>
      <c r="J38" t="b">
        <f>AND(FET_List[[#This Row],[VDSMAX]]&gt;VDS,VDS&lt;=24,FET_List[[#This Row],[VDSMAX]]&lt;=30)</f>
        <v>0</v>
      </c>
      <c r="K38" t="b">
        <f>AND(FET_List[[#This Row],[VDSMAX]]&gt;VDS,VDS&lt;=28,FET_List[[#This Row],[VDSMAX]]=30)</f>
        <v>0</v>
      </c>
      <c r="L38" t="b">
        <f>AND(FET_List[[#This Row],[VDSMAX]]&gt;VDS,VDS&gt;24,VDS&lt;=56,FET_List[[#This Row],[VDSMAX]]=60)</f>
        <v>0</v>
      </c>
      <c r="M38" s="3" t="b">
        <f>AND(FET_List[[#This Row],[VDSMAX]]&gt;VDS,VDS&gt;=48,VDS&lt;=76,FET_List[[#This Row],[VDSMAX]]=80)</f>
        <v>0</v>
      </c>
      <c r="N38" s="3" t="b">
        <f>AND(FET_List[[#This Row],[VDSMAX]]&gt;VDS,VDS&gt;=48,VDS&lt;=96,FET_List[[#This Row],[VDSMAX]]=100)</f>
        <v>0</v>
      </c>
      <c r="O38" s="3" t="str">
        <f>IF(OR(FET_List[[#This Row],[BV=25&amp;30]:[BV=100]]),FET_List[[#This Row],[Part_Number]],"")</f>
        <v/>
      </c>
      <c r="P38" s="4" t="s">
        <v>99</v>
      </c>
      <c r="Q38" s="46" t="s">
        <v>128</v>
      </c>
      <c r="R38" s="46">
        <v>0.16600000000000001</v>
      </c>
      <c r="S38" s="46" t="str">
        <f>IF(FET_List[[#This Row],[In pulldown]]="","",MIN(IF(PW_T2=100,LOOKUP(FET_List[[#This Row],[In pulldown]],FET_List[Part_Number],FET_List[100]),IF(PW_T2=10,LOOKUP(FET_List[[#This Row],[In pulldown]],FET_List[Part_Number],FET_List[10]),IF(PW_T2=1,LOOKUP(FET_List[[#This Row],[In pulldown]],FET_List[Part_Number],FET_List[1]),IF(PW_T2=0.1,LOOKUP(FET_List[[#This Row],[In pulldown]],FET_List[Part_Number],FET_List[0.1]),IF(PW_T2=0.01,LOOKUP(FET_List[[#This Row],[In pulldown]],FET_List[Part_Number],FET_List[0.01])))))),LOOKUP(FET_List[[#This Row],[In pulldown]],FET_List[Part_Number],FET_List[IDMAX])))</f>
        <v/>
      </c>
      <c r="T38" s="46" t="str">
        <f>IF(FET_List[[#This Row],[In pulldown]]="","",MIN(IF(PW_T1=10,LOOKUP(FET_List[[#This Row],[In pulldown]],FET_List[Part_Number],FET_List[10]),IF(PW_T1=1,LOOKUP(FET_List[[#This Row],[In pulldown]],FET_List[Part_Number],FET_List[1]),IF(PW_T1=0.1,LOOKUP(FET_List[[#This Row],[In pulldown]],FET_List[Part_Number],FET_List[0.1]),IF(PW_T1=0.01,LOOKUP(FET_List[[#This Row],[In pulldown]],FET_List[Part_Number],FET_List[0.01]),IF(PW_T1=100,LOOKUP(FET_List[[#This Row],[In pulldown]],FET_List[Part_Number],FET_List[100])))))),LOOKUP(FET_List[[#This Row],[In pulldown]],FET_List[Part_Number],FET_List[IDMAX])))</f>
        <v/>
      </c>
      <c r="U38" s="46" t="str">
        <f>IF(FET_List[[#This Row],[In pulldown]]="","",IF(PW_T2&lt;&gt;PW_T1,LN(FET_List[[#This Row],[SOA_T2]]/FET_List[[#This Row],[SOA_T1]])/LN(PW_T2/PW_T1),"na"))</f>
        <v/>
      </c>
      <c r="V38" s="46" t="str">
        <f>IF(FET_List[[#This Row],[In pulldown]]="","",IF(PW_T2&lt;&gt;PW_T1,FET_List[[#This Row],[SOA_T2]]/PW_T2^FET_List[[#This Row],[Slope]],"na"))</f>
        <v/>
      </c>
      <c r="W38" s="46" t="str">
        <f>IF(FET_List[[#This Row],[In pulldown]]="","",IF(PW_T2&lt;&gt;PW_T1,FET_List[[#This Row],[Mag]]*PW^FET_List[[#This Row],[Slope]],FET_List[[#This Row],[SOA_T2]]))</f>
        <v/>
      </c>
      <c r="X38" s="47" t="str">
        <f>IF(FET_List[[#This Row],[In pulldown]]="","",FET_List[[#This Row],[SOA_25]]*((FET_List[[#This Row],[TJMAX]]-TC)/(FET_List[[#This Row],[TJMAX]]-25)))</f>
        <v/>
      </c>
      <c r="Y38" s="46" t="str">
        <f>IF(FET_List[[#This Row],[In pulldown]]="","",_xlfn.CONCAT(O38,", ",FET_List[[#This Row],[VDSMAX]],"V, ",TEXT(X38,"0.00"),"A, $",FET_List[[#This Row],[1ku]],", ",FET_List[[#This Row],[Package]]))</f>
        <v/>
      </c>
      <c r="AB38">
        <v>1.5041511500353946</v>
      </c>
    </row>
  </sheetData>
  <sortState ref="AA2:AB38">
    <sortCondition descending="1" ref="AB2"/>
  </sortState>
  <hyperlinks>
    <hyperlink ref="P2" r:id="rId1" xr:uid="{10EA7630-BB4A-4D7B-98F1-8E461FE68A8B}"/>
    <hyperlink ref="P3" r:id="rId2" xr:uid="{993C1135-7B28-4826-AA7E-1367D8BCA6FC}"/>
    <hyperlink ref="P4" r:id="rId3" xr:uid="{BDA50A5C-C908-476A-A1F1-7231F0DBDCFA}"/>
    <hyperlink ref="P5" r:id="rId4" xr:uid="{F0935EC2-DB9C-4F5A-84BB-8FF2739469F2}"/>
    <hyperlink ref="P6" r:id="rId5" xr:uid="{3444100E-29BD-4C00-828C-02058A23BB12}"/>
    <hyperlink ref="P7" r:id="rId6" xr:uid="{8D4A95B3-A6F9-47DB-9C5E-B6D894C81864}"/>
    <hyperlink ref="P8" r:id="rId7" xr:uid="{B1AAAACB-D877-4E48-A914-BF972C8BD56E}"/>
    <hyperlink ref="P9" r:id="rId8" xr:uid="{05695600-B4C5-46F5-BE30-C742FC6CD7A7}"/>
    <hyperlink ref="P10" r:id="rId9" xr:uid="{95224F23-D31A-4847-A2C4-D6F8604E59E8}"/>
    <hyperlink ref="P11" r:id="rId10" xr:uid="{D4E51859-C87B-466E-A287-E5E384838085}"/>
    <hyperlink ref="P12" r:id="rId11" xr:uid="{7468B5AE-D47D-4235-BA2A-F489814843B9}"/>
    <hyperlink ref="P13" r:id="rId12" xr:uid="{5E559860-A09B-4041-8EDD-549B6B1C3419}"/>
    <hyperlink ref="P14" r:id="rId13" xr:uid="{A79C67A8-7F00-4323-A007-0958F0AE00EA}"/>
    <hyperlink ref="P15" r:id="rId14" xr:uid="{7FBD6359-BD9A-44FA-9085-CD5A353A17FA}"/>
    <hyperlink ref="P16" r:id="rId15" xr:uid="{89C74649-21B8-41DF-9126-AD97F239B2B1}"/>
    <hyperlink ref="P17" r:id="rId16" xr:uid="{A723B936-4658-4805-B40C-798150A54E8E}"/>
    <hyperlink ref="P18" r:id="rId17" xr:uid="{372CB97B-4B97-4B25-9083-A8785F6E050A}"/>
    <hyperlink ref="P19" r:id="rId18" xr:uid="{B80A41E3-6FE7-4A45-B723-48BD24B948C1}"/>
    <hyperlink ref="P20" r:id="rId19" xr:uid="{8D0F738C-51E4-41EE-BD4D-26D7611E104E}"/>
    <hyperlink ref="P21" r:id="rId20" xr:uid="{F9005D59-B143-4985-8BB0-977C1D2133F0}"/>
    <hyperlink ref="P22" r:id="rId21" xr:uid="{2590378B-B380-4841-8EE8-91F0EC736F55}"/>
    <hyperlink ref="P23" r:id="rId22" xr:uid="{7DD6E809-3EDC-42F0-BF6F-676EF31E11F4}"/>
    <hyperlink ref="P24" r:id="rId23" xr:uid="{70C1737C-23B5-434D-834F-08EA78CC371E}"/>
    <hyperlink ref="P25" r:id="rId24" xr:uid="{673001F6-B4D4-416E-A4FD-3397C2E8FBFF}"/>
    <hyperlink ref="P26" r:id="rId25" xr:uid="{627D72DE-BF11-40AC-9862-CFDEA3FED5E2}"/>
    <hyperlink ref="P27" r:id="rId26" xr:uid="{FF814077-B439-4398-9215-E7502127B928}"/>
    <hyperlink ref="P28" r:id="rId27" xr:uid="{AF5E9787-D07C-4E15-8986-0C52439EFF8F}"/>
    <hyperlink ref="P29" r:id="rId28" xr:uid="{BB142CE3-84F7-415D-B4F2-15644A888D75}"/>
    <hyperlink ref="P30" r:id="rId29" xr:uid="{5B95A7F1-0BD1-4782-910E-B51CF85BA677}"/>
    <hyperlink ref="P31" r:id="rId30" xr:uid="{26E092CC-6ADA-4C3E-B211-4D2756C163CC}"/>
    <hyperlink ref="P32" r:id="rId31" xr:uid="{A1DBED63-3453-421A-B32E-460021284FB1}"/>
    <hyperlink ref="P33" r:id="rId32" xr:uid="{01B91E57-1FD7-4A6E-A7A1-929A2848B263}"/>
    <hyperlink ref="P34" r:id="rId33" xr:uid="{7E6206D9-0463-4D25-AA13-DA7B127F715F}"/>
    <hyperlink ref="P35" r:id="rId34" xr:uid="{6E32273C-851A-4D9F-8C6A-102A9BDABCC4}"/>
    <hyperlink ref="P36" r:id="rId35" xr:uid="{001AF9A6-BFEB-42EC-9A46-D532070A929B}"/>
    <hyperlink ref="P37" r:id="rId36" xr:uid="{887120B7-099A-49AD-BD04-F3B997EB973B}"/>
    <hyperlink ref="P38" r:id="rId37" xr:uid="{16DF15D4-4C63-4C60-AFFE-51A6206F892F}"/>
  </hyperlinks>
  <pageMargins left="0.7" right="0.7" top="0.75" bottom="0.75" header="0.3" footer="0.3"/>
  <pageSetup orientation="portrait" r:id="rId38"/>
  <tableParts count="1">
    <tablePart r:id="rId3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Intro</vt:lpstr>
      <vt:lpstr>Important Notice &amp; Disclaimer </vt:lpstr>
      <vt:lpstr>SOA Estimator</vt:lpstr>
      <vt:lpstr>FET Data</vt:lpstr>
      <vt:lpstr>a</vt:lpstr>
      <vt:lpstr>FET1_a</vt:lpstr>
      <vt:lpstr>FET1_m</vt:lpstr>
      <vt:lpstr>FET1_SOA_25</vt:lpstr>
      <vt:lpstr>FET1_SOA_T1</vt:lpstr>
      <vt:lpstr>FET1_SOA_T2</vt:lpstr>
      <vt:lpstr>FET1_TJMAX</vt:lpstr>
      <vt:lpstr>FET2_a</vt:lpstr>
      <vt:lpstr>FET2_m</vt:lpstr>
      <vt:lpstr>FET2_SOA_25</vt:lpstr>
      <vt:lpstr>FET2_SOA_T1</vt:lpstr>
      <vt:lpstr>FET2_SOA_T2</vt:lpstr>
      <vt:lpstr>FET2_TJMAX</vt:lpstr>
      <vt:lpstr>FET3_a</vt:lpstr>
      <vt:lpstr>FET3_m</vt:lpstr>
      <vt:lpstr>FET3_SOA_25</vt:lpstr>
      <vt:lpstr>FET3_SOA_T1</vt:lpstr>
      <vt:lpstr>FET3_SOA_T2</vt:lpstr>
      <vt:lpstr>FET3_TJMAX</vt:lpstr>
      <vt:lpstr>m</vt:lpstr>
      <vt:lpstr>PN_1</vt:lpstr>
      <vt:lpstr>PN_2</vt:lpstr>
      <vt:lpstr>PN_3</vt:lpstr>
      <vt:lpstr>PW</vt:lpstr>
      <vt:lpstr>PW_T1</vt:lpstr>
      <vt:lpstr>PW_T2</vt:lpstr>
      <vt:lpstr>TC</vt:lpstr>
      <vt:lpstr>TI_PN1</vt:lpstr>
      <vt:lpstr>TI_PN2</vt:lpstr>
      <vt:lpstr>TI_PN3</vt:lpstr>
      <vt:lpstr>TJMAX</vt:lpstr>
      <vt:lpstr>VDS</vt:lpstr>
    </vt:vector>
  </TitlesOfParts>
  <Company>Texas Instruments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R. Wallace</dc:creator>
  <cp:lastModifiedBy>Wallace, John</cp:lastModifiedBy>
  <dcterms:created xsi:type="dcterms:W3CDTF">2021-02-10T20:30:41Z</dcterms:created>
  <dcterms:modified xsi:type="dcterms:W3CDTF">2024-05-23T14:18:01Z</dcterms:modified>
</cp:coreProperties>
</file>